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comments4.xml" ContentType="application/vnd.openxmlformats-officedocument.spreadsheetml.comments+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1.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2.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3.xml" ContentType="application/vnd.openxmlformats-officedocument.drawingml.chartshape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4.xml" ContentType="application/vnd.openxmlformats-officedocument.drawingml.chartshapes+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5.xml" ContentType="application/vnd.openxmlformats-officedocument.drawingml.chartshapes+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6.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7.xml" ContentType="application/vnd.openxmlformats-officedocument.drawingml.chartshapes+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8.xml" ContentType="application/vnd.openxmlformats-officedocument.drawingml.chartshapes+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9.xml" ContentType="application/vnd.openxmlformats-officedocument.drawingml.chartshapes+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20.xml" ContentType="application/vnd.openxmlformats-officedocument.drawingml.chartshapes+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21.xml" ContentType="application/vnd.openxmlformats-officedocument.drawingml.chartshapes+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22.xml" ContentType="application/vnd.openxmlformats-officedocument.drawing+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23.xml" ContentType="application/vnd.openxmlformats-officedocument.drawingml.chartshapes+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24.xml" ContentType="application/vnd.openxmlformats-officedocument.drawingml.chartshapes+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25.xml" ContentType="application/vnd.openxmlformats-officedocument.drawingml.chartshapes+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26.xml" ContentType="application/vnd.openxmlformats-officedocument.drawingml.chartshapes+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27.xml" ContentType="application/vnd.openxmlformats-officedocument.drawingml.chartshapes+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28.xml" ContentType="application/vnd.openxmlformats-officedocument.drawingml.chartshapes+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29.xml" ContentType="application/vnd.openxmlformats-officedocument.drawingml.chartshapes+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30.xml" ContentType="application/vnd.openxmlformats-officedocument.drawingml.chartshapes+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31.xml" ContentType="application/vnd.openxmlformats-officedocument.drawingml.chartshapes+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32.xml" ContentType="application/vnd.openxmlformats-officedocument.drawingml.chartshapes+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33.xml" ContentType="application/vnd.openxmlformats-officedocument.drawingml.chartshapes+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drawings/drawing34.xml" ContentType="application/vnd.openxmlformats-officedocument.drawingml.chartshapes+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drawings/drawing35.xml" ContentType="application/vnd.openxmlformats-officedocument.drawingml.chartshapes+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36.xml" ContentType="application/vnd.openxmlformats-officedocument.drawingml.chartshapes+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drawings/drawing37.xml" ContentType="application/vnd.openxmlformats-officedocument.drawingml.chartshapes+xml"/>
  <Override PartName="/xl/tables/table3.xml" ContentType="application/vnd.openxmlformats-officedocument.spreadsheetml.table+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laboureixs\Desktop\Promptotyping\Use Case Projektportfolio Dashboard\Unterlagen mit Beispieldaten\"/>
    </mc:Choice>
  </mc:AlternateContent>
  <xr:revisionPtr revIDLastSave="0" documentId="13_ncr:1_{D45C6736-135D-43F6-8D8A-52532A341685}" xr6:coauthVersionLast="47" xr6:coauthVersionMax="47" xr10:uidLastSave="{00000000-0000-0000-0000-000000000000}"/>
  <bookViews>
    <workbookView xWindow="-110" yWindow="-110" windowWidth="19420" windowHeight="10300" tabRatio="655" xr2:uid="{6C06BD84-3EE9-4553-8E93-9E7C90A24AD7}"/>
  </bookViews>
  <sheets>
    <sheet name="Erläuterungen" sheetId="12" r:id="rId1"/>
    <sheet name="Parameter" sheetId="13" r:id="rId2"/>
    <sheet name="Arbeitsbereich" sheetId="22" r:id="rId3"/>
    <sheet name="Portfolio_Daten" sheetId="21" r:id="rId4"/>
    <sheet name="Zielwerte" sheetId="58" r:id="rId5"/>
    <sheet name="Zeitleiste" sheetId="25" r:id="rId6"/>
    <sheet name="Dashboard_LVÜbersicht" sheetId="53" r:id="rId7"/>
    <sheet name="DB_Budgeteinbehalt" sheetId="23" r:id="rId8"/>
    <sheet name="DB_LeistungsbereicheLV" sheetId="44" r:id="rId9"/>
    <sheet name="Dashboard_PAG" sheetId="47" r:id="rId10"/>
    <sheet name="Pipeline_Arbeitsbereich_alt" sheetId="28" state="hidden" r:id="rId11"/>
  </sheets>
  <definedNames>
    <definedName name="_xlnm._FilterDatabase" localSheetId="10" hidden="1">Pipeline_Arbeitsbereich_alt!$B$4:$J$4</definedName>
    <definedName name="_xlnm._FilterDatabase" localSheetId="3" hidden="1">Portfolio_Daten!$B$4:$AI$4</definedName>
    <definedName name="_xlnm._FilterDatabase" localSheetId="5" hidden="1">Zeitleiste!$B$6:$I$6</definedName>
    <definedName name="_xlnm.Print_Area" localSheetId="9">Dashboard_PAG!$B$1:$AB$33</definedName>
    <definedName name="_xlnm.Print_Area" localSheetId="8">DB_LeistungsbereicheLV!$A$1:$V$33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 i="58" l="1"/>
  <c r="L15" i="58"/>
  <c r="N4" i="22"/>
  <c r="D11" i="22"/>
  <c r="M13" i="58"/>
  <c r="L13" i="58"/>
  <c r="AE119" i="21"/>
  <c r="AA119" i="21"/>
  <c r="V119" i="21"/>
  <c r="AE118" i="21"/>
  <c r="AA118" i="21"/>
  <c r="V118" i="21"/>
  <c r="AE117" i="21"/>
  <c r="AA117" i="21"/>
  <c r="V117" i="21"/>
  <c r="AE116" i="21"/>
  <c r="AA116" i="21"/>
  <c r="AF116" i="21" s="1"/>
  <c r="V116" i="21"/>
  <c r="AE115" i="21"/>
  <c r="AA115" i="21"/>
  <c r="V115" i="21"/>
  <c r="AE114" i="21"/>
  <c r="AA114" i="21"/>
  <c r="V114" i="21"/>
  <c r="AE113" i="21"/>
  <c r="AA113" i="21"/>
  <c r="AF113" i="21" s="1"/>
  <c r="V113" i="21"/>
  <c r="AE112" i="21"/>
  <c r="AA112" i="21"/>
  <c r="AF112" i="21" s="1"/>
  <c r="V112" i="21"/>
  <c r="AE111" i="21"/>
  <c r="AA111" i="21"/>
  <c r="V111" i="21"/>
  <c r="AE110" i="21"/>
  <c r="AA110" i="21"/>
  <c r="V110" i="21"/>
  <c r="AE109" i="21"/>
  <c r="AA109" i="21"/>
  <c r="AF109" i="21" s="1"/>
  <c r="V109" i="21"/>
  <c r="AE108" i="21"/>
  <c r="AA108" i="21"/>
  <c r="AF108" i="21" s="1"/>
  <c r="V108" i="21"/>
  <c r="AE107" i="21"/>
  <c r="AA107" i="21"/>
  <c r="V107" i="21"/>
  <c r="AE106" i="21"/>
  <c r="AA106" i="21"/>
  <c r="V106" i="21"/>
  <c r="AE105" i="21"/>
  <c r="AA105" i="21"/>
  <c r="AF105" i="21" s="1"/>
  <c r="V105" i="21"/>
  <c r="AE104" i="21"/>
  <c r="AA104" i="21"/>
  <c r="V104" i="21"/>
  <c r="AE103" i="21"/>
  <c r="AA103" i="21"/>
  <c r="V103" i="21"/>
  <c r="AE102" i="21"/>
  <c r="AA102" i="21"/>
  <c r="V102" i="21"/>
  <c r="AE101" i="21"/>
  <c r="AA101" i="21"/>
  <c r="AF101" i="21" s="1"/>
  <c r="V101" i="21"/>
  <c r="AE100" i="21"/>
  <c r="AA100" i="21"/>
  <c r="AF100" i="21" s="1"/>
  <c r="V100" i="21"/>
  <c r="AE99" i="21"/>
  <c r="AA99" i="21"/>
  <c r="V99" i="21"/>
  <c r="AE98" i="21"/>
  <c r="AA98" i="21"/>
  <c r="V98" i="21"/>
  <c r="AE97" i="21"/>
  <c r="AA97" i="21"/>
  <c r="AF97" i="21" s="1"/>
  <c r="V97" i="21"/>
  <c r="AE96" i="21"/>
  <c r="AA96" i="21"/>
  <c r="AF96" i="21" s="1"/>
  <c r="V96" i="21"/>
  <c r="AE95" i="21"/>
  <c r="AA95" i="21"/>
  <c r="V95" i="21"/>
  <c r="AE94" i="21"/>
  <c r="AA94" i="21"/>
  <c r="V94" i="21"/>
  <c r="AE93" i="21"/>
  <c r="AA93" i="21"/>
  <c r="V93" i="21"/>
  <c r="AE92" i="21"/>
  <c r="AA92" i="21"/>
  <c r="AF92" i="21" s="1"/>
  <c r="V92" i="21"/>
  <c r="AE91" i="21"/>
  <c r="AA91" i="21"/>
  <c r="V91" i="21"/>
  <c r="AE90" i="21"/>
  <c r="AA90" i="21"/>
  <c r="V90" i="21"/>
  <c r="AE89" i="21"/>
  <c r="AA89" i="21"/>
  <c r="AF89" i="21" s="1"/>
  <c r="V89" i="21"/>
  <c r="AE88" i="21"/>
  <c r="AA88" i="21"/>
  <c r="AF88" i="21" s="1"/>
  <c r="V88" i="21"/>
  <c r="AE87" i="21"/>
  <c r="AA87" i="21"/>
  <c r="V87" i="21"/>
  <c r="AE86" i="21"/>
  <c r="AA86" i="21"/>
  <c r="V86" i="21"/>
  <c r="AE85" i="21"/>
  <c r="AA85" i="21"/>
  <c r="AF85" i="21" s="1"/>
  <c r="V85" i="21"/>
  <c r="AE84" i="21"/>
  <c r="AA84" i="21"/>
  <c r="AF84" i="21" s="1"/>
  <c r="V84" i="21"/>
  <c r="AE83" i="21"/>
  <c r="AA83" i="21"/>
  <c r="V83" i="21"/>
  <c r="AE82" i="21"/>
  <c r="AA82" i="21"/>
  <c r="V82" i="21"/>
  <c r="AE81" i="21"/>
  <c r="AA81" i="21"/>
  <c r="AF81" i="21" s="1"/>
  <c r="V81" i="21"/>
  <c r="AE80" i="21"/>
  <c r="AA80" i="21"/>
  <c r="AF80" i="21" s="1"/>
  <c r="V80" i="21"/>
  <c r="AE79" i="21"/>
  <c r="AA79" i="21"/>
  <c r="V79" i="21"/>
  <c r="AE78" i="21"/>
  <c r="AA78" i="21"/>
  <c r="V78" i="21"/>
  <c r="AE77" i="21"/>
  <c r="AA77" i="21"/>
  <c r="AF77" i="21" s="1"/>
  <c r="V77" i="21"/>
  <c r="AE76" i="21"/>
  <c r="AA76" i="21"/>
  <c r="AF76" i="21" s="1"/>
  <c r="V76" i="21"/>
  <c r="AE75" i="21"/>
  <c r="AA75" i="21"/>
  <c r="V75" i="21"/>
  <c r="AE74" i="21"/>
  <c r="AA74" i="21"/>
  <c r="V74" i="21"/>
  <c r="AE73" i="21"/>
  <c r="AA73" i="21"/>
  <c r="AF73" i="21" s="1"/>
  <c r="V73" i="21"/>
  <c r="AE72" i="21"/>
  <c r="AA72" i="21"/>
  <c r="AF72" i="21" s="1"/>
  <c r="V72" i="21"/>
  <c r="AE71" i="21"/>
  <c r="AA71" i="21"/>
  <c r="V71" i="21"/>
  <c r="AE70" i="21"/>
  <c r="AA70" i="21"/>
  <c r="V70" i="21"/>
  <c r="AE69" i="21"/>
  <c r="AA69" i="21"/>
  <c r="AF69" i="21" s="1"/>
  <c r="V69" i="21"/>
  <c r="AE68" i="21"/>
  <c r="AA68" i="21"/>
  <c r="V68" i="21"/>
  <c r="AE67" i="21"/>
  <c r="AA67" i="21"/>
  <c r="V67" i="21"/>
  <c r="AE66" i="21"/>
  <c r="AA66" i="21"/>
  <c r="V66" i="21"/>
  <c r="AE65" i="21"/>
  <c r="AA65" i="21"/>
  <c r="AF65" i="21" s="1"/>
  <c r="V65" i="21"/>
  <c r="AE64" i="21"/>
  <c r="AA64" i="21"/>
  <c r="AF64" i="21" s="1"/>
  <c r="V64" i="21"/>
  <c r="AE63" i="21"/>
  <c r="AA63" i="21"/>
  <c r="V63" i="21"/>
  <c r="AE62" i="21"/>
  <c r="AA62" i="21"/>
  <c r="V62" i="21"/>
  <c r="AE61" i="21"/>
  <c r="AA61" i="21"/>
  <c r="AF61" i="21" s="1"/>
  <c r="V61" i="21"/>
  <c r="AE60" i="21"/>
  <c r="AA60" i="21"/>
  <c r="AF60" i="21" s="1"/>
  <c r="V60" i="21"/>
  <c r="AE59" i="21"/>
  <c r="AA59" i="21"/>
  <c r="V59" i="21"/>
  <c r="AE58" i="21"/>
  <c r="AA58" i="21"/>
  <c r="V58" i="21"/>
  <c r="AE57" i="21"/>
  <c r="AA57" i="21"/>
  <c r="V57" i="21"/>
  <c r="AE56" i="21"/>
  <c r="AA56" i="21"/>
  <c r="AF56" i="21" s="1"/>
  <c r="V56" i="21"/>
  <c r="AE55" i="21"/>
  <c r="AA55" i="21"/>
  <c r="V55" i="21"/>
  <c r="AE54" i="21"/>
  <c r="AA54" i="21"/>
  <c r="V54" i="21"/>
  <c r="AE53" i="21"/>
  <c r="AA53" i="21"/>
  <c r="AF53" i="21" s="1"/>
  <c r="V53" i="21"/>
  <c r="AE52" i="21"/>
  <c r="AA52" i="21"/>
  <c r="AF52" i="21" s="1"/>
  <c r="V52" i="21"/>
  <c r="AE51" i="21"/>
  <c r="AA51" i="21"/>
  <c r="V51" i="21"/>
  <c r="AE50" i="21"/>
  <c r="AA50" i="21"/>
  <c r="V50" i="21"/>
  <c r="AE49" i="21"/>
  <c r="AA49" i="21"/>
  <c r="AF49" i="21" s="1"/>
  <c r="V49" i="21"/>
  <c r="AE48" i="21"/>
  <c r="AA48" i="21"/>
  <c r="AF48" i="21" s="1"/>
  <c r="V48" i="21"/>
  <c r="AE47" i="21"/>
  <c r="AA47" i="21"/>
  <c r="V47" i="21"/>
  <c r="AE46" i="21"/>
  <c r="AA46" i="21"/>
  <c r="V46" i="21"/>
  <c r="AE45" i="21"/>
  <c r="AA45" i="21"/>
  <c r="AF45" i="21" s="1"/>
  <c r="V45" i="21"/>
  <c r="AE44" i="21"/>
  <c r="AA44" i="21"/>
  <c r="AF44" i="21" s="1"/>
  <c r="V44" i="21"/>
  <c r="AE43" i="21"/>
  <c r="AA43" i="21"/>
  <c r="V43" i="21"/>
  <c r="AE42" i="21"/>
  <c r="AA42" i="21"/>
  <c r="V42" i="21"/>
  <c r="AE41" i="21"/>
  <c r="AA41" i="21"/>
  <c r="AF41" i="21" s="1"/>
  <c r="V41" i="21"/>
  <c r="AE40" i="21"/>
  <c r="AA40" i="21"/>
  <c r="AF40" i="21" s="1"/>
  <c r="V40" i="21"/>
  <c r="AE39" i="21"/>
  <c r="AA39" i="21"/>
  <c r="V39" i="21"/>
  <c r="AE38" i="21"/>
  <c r="AA38" i="21"/>
  <c r="V38" i="21"/>
  <c r="AE37" i="21"/>
  <c r="AA37" i="21"/>
  <c r="AF37" i="21" s="1"/>
  <c r="V37" i="21"/>
  <c r="AE36" i="21"/>
  <c r="AA36" i="21"/>
  <c r="AF36" i="21" s="1"/>
  <c r="V36" i="21"/>
  <c r="AE35" i="21"/>
  <c r="AA35" i="21"/>
  <c r="V35" i="21"/>
  <c r="AE34" i="21"/>
  <c r="AA34" i="21"/>
  <c r="V34" i="21"/>
  <c r="AE33" i="21"/>
  <c r="AA33" i="21"/>
  <c r="AF33" i="21" s="1"/>
  <c r="V33" i="21"/>
  <c r="AE32" i="21"/>
  <c r="AA32" i="21"/>
  <c r="V32" i="21"/>
  <c r="AE31" i="21"/>
  <c r="AA31" i="21"/>
  <c r="V31" i="21"/>
  <c r="AE30" i="21"/>
  <c r="AA30" i="21"/>
  <c r="V30" i="21"/>
  <c r="AE29" i="21"/>
  <c r="AA29" i="21"/>
  <c r="AF29" i="21" s="1"/>
  <c r="V29" i="21"/>
  <c r="AE28" i="21"/>
  <c r="AA28" i="21"/>
  <c r="AF28" i="21" s="1"/>
  <c r="V28" i="21"/>
  <c r="AE27" i="21"/>
  <c r="AA27" i="21"/>
  <c r="V27" i="21"/>
  <c r="AE26" i="21"/>
  <c r="AA26" i="21"/>
  <c r="V26" i="21"/>
  <c r="AE25" i="21"/>
  <c r="AA25" i="21"/>
  <c r="AF25" i="21" s="1"/>
  <c r="V25" i="21"/>
  <c r="AE24" i="21"/>
  <c r="AA24" i="21"/>
  <c r="AF24" i="21" s="1"/>
  <c r="V24" i="21"/>
  <c r="AE23" i="21"/>
  <c r="AA23" i="21"/>
  <c r="V23" i="21"/>
  <c r="AE22" i="21"/>
  <c r="AA22" i="21"/>
  <c r="V22" i="21"/>
  <c r="AE21" i="21"/>
  <c r="AA21" i="21"/>
  <c r="V21" i="21"/>
  <c r="AE20" i="21"/>
  <c r="AA20" i="21"/>
  <c r="AF20" i="21" s="1"/>
  <c r="V20" i="21"/>
  <c r="AE19" i="21"/>
  <c r="AA19" i="21"/>
  <c r="V19" i="21"/>
  <c r="AE18" i="21"/>
  <c r="AA18" i="21"/>
  <c r="V18" i="21"/>
  <c r="AE17" i="21"/>
  <c r="AA17" i="21"/>
  <c r="AF17" i="21" s="1"/>
  <c r="V17" i="21"/>
  <c r="AE16" i="21"/>
  <c r="AA16" i="21"/>
  <c r="AF16" i="21" s="1"/>
  <c r="V16" i="21"/>
  <c r="AE15" i="21"/>
  <c r="AA15" i="21"/>
  <c r="V15" i="21"/>
  <c r="AE14" i="21"/>
  <c r="AA14" i="21"/>
  <c r="V14" i="21"/>
  <c r="AE13" i="21"/>
  <c r="AA13" i="21"/>
  <c r="AF13" i="21" s="1"/>
  <c r="V13" i="21"/>
  <c r="AE12" i="21"/>
  <c r="AA12" i="21"/>
  <c r="AF12" i="21" s="1"/>
  <c r="V12" i="21"/>
  <c r="AE11" i="21"/>
  <c r="AA11" i="21"/>
  <c r="V11" i="21"/>
  <c r="AE10" i="21"/>
  <c r="AA10" i="21"/>
  <c r="V10" i="21"/>
  <c r="AE9" i="21"/>
  <c r="AA9" i="21"/>
  <c r="AF9" i="21" s="1"/>
  <c r="V9" i="21"/>
  <c r="AE8" i="21"/>
  <c r="AA8" i="21"/>
  <c r="V8" i="21"/>
  <c r="AE7" i="21"/>
  <c r="AA7" i="21"/>
  <c r="V7" i="21"/>
  <c r="AE6" i="21"/>
  <c r="AA6" i="21"/>
  <c r="V6" i="21"/>
  <c r="D17" i="22"/>
  <c r="D16" i="22"/>
  <c r="D15" i="22"/>
  <c r="D14" i="22"/>
  <c r="F15" i="22"/>
  <c r="F16" i="22"/>
  <c r="M1" i="21"/>
  <c r="AF117" i="21" l="1"/>
  <c r="AF8" i="21"/>
  <c r="AF6" i="21"/>
  <c r="AF10" i="21"/>
  <c r="AF18" i="21"/>
  <c r="AF22" i="21"/>
  <c r="AF26" i="21"/>
  <c r="AF30" i="21"/>
  <c r="AF34" i="21"/>
  <c r="AF38" i="21"/>
  <c r="AF42" i="21"/>
  <c r="AF46" i="21"/>
  <c r="AF54" i="21"/>
  <c r="AF58" i="21"/>
  <c r="AF62" i="21"/>
  <c r="AF66" i="21"/>
  <c r="AF70" i="21"/>
  <c r="AF74" i="21"/>
  <c r="AF78" i="21"/>
  <c r="AF82" i="21"/>
  <c r="AF94" i="21"/>
  <c r="AF98" i="21"/>
  <c r="AF102" i="21"/>
  <c r="AF106" i="21"/>
  <c r="AF110" i="21"/>
  <c r="AF114" i="21"/>
  <c r="AF118" i="21"/>
  <c r="AF90" i="21"/>
  <c r="AF7" i="21"/>
  <c r="AF11" i="21"/>
  <c r="AF15" i="21"/>
  <c r="AF19" i="21"/>
  <c r="AF23" i="21"/>
  <c r="AF27" i="21"/>
  <c r="AF31" i="21"/>
  <c r="AF35" i="21"/>
  <c r="AF43" i="21"/>
  <c r="AF47" i="21"/>
  <c r="AF51" i="21"/>
  <c r="AF55" i="21"/>
  <c r="AF59" i="21"/>
  <c r="AF63" i="21"/>
  <c r="AF67" i="21"/>
  <c r="AF71" i="21"/>
  <c r="AF79" i="21"/>
  <c r="AF83" i="21"/>
  <c r="AF87" i="21"/>
  <c r="AF91" i="21"/>
  <c r="AF95" i="21"/>
  <c r="AF99" i="21"/>
  <c r="AF103" i="21"/>
  <c r="AF107" i="21"/>
  <c r="AF115" i="21"/>
  <c r="AF119" i="21"/>
  <c r="AF32" i="21"/>
  <c r="AF68" i="21"/>
  <c r="AF14" i="21"/>
  <c r="AF50" i="21"/>
  <c r="AF104" i="21"/>
  <c r="AF86" i="21"/>
  <c r="AF21" i="21"/>
  <c r="AF39" i="21"/>
  <c r="AF57" i="21"/>
  <c r="AF75" i="21"/>
  <c r="AF93" i="21"/>
  <c r="AF111" i="21"/>
  <c r="M19" i="58"/>
  <c r="L19" i="58"/>
  <c r="M18" i="58"/>
  <c r="L18" i="58"/>
  <c r="M17" i="58"/>
  <c r="L17" i="58"/>
  <c r="M16" i="58"/>
  <c r="L16" i="58"/>
  <c r="M14" i="58"/>
  <c r="L14" i="58"/>
  <c r="M12" i="58"/>
  <c r="L12" i="58"/>
  <c r="M11" i="58"/>
  <c r="L11" i="58"/>
  <c r="M10" i="58"/>
  <c r="L10" i="58"/>
  <c r="M9" i="58"/>
  <c r="L9" i="58"/>
  <c r="M8" i="58"/>
  <c r="L8" i="58"/>
  <c r="M7" i="58"/>
  <c r="L7" i="58"/>
  <c r="M6" i="58"/>
  <c r="L6" i="58"/>
  <c r="M5" i="58"/>
  <c r="L5" i="58"/>
  <c r="M4" i="58"/>
  <c r="L4" i="58"/>
  <c r="M3" i="58"/>
  <c r="L3" i="58"/>
  <c r="AE5" i="21" l="1"/>
  <c r="D67" i="22"/>
  <c r="D187" i="22" l="1"/>
  <c r="D204" i="22"/>
  <c r="D190" i="22"/>
  <c r="D205" i="22"/>
  <c r="D191" i="22"/>
  <c r="D197" i="22"/>
  <c r="D198" i="22"/>
  <c r="D199" i="22"/>
  <c r="D192" i="22"/>
  <c r="D200" i="22"/>
  <c r="D206" i="22"/>
  <c r="D185" i="22"/>
  <c r="D186" i="22"/>
  <c r="D188" i="22"/>
  <c r="D193" i="22"/>
  <c r="D194" i="22"/>
  <c r="D201" i="22"/>
  <c r="D202" i="22"/>
  <c r="D189" i="22"/>
  <c r="D195" i="22"/>
  <c r="D203" i="22"/>
  <c r="D207" i="22"/>
  <c r="D196" i="22"/>
  <c r="D159" i="22"/>
  <c r="D160" i="22"/>
  <c r="D137" i="22"/>
  <c r="D178" i="22"/>
  <c r="D138" i="22"/>
  <c r="D175" i="22"/>
  <c r="D169" i="22"/>
  <c r="D173" i="22"/>
  <c r="D147" i="22"/>
  <c r="D161" i="22"/>
  <c r="D180" i="22"/>
  <c r="D144" i="22"/>
  <c r="D167" i="22"/>
  <c r="D134" i="22"/>
  <c r="D181" i="22"/>
  <c r="D152" i="22"/>
  <c r="D135" i="22"/>
  <c r="D149" i="22"/>
  <c r="D176" i="22"/>
  <c r="D163" i="22"/>
  <c r="D155" i="22"/>
  <c r="D177" i="22"/>
  <c r="D156" i="22"/>
  <c r="D150" i="22"/>
  <c r="D151" i="22"/>
  <c r="D171" i="22"/>
  <c r="D158" i="22"/>
  <c r="D162" i="22"/>
  <c r="D153" i="22"/>
  <c r="D164" i="22"/>
  <c r="D179" i="22"/>
  <c r="D157" i="22"/>
  <c r="D142" i="22"/>
  <c r="D141" i="22"/>
  <c r="D146" i="22"/>
  <c r="D168" i="22"/>
  <c r="D170" i="22"/>
  <c r="D174" i="22"/>
  <c r="D143" i="22"/>
  <c r="D140" i="22"/>
  <c r="D166" i="22"/>
  <c r="D154" i="22"/>
  <c r="D139" i="22"/>
  <c r="D148" i="22"/>
  <c r="D172" i="22"/>
  <c r="D165" i="22"/>
  <c r="D136" i="22"/>
  <c r="D145" i="22"/>
  <c r="F60" i="22"/>
  <c r="D60" i="22"/>
  <c r="F56" i="22"/>
  <c r="D56" i="22"/>
  <c r="F59" i="22"/>
  <c r="F58" i="22"/>
  <c r="F57" i="22"/>
  <c r="F55" i="22"/>
  <c r="F54" i="22"/>
  <c r="F53" i="22"/>
  <c r="F52" i="22"/>
  <c r="F51" i="22"/>
  <c r="F50" i="22"/>
  <c r="F49" i="22"/>
  <c r="F48" i="22"/>
  <c r="F47" i="22"/>
  <c r="F46" i="22"/>
  <c r="F45" i="22"/>
  <c r="F44" i="22"/>
  <c r="F43" i="22"/>
  <c r="D46" i="22"/>
  <c r="D45" i="22"/>
  <c r="D44" i="22"/>
  <c r="D43" i="22"/>
  <c r="D59" i="22"/>
  <c r="D58" i="22"/>
  <c r="D57" i="22"/>
  <c r="D55" i="22"/>
  <c r="D54" i="22"/>
  <c r="D53" i="22"/>
  <c r="D52" i="22"/>
  <c r="D51" i="22"/>
  <c r="D50" i="22"/>
  <c r="D49" i="22"/>
  <c r="D48" i="22"/>
  <c r="D47" i="22"/>
  <c r="F105" i="22"/>
  <c r="F106" i="22" s="1"/>
  <c r="D208" i="22" l="1"/>
  <c r="D182" i="22"/>
  <c r="D61" i="22"/>
  <c r="F61" i="22"/>
  <c r="D33" i="22" l="1"/>
  <c r="D32" i="22"/>
  <c r="AE110" i="22"/>
  <c r="AB110" i="22"/>
  <c r="Y110" i="22"/>
  <c r="V110" i="22"/>
  <c r="F37" i="22"/>
  <c r="F38" i="22"/>
  <c r="F39" i="22"/>
  <c r="F36" i="22"/>
  <c r="D37" i="22"/>
  <c r="D38" i="22"/>
  <c r="D39" i="22"/>
  <c r="D36" i="22"/>
  <c r="F67" i="22"/>
  <c r="AA5" i="21"/>
  <c r="AF5" i="21" s="1"/>
  <c r="V109" i="22" l="1"/>
  <c r="W109" i="22" s="1"/>
  <c r="D40" i="22"/>
  <c r="Y109" i="22"/>
  <c r="Z109" i="22" s="1"/>
  <c r="AB109" i="22"/>
  <c r="AC109" i="22" s="1"/>
  <c r="AE109" i="22"/>
  <c r="AF109" i="22" s="1"/>
  <c r="AF110" i="22"/>
  <c r="AC110" i="22"/>
  <c r="Z110" i="22"/>
  <c r="W110" i="22"/>
  <c r="AD110" i="22" l="1"/>
  <c r="AD109" i="22" s="1"/>
  <c r="X110" i="22"/>
  <c r="X109" i="22" s="1"/>
  <c r="AA110" i="22"/>
  <c r="AA109" i="22" s="1"/>
  <c r="AG110" i="22"/>
  <c r="AG109" i="22" s="1"/>
  <c r="M105" i="22"/>
  <c r="M106" i="22" s="1"/>
  <c r="L105" i="22"/>
  <c r="L106" i="22" s="1"/>
  <c r="K105" i="22"/>
  <c r="K106" i="22" s="1"/>
  <c r="J105" i="22"/>
  <c r="J106" i="22" s="1"/>
  <c r="V4" i="22"/>
  <c r="T4" i="22"/>
  <c r="R4" i="22"/>
  <c r="P4" i="22"/>
  <c r="S123" i="22"/>
  <c r="V123" i="22"/>
  <c r="U123" i="22"/>
  <c r="R123" i="22"/>
  <c r="Q123" i="22"/>
  <c r="I123" i="22"/>
  <c r="H123" i="22"/>
  <c r="F123" i="22"/>
  <c r="E123" i="22"/>
  <c r="D123" i="22"/>
  <c r="S110" i="22"/>
  <c r="S109" i="22"/>
  <c r="T109" i="22" s="1"/>
  <c r="F29" i="22"/>
  <c r="F28" i="22"/>
  <c r="F25" i="22"/>
  <c r="F24" i="22"/>
  <c r="F21" i="22"/>
  <c r="F20" i="22"/>
  <c r="F14" i="22"/>
  <c r="F17" i="22"/>
  <c r="U1" i="53"/>
  <c r="C7" i="25"/>
  <c r="C8" i="25"/>
  <c r="C9" i="25"/>
  <c r="C10" i="25"/>
  <c r="C11" i="25"/>
  <c r="C12" i="25"/>
  <c r="C13" i="25"/>
  <c r="C14" i="25"/>
  <c r="C15" i="25"/>
  <c r="C16" i="25"/>
  <c r="C17" i="25"/>
  <c r="C18" i="25"/>
  <c r="C19" i="25"/>
  <c r="C20" i="25"/>
  <c r="C21" i="25"/>
  <c r="C22" i="25"/>
  <c r="C23" i="25"/>
  <c r="C24" i="25"/>
  <c r="C25" i="25"/>
  <c r="C26" i="25"/>
  <c r="C27" i="25"/>
  <c r="C28" i="25"/>
  <c r="C29" i="25"/>
  <c r="C30" i="25"/>
  <c r="C31" i="25"/>
  <c r="C32" i="25"/>
  <c r="C33" i="25"/>
  <c r="C34" i="25"/>
  <c r="C35" i="25"/>
  <c r="C36" i="25"/>
  <c r="C37" i="25"/>
  <c r="C38" i="25"/>
  <c r="C39" i="25"/>
  <c r="C40" i="25"/>
  <c r="C41" i="25"/>
  <c r="C42" i="25"/>
  <c r="C43" i="25"/>
  <c r="C44" i="25"/>
  <c r="C45" i="25"/>
  <c r="C46" i="25"/>
  <c r="C47" i="25"/>
  <c r="C48" i="25"/>
  <c r="C49" i="25"/>
  <c r="C50" i="25"/>
  <c r="C51" i="25"/>
  <c r="C52" i="25"/>
  <c r="C53" i="25"/>
  <c r="C54" i="25"/>
  <c r="C55" i="25"/>
  <c r="C56" i="25"/>
  <c r="C57" i="25"/>
  <c r="C58" i="25"/>
  <c r="C59" i="25"/>
  <c r="C60" i="25"/>
  <c r="C61" i="25"/>
  <c r="C62" i="25"/>
  <c r="C63" i="25"/>
  <c r="C64" i="25"/>
  <c r="C65" i="25"/>
  <c r="C66" i="25"/>
  <c r="C67" i="25"/>
  <c r="C68" i="25"/>
  <c r="C69" i="25"/>
  <c r="C70" i="25"/>
  <c r="C71" i="25"/>
  <c r="C72" i="25"/>
  <c r="C73" i="25"/>
  <c r="C74" i="25"/>
  <c r="C75" i="25"/>
  <c r="C76" i="25"/>
  <c r="C77" i="25"/>
  <c r="C78" i="25"/>
  <c r="C79" i="25"/>
  <c r="C80" i="25"/>
  <c r="C81" i="25"/>
  <c r="C82" i="25"/>
  <c r="C83" i="25"/>
  <c r="C84" i="25"/>
  <c r="C85" i="25"/>
  <c r="C86" i="25"/>
  <c r="C87" i="25"/>
  <c r="C88" i="25"/>
  <c r="C89" i="25"/>
  <c r="C90" i="25"/>
  <c r="C91" i="25"/>
  <c r="C92" i="25"/>
  <c r="C93" i="25"/>
  <c r="C94" i="25"/>
  <c r="C95" i="25"/>
  <c r="C96" i="25"/>
  <c r="C97" i="25"/>
  <c r="C98" i="25"/>
  <c r="C99" i="25"/>
  <c r="C100" i="25"/>
  <c r="C101" i="25"/>
  <c r="C102" i="25"/>
  <c r="C103" i="25"/>
  <c r="C104" i="25"/>
  <c r="C105" i="25"/>
  <c r="C106" i="25"/>
  <c r="C107" i="25"/>
  <c r="C108" i="25"/>
  <c r="C109" i="25"/>
  <c r="C110" i="25"/>
  <c r="C111" i="25"/>
  <c r="C112" i="25"/>
  <c r="C113" i="25"/>
  <c r="C114" i="25"/>
  <c r="D105" i="22"/>
  <c r="U110" i="22" l="1"/>
  <c r="U109" i="22" s="1"/>
  <c r="T110" i="22"/>
  <c r="P110" i="22"/>
  <c r="P109" i="22"/>
  <c r="M110" i="22"/>
  <c r="J110" i="22"/>
  <c r="J109" i="22"/>
  <c r="G110" i="22"/>
  <c r="L131" i="22"/>
  <c r="L130" i="22"/>
  <c r="J131" i="22"/>
  <c r="J130" i="22"/>
  <c r="H131" i="22"/>
  <c r="H130" i="22"/>
  <c r="F131" i="22"/>
  <c r="F130" i="22"/>
  <c r="D130" i="22"/>
  <c r="D131" i="22"/>
  <c r="L11" i="22"/>
  <c r="J11" i="22"/>
  <c r="H11" i="22"/>
  <c r="F11" i="22"/>
  <c r="L4" i="22"/>
  <c r="J4" i="22"/>
  <c r="H4" i="22"/>
  <c r="I105" i="22"/>
  <c r="I106" i="22" s="1"/>
  <c r="H105" i="22"/>
  <c r="H106" i="22" s="1"/>
  <c r="G105" i="22"/>
  <c r="G106" i="22" s="1"/>
  <c r="K130" i="22" l="1"/>
  <c r="K131" i="22"/>
  <c r="G130" i="22"/>
  <c r="I130" i="22"/>
  <c r="I131" i="22"/>
  <c r="G131" i="22"/>
  <c r="M130" i="22"/>
  <c r="M131" i="22"/>
  <c r="Q110" i="22"/>
  <c r="Q109" i="22"/>
  <c r="N110" i="22"/>
  <c r="K110" i="22"/>
  <c r="K109" i="22"/>
  <c r="H110" i="22"/>
  <c r="I11" i="22"/>
  <c r="K11" i="22"/>
  <c r="M11" i="22"/>
  <c r="G11" i="22"/>
  <c r="E105" i="22"/>
  <c r="E106" i="22" s="1"/>
  <c r="F4" i="22"/>
  <c r="D116" i="25"/>
  <c r="D28" i="22"/>
  <c r="D24" i="22"/>
  <c r="C8" i="22"/>
  <c r="C9" i="22"/>
  <c r="C10" i="22"/>
  <c r="G16" i="22" l="1"/>
  <c r="G15" i="22"/>
  <c r="G14" i="22"/>
  <c r="G17" i="22"/>
  <c r="G56" i="22"/>
  <c r="G60" i="22"/>
  <c r="G44" i="22"/>
  <c r="G48" i="22"/>
  <c r="G58" i="22"/>
  <c r="G46" i="22"/>
  <c r="G57" i="22"/>
  <c r="G45" i="22"/>
  <c r="G49" i="22"/>
  <c r="G59" i="22"/>
  <c r="G47" i="22"/>
  <c r="G55" i="22"/>
  <c r="G43" i="22"/>
  <c r="G54" i="22"/>
  <c r="G52" i="22"/>
  <c r="G50" i="22"/>
  <c r="G51" i="22"/>
  <c r="G53" i="22"/>
  <c r="G37" i="22"/>
  <c r="G39" i="22"/>
  <c r="G36" i="22"/>
  <c r="G38" i="22"/>
  <c r="G28" i="22"/>
  <c r="G29" i="22"/>
  <c r="G24" i="22"/>
  <c r="G67" i="22"/>
  <c r="G25" i="22"/>
  <c r="G21" i="22"/>
  <c r="G20" i="22"/>
  <c r="R110" i="22"/>
  <c r="R109" i="22" s="1"/>
  <c r="L110" i="22"/>
  <c r="L109" i="22" s="1"/>
  <c r="F10" i="22"/>
  <c r="G10" i="22" s="1"/>
  <c r="J10" i="22"/>
  <c r="K10" i="22" s="1"/>
  <c r="H10" i="22"/>
  <c r="I10" i="22" s="1"/>
  <c r="L10" i="22"/>
  <c r="M10" i="22" s="1"/>
  <c r="H9" i="22"/>
  <c r="I9" i="22" s="1"/>
  <c r="L9" i="22"/>
  <c r="M9" i="22" s="1"/>
  <c r="F9" i="22"/>
  <c r="G9" i="22" s="1"/>
  <c r="J9" i="22"/>
  <c r="K9" i="22" s="1"/>
  <c r="F8" i="22"/>
  <c r="G8" i="22" s="1"/>
  <c r="L8" i="22"/>
  <c r="M8" i="22" s="1"/>
  <c r="H8" i="22"/>
  <c r="I8" i="22" s="1"/>
  <c r="J8" i="22"/>
  <c r="D9" i="22"/>
  <c r="D8" i="22"/>
  <c r="I14" i="22" l="1"/>
  <c r="G61" i="22"/>
  <c r="K8" i="22"/>
  <c r="V5" i="21" l="1"/>
  <c r="J113" i="22" l="1"/>
  <c r="J114" i="22" s="1"/>
  <c r="M113" i="22"/>
  <c r="M114" i="22" s="1"/>
  <c r="L113" i="22"/>
  <c r="L114" i="22" s="1"/>
  <c r="K113" i="22"/>
  <c r="K114" i="22" s="1"/>
  <c r="G109" i="22"/>
  <c r="M109" i="22"/>
  <c r="H119" i="22"/>
  <c r="I119" i="22" s="1"/>
  <c r="H118" i="22"/>
  <c r="I118" i="22" s="1"/>
  <c r="H117" i="22"/>
  <c r="I117" i="22" s="1"/>
  <c r="I113" i="22"/>
  <c r="I114" i="22" s="1"/>
  <c r="F113" i="22"/>
  <c r="F114" i="22" s="1"/>
  <c r="G113" i="22"/>
  <c r="G114" i="22" s="1"/>
  <c r="H113" i="22"/>
  <c r="H114" i="22" s="1"/>
  <c r="AB1" i="47"/>
  <c r="V1" i="44"/>
  <c r="E113" i="22"/>
  <c r="E114" i="22" s="1"/>
  <c r="N109" i="22" l="1"/>
  <c r="O110" i="22"/>
  <c r="O109" i="22" s="1"/>
  <c r="H109" i="22"/>
  <c r="I110" i="22"/>
  <c r="I109" i="22" s="1"/>
  <c r="C91" i="22"/>
  <c r="F91" i="22" s="1"/>
  <c r="C90" i="22"/>
  <c r="F90" i="22" s="1"/>
  <c r="C89" i="22"/>
  <c r="F89" i="22" s="1"/>
  <c r="C88" i="22"/>
  <c r="F88" i="22" s="1"/>
  <c r="C87" i="22"/>
  <c r="F87" i="22" s="1"/>
  <c r="B86" i="22"/>
  <c r="C126" i="22"/>
  <c r="C125" i="22"/>
  <c r="C124" i="22"/>
  <c r="C72" i="22"/>
  <c r="F72" i="22" s="1"/>
  <c r="G72" i="22" s="1"/>
  <c r="C74" i="22"/>
  <c r="F74" i="22" s="1"/>
  <c r="G74" i="22" s="1"/>
  <c r="C82" i="22"/>
  <c r="C81" i="22"/>
  <c r="C80" i="22"/>
  <c r="C79" i="22"/>
  <c r="C83" i="22"/>
  <c r="B78" i="22"/>
  <c r="H3" i="28"/>
  <c r="D5" i="28"/>
  <c r="E5" i="28" s="1"/>
  <c r="F5" i="28" s="1"/>
  <c r="D6" i="28"/>
  <c r="E6" i="28" s="1"/>
  <c r="F6" i="28" s="1"/>
  <c r="D7" i="28"/>
  <c r="E7" i="28" s="1"/>
  <c r="F7" i="28" s="1"/>
  <c r="D8" i="28"/>
  <c r="E8" i="28" s="1"/>
  <c r="F8" i="28" s="1"/>
  <c r="D9" i="28"/>
  <c r="E9" i="28" s="1"/>
  <c r="F9" i="28" s="1"/>
  <c r="D10" i="28"/>
  <c r="E10" i="28" s="1"/>
  <c r="F10" i="28" s="1"/>
  <c r="D11" i="28"/>
  <c r="E11" i="28" s="1"/>
  <c r="F11" i="28" s="1"/>
  <c r="D12" i="28"/>
  <c r="E12" i="28" s="1"/>
  <c r="F12" i="28" s="1"/>
  <c r="D13" i="28"/>
  <c r="E13" i="28" s="1"/>
  <c r="F13" i="28" s="1"/>
  <c r="D14" i="28"/>
  <c r="E14" i="28" s="1"/>
  <c r="F14" i="28" s="1"/>
  <c r="D15" i="28"/>
  <c r="E15" i="28" s="1"/>
  <c r="F15" i="28" s="1"/>
  <c r="D16" i="28"/>
  <c r="E16" i="28" s="1"/>
  <c r="F16" i="28" s="1"/>
  <c r="D17" i="28"/>
  <c r="E17" i="28" s="1"/>
  <c r="F17" i="28" s="1"/>
  <c r="D18" i="28"/>
  <c r="E18" i="28" s="1"/>
  <c r="F18" i="28" s="1"/>
  <c r="D19" i="28"/>
  <c r="E19" i="28" s="1"/>
  <c r="F19" i="28" s="1"/>
  <c r="D20" i="28"/>
  <c r="E20" i="28" s="1"/>
  <c r="F20" i="28" s="1"/>
  <c r="D21" i="28"/>
  <c r="E21" i="28" s="1"/>
  <c r="F21" i="28" s="1"/>
  <c r="D22" i="28"/>
  <c r="E22" i="28" s="1"/>
  <c r="F22" i="28" s="1"/>
  <c r="D23" i="28"/>
  <c r="E23" i="28" s="1"/>
  <c r="F23" i="28" s="1"/>
  <c r="D24" i="28"/>
  <c r="E24" i="28" s="1"/>
  <c r="F24" i="28" s="1"/>
  <c r="D25" i="28"/>
  <c r="E25" i="28" s="1"/>
  <c r="F25" i="28" s="1"/>
  <c r="D26" i="28"/>
  <c r="E26" i="28" s="1"/>
  <c r="F26" i="28" s="1"/>
  <c r="D27" i="28"/>
  <c r="E27" i="28" s="1"/>
  <c r="F27" i="28" s="1"/>
  <c r="D28" i="28"/>
  <c r="E28" i="28" s="1"/>
  <c r="F28" i="28" s="1"/>
  <c r="D29" i="28"/>
  <c r="E29" i="28" s="1"/>
  <c r="F29" i="28" s="1"/>
  <c r="D30" i="28"/>
  <c r="E30" i="28" s="1"/>
  <c r="F30" i="28" s="1"/>
  <c r="D31" i="28"/>
  <c r="E31" i="28" s="1"/>
  <c r="F31" i="28" s="1"/>
  <c r="D32" i="28"/>
  <c r="E32" i="28" s="1"/>
  <c r="F32" i="28" s="1"/>
  <c r="D33" i="28"/>
  <c r="E33" i="28" s="1"/>
  <c r="F33" i="28" s="1"/>
  <c r="D34" i="28"/>
  <c r="E34" i="28" s="1"/>
  <c r="F34" i="28" s="1"/>
  <c r="D35" i="28"/>
  <c r="E35" i="28" s="1"/>
  <c r="F35" i="28" s="1"/>
  <c r="D36" i="28"/>
  <c r="E36" i="28" s="1"/>
  <c r="F36" i="28" s="1"/>
  <c r="D37" i="28"/>
  <c r="E37" i="28" s="1"/>
  <c r="F37" i="28" s="1"/>
  <c r="D38" i="28"/>
  <c r="E38" i="28" s="1"/>
  <c r="F38" i="28" s="1"/>
  <c r="D39" i="28"/>
  <c r="E39" i="28" s="1"/>
  <c r="F39" i="28" s="1"/>
  <c r="D40" i="28"/>
  <c r="E40" i="28" s="1"/>
  <c r="F40" i="28" s="1"/>
  <c r="D41" i="28"/>
  <c r="E41" i="28" s="1"/>
  <c r="F41" i="28" s="1"/>
  <c r="D42" i="28"/>
  <c r="E42" i="28" s="1"/>
  <c r="F42" i="28" s="1"/>
  <c r="D43" i="28"/>
  <c r="E43" i="28" s="1"/>
  <c r="F43" i="28" s="1"/>
  <c r="D44" i="28"/>
  <c r="E44" i="28" s="1"/>
  <c r="F44" i="28" s="1"/>
  <c r="D45" i="28"/>
  <c r="E45" i="28" s="1"/>
  <c r="F45" i="28" s="1"/>
  <c r="D46" i="28"/>
  <c r="E46" i="28" s="1"/>
  <c r="F46" i="28" s="1"/>
  <c r="D47" i="28"/>
  <c r="E47" i="28" s="1"/>
  <c r="F47" i="28" s="1"/>
  <c r="D48" i="28"/>
  <c r="E48" i="28" s="1"/>
  <c r="F48" i="28" s="1"/>
  <c r="D49" i="28"/>
  <c r="E49" i="28" s="1"/>
  <c r="F49" i="28" s="1"/>
  <c r="D50" i="28"/>
  <c r="E50" i="28" s="1"/>
  <c r="F50" i="28" s="1"/>
  <c r="D51" i="28"/>
  <c r="E51" i="28" s="1"/>
  <c r="F51" i="28" s="1"/>
  <c r="D52" i="28"/>
  <c r="E52" i="28" s="1"/>
  <c r="F52" i="28" s="1"/>
  <c r="D53" i="28"/>
  <c r="E53" i="28" s="1"/>
  <c r="F53" i="28" s="1"/>
  <c r="D54" i="28"/>
  <c r="E54" i="28" s="1"/>
  <c r="F54" i="28" s="1"/>
  <c r="D55" i="28"/>
  <c r="E55" i="28" s="1"/>
  <c r="F55" i="28" s="1"/>
  <c r="D56" i="28"/>
  <c r="E56" i="28" s="1"/>
  <c r="F56" i="28" s="1"/>
  <c r="D57" i="28"/>
  <c r="E57" i="28" s="1"/>
  <c r="F57" i="28" s="1"/>
  <c r="D58" i="28"/>
  <c r="E58" i="28" s="1"/>
  <c r="F58" i="28" s="1"/>
  <c r="D59" i="28"/>
  <c r="E59" i="28" s="1"/>
  <c r="F59" i="28" s="1"/>
  <c r="D60" i="28"/>
  <c r="E60" i="28" s="1"/>
  <c r="F60" i="28" s="1"/>
  <c r="D61" i="28"/>
  <c r="E61" i="28" s="1"/>
  <c r="F61" i="28" s="1"/>
  <c r="D62" i="28"/>
  <c r="E62" i="28" s="1"/>
  <c r="F62" i="28" s="1"/>
  <c r="D63" i="28"/>
  <c r="E63" i="28" s="1"/>
  <c r="F63" i="28" s="1"/>
  <c r="D64" i="28"/>
  <c r="E64" i="28" s="1"/>
  <c r="F64" i="28" s="1"/>
  <c r="D65" i="28"/>
  <c r="E65" i="28" s="1"/>
  <c r="F65" i="28" s="1"/>
  <c r="D66" i="28"/>
  <c r="E66" i="28" s="1"/>
  <c r="F66" i="28" s="1"/>
  <c r="D67" i="28"/>
  <c r="E67" i="28" s="1"/>
  <c r="F67" i="28" s="1"/>
  <c r="D68" i="28"/>
  <c r="E68" i="28" s="1"/>
  <c r="F68" i="28" s="1"/>
  <c r="D69" i="28"/>
  <c r="E69" i="28" s="1"/>
  <c r="F69" i="28" s="1"/>
  <c r="D70" i="28"/>
  <c r="E70" i="28" s="1"/>
  <c r="F70" i="28" s="1"/>
  <c r="D71" i="28"/>
  <c r="E71" i="28" s="1"/>
  <c r="F71" i="28" s="1"/>
  <c r="D72" i="28"/>
  <c r="E72" i="28" s="1"/>
  <c r="F72" i="28" s="1"/>
  <c r="D73" i="28"/>
  <c r="E73" i="28" s="1"/>
  <c r="F73" i="28" s="1"/>
  <c r="D74" i="28"/>
  <c r="E74" i="28" s="1"/>
  <c r="F74" i="28" s="1"/>
  <c r="D75" i="28"/>
  <c r="E75" i="28" s="1"/>
  <c r="F75" i="28" s="1"/>
  <c r="D76" i="28"/>
  <c r="E76" i="28" s="1"/>
  <c r="F76" i="28" s="1"/>
  <c r="D77" i="28"/>
  <c r="E77" i="28" s="1"/>
  <c r="F77" i="28" s="1"/>
  <c r="D78" i="28"/>
  <c r="E78" i="28" s="1"/>
  <c r="F78" i="28" s="1"/>
  <c r="D79" i="28"/>
  <c r="E79" i="28" s="1"/>
  <c r="F79" i="28" s="1"/>
  <c r="D80" i="28"/>
  <c r="E80" i="28" s="1"/>
  <c r="F80" i="28" s="1"/>
  <c r="D81" i="28"/>
  <c r="E81" i="28" s="1"/>
  <c r="F81" i="28" s="1"/>
  <c r="D82" i="28"/>
  <c r="E82" i="28" s="1"/>
  <c r="F82" i="28" s="1"/>
  <c r="D83" i="28"/>
  <c r="E83" i="28" s="1"/>
  <c r="F83" i="28" s="1"/>
  <c r="D84" i="28"/>
  <c r="E84" i="28" s="1"/>
  <c r="F84" i="28" s="1"/>
  <c r="D85" i="28"/>
  <c r="E85" i="28" s="1"/>
  <c r="F85" i="28" s="1"/>
  <c r="D86" i="28"/>
  <c r="E86" i="28" s="1"/>
  <c r="F86" i="28" s="1"/>
  <c r="D87" i="28"/>
  <c r="E87" i="28" s="1"/>
  <c r="F87" i="28" s="1"/>
  <c r="D88" i="28"/>
  <c r="E88" i="28" s="1"/>
  <c r="F88" i="28" s="1"/>
  <c r="D89" i="28"/>
  <c r="E89" i="28" s="1"/>
  <c r="F89" i="28" s="1"/>
  <c r="D90" i="28"/>
  <c r="E90" i="28" s="1"/>
  <c r="F90" i="28" s="1"/>
  <c r="D91" i="28"/>
  <c r="E91" i="28" s="1"/>
  <c r="F91" i="28" s="1"/>
  <c r="D92" i="28"/>
  <c r="E92" i="28" s="1"/>
  <c r="F92" i="28" s="1"/>
  <c r="D93" i="28"/>
  <c r="E93" i="28" s="1"/>
  <c r="F93" i="28" s="1"/>
  <c r="D94" i="28"/>
  <c r="E94" i="28" s="1"/>
  <c r="F94" i="28" s="1"/>
  <c r="D95" i="28"/>
  <c r="E95" i="28" s="1"/>
  <c r="F95" i="28" s="1"/>
  <c r="D96" i="28"/>
  <c r="E96" i="28" s="1"/>
  <c r="F96" i="28" s="1"/>
  <c r="D97" i="28"/>
  <c r="E97" i="28" s="1"/>
  <c r="F97" i="28" s="1"/>
  <c r="D98" i="28"/>
  <c r="E98" i="28" s="1"/>
  <c r="F98" i="28" s="1"/>
  <c r="D99" i="28"/>
  <c r="E99" i="28" s="1"/>
  <c r="F99" i="28" s="1"/>
  <c r="D100" i="28"/>
  <c r="E100" i="28" s="1"/>
  <c r="F100" i="28" s="1"/>
  <c r="D101" i="28"/>
  <c r="E101" i="28" s="1"/>
  <c r="F101" i="28" s="1"/>
  <c r="D102" i="28"/>
  <c r="E102" i="28" s="1"/>
  <c r="F102" i="28" s="1"/>
  <c r="D103" i="28"/>
  <c r="E103" i="28" s="1"/>
  <c r="F103" i="28" s="1"/>
  <c r="D104" i="28"/>
  <c r="E104" i="28" s="1"/>
  <c r="F104" i="28" s="1"/>
  <c r="D105" i="28"/>
  <c r="E105" i="28" s="1"/>
  <c r="F105" i="28" s="1"/>
  <c r="D106" i="28"/>
  <c r="E106" i="28" s="1"/>
  <c r="F106" i="28" s="1"/>
  <c r="D107" i="28"/>
  <c r="E107" i="28" s="1"/>
  <c r="F107" i="28" s="1"/>
  <c r="D108" i="28"/>
  <c r="E108" i="28" s="1"/>
  <c r="F108" i="28" s="1"/>
  <c r="D109" i="28"/>
  <c r="E109" i="28" s="1"/>
  <c r="F109" i="28" s="1"/>
  <c r="D110" i="28"/>
  <c r="E110" i="28" s="1"/>
  <c r="F110" i="28" s="1"/>
  <c r="D111" i="28"/>
  <c r="E111" i="28" s="1"/>
  <c r="F111" i="28" s="1"/>
  <c r="D112" i="28"/>
  <c r="E112" i="28" s="1"/>
  <c r="F112" i="28" s="1"/>
  <c r="D113" i="28"/>
  <c r="E113" i="28" s="1"/>
  <c r="D114" i="28"/>
  <c r="E114" i="28" s="1"/>
  <c r="D115" i="28"/>
  <c r="E115" i="28" s="1"/>
  <c r="J115" i="28"/>
  <c r="G115" i="28"/>
  <c r="H115" i="28" s="1"/>
  <c r="I115" i="28" s="1"/>
  <c r="C115" i="28"/>
  <c r="B115" i="28"/>
  <c r="J114" i="28"/>
  <c r="G114" i="28"/>
  <c r="H114" i="28" s="1"/>
  <c r="I114" i="28" s="1"/>
  <c r="C114" i="28"/>
  <c r="B114" i="28"/>
  <c r="J113" i="28"/>
  <c r="G113" i="28"/>
  <c r="H113" i="28" s="1"/>
  <c r="I113" i="28" s="1"/>
  <c r="C113" i="28"/>
  <c r="B113" i="28"/>
  <c r="J112" i="28"/>
  <c r="G112" i="28"/>
  <c r="H112" i="28" s="1"/>
  <c r="I112" i="28" s="1"/>
  <c r="C112" i="28"/>
  <c r="B112" i="28"/>
  <c r="J111" i="28"/>
  <c r="G111" i="28"/>
  <c r="H111" i="28" s="1"/>
  <c r="I111" i="28" s="1"/>
  <c r="C111" i="28"/>
  <c r="B111" i="28"/>
  <c r="J110" i="28"/>
  <c r="G110" i="28"/>
  <c r="H110" i="28" s="1"/>
  <c r="I110" i="28" s="1"/>
  <c r="C110" i="28"/>
  <c r="B110" i="28"/>
  <c r="J109" i="28"/>
  <c r="G109" i="28"/>
  <c r="H109" i="28" s="1"/>
  <c r="I109" i="28" s="1"/>
  <c r="C109" i="28"/>
  <c r="B109" i="28"/>
  <c r="J108" i="28"/>
  <c r="G108" i="28"/>
  <c r="H108" i="28" s="1"/>
  <c r="I108" i="28" s="1"/>
  <c r="C108" i="28"/>
  <c r="B108" i="28"/>
  <c r="J107" i="28"/>
  <c r="G107" i="28"/>
  <c r="H107" i="28" s="1"/>
  <c r="I107" i="28" s="1"/>
  <c r="C107" i="28"/>
  <c r="B107" i="28"/>
  <c r="J106" i="28"/>
  <c r="G106" i="28"/>
  <c r="H106" i="28" s="1"/>
  <c r="I106" i="28" s="1"/>
  <c r="C106" i="28"/>
  <c r="B106" i="28"/>
  <c r="J105" i="28"/>
  <c r="G105" i="28"/>
  <c r="H105" i="28" s="1"/>
  <c r="I105" i="28" s="1"/>
  <c r="C105" i="28"/>
  <c r="B105" i="28"/>
  <c r="J104" i="28"/>
  <c r="G104" i="28"/>
  <c r="H104" i="28" s="1"/>
  <c r="I104" i="28" s="1"/>
  <c r="C104" i="28"/>
  <c r="B104" i="28"/>
  <c r="J103" i="28"/>
  <c r="G103" i="28"/>
  <c r="H103" i="28" s="1"/>
  <c r="I103" i="28" s="1"/>
  <c r="C103" i="28"/>
  <c r="B103" i="28"/>
  <c r="J102" i="28"/>
  <c r="G102" i="28"/>
  <c r="H102" i="28" s="1"/>
  <c r="I102" i="28" s="1"/>
  <c r="C102" i="28"/>
  <c r="B102" i="28"/>
  <c r="J101" i="28"/>
  <c r="G101" i="28"/>
  <c r="H101" i="28" s="1"/>
  <c r="I101" i="28" s="1"/>
  <c r="C101" i="28"/>
  <c r="B101" i="28"/>
  <c r="J100" i="28"/>
  <c r="G100" i="28"/>
  <c r="H100" i="28" s="1"/>
  <c r="I100" i="28" s="1"/>
  <c r="C100" i="28"/>
  <c r="B100" i="28"/>
  <c r="J99" i="28"/>
  <c r="G99" i="28"/>
  <c r="H99" i="28" s="1"/>
  <c r="I99" i="28" s="1"/>
  <c r="C99" i="28"/>
  <c r="B99" i="28"/>
  <c r="J98" i="28"/>
  <c r="G98" i="28"/>
  <c r="H98" i="28" s="1"/>
  <c r="I98" i="28" s="1"/>
  <c r="C98" i="28"/>
  <c r="B98" i="28"/>
  <c r="J97" i="28"/>
  <c r="G97" i="28"/>
  <c r="H97" i="28" s="1"/>
  <c r="I97" i="28" s="1"/>
  <c r="C97" i="28"/>
  <c r="B97" i="28"/>
  <c r="J96" i="28"/>
  <c r="G96" i="28"/>
  <c r="H96" i="28" s="1"/>
  <c r="I96" i="28" s="1"/>
  <c r="C96" i="28"/>
  <c r="B96" i="28"/>
  <c r="J95" i="28"/>
  <c r="G95" i="28"/>
  <c r="H95" i="28" s="1"/>
  <c r="I95" i="28" s="1"/>
  <c r="C95" i="28"/>
  <c r="B95" i="28"/>
  <c r="J94" i="28"/>
  <c r="G94" i="28"/>
  <c r="H94" i="28" s="1"/>
  <c r="I94" i="28" s="1"/>
  <c r="C94" i="28"/>
  <c r="B94" i="28"/>
  <c r="J93" i="28"/>
  <c r="G93" i="28"/>
  <c r="H93" i="28" s="1"/>
  <c r="I93" i="28" s="1"/>
  <c r="C93" i="28"/>
  <c r="B93" i="28"/>
  <c r="J92" i="28"/>
  <c r="G92" i="28"/>
  <c r="H92" i="28" s="1"/>
  <c r="I92" i="28" s="1"/>
  <c r="C92" i="28"/>
  <c r="B92" i="28"/>
  <c r="J91" i="28"/>
  <c r="G91" i="28"/>
  <c r="H91" i="28" s="1"/>
  <c r="I91" i="28" s="1"/>
  <c r="C91" i="28"/>
  <c r="B91" i="28"/>
  <c r="J90" i="28"/>
  <c r="G90" i="28"/>
  <c r="H90" i="28" s="1"/>
  <c r="I90" i="28" s="1"/>
  <c r="C90" i="28"/>
  <c r="B90" i="28"/>
  <c r="J89" i="28"/>
  <c r="G89" i="28"/>
  <c r="H89" i="28" s="1"/>
  <c r="I89" i="28" s="1"/>
  <c r="C89" i="28"/>
  <c r="B89" i="28"/>
  <c r="J88" i="28"/>
  <c r="G88" i="28"/>
  <c r="H88" i="28" s="1"/>
  <c r="I88" i="28" s="1"/>
  <c r="C88" i="28"/>
  <c r="B88" i="28"/>
  <c r="J87" i="28"/>
  <c r="G87" i="28"/>
  <c r="H87" i="28" s="1"/>
  <c r="I87" i="28" s="1"/>
  <c r="C87" i="28"/>
  <c r="B87" i="28"/>
  <c r="J86" i="28"/>
  <c r="G86" i="28"/>
  <c r="H86" i="28" s="1"/>
  <c r="I86" i="28" s="1"/>
  <c r="C86" i="28"/>
  <c r="B86" i="28"/>
  <c r="J85" i="28"/>
  <c r="G85" i="28"/>
  <c r="H85" i="28" s="1"/>
  <c r="I85" i="28" s="1"/>
  <c r="C85" i="28"/>
  <c r="B85" i="28"/>
  <c r="J84" i="28"/>
  <c r="G84" i="28"/>
  <c r="H84" i="28" s="1"/>
  <c r="I84" i="28" s="1"/>
  <c r="C84" i="28"/>
  <c r="B84" i="28"/>
  <c r="J83" i="28"/>
  <c r="G83" i="28"/>
  <c r="H83" i="28" s="1"/>
  <c r="I83" i="28" s="1"/>
  <c r="C83" i="28"/>
  <c r="B83" i="28"/>
  <c r="J82" i="28"/>
  <c r="G82" i="28"/>
  <c r="H82" i="28" s="1"/>
  <c r="I82" i="28" s="1"/>
  <c r="C82" i="28"/>
  <c r="B82" i="28"/>
  <c r="J81" i="28"/>
  <c r="G81" i="28"/>
  <c r="H81" i="28" s="1"/>
  <c r="I81" i="28" s="1"/>
  <c r="C81" i="28"/>
  <c r="B81" i="28"/>
  <c r="J80" i="28"/>
  <c r="G80" i="28"/>
  <c r="H80" i="28" s="1"/>
  <c r="I80" i="28" s="1"/>
  <c r="C80" i="28"/>
  <c r="B80" i="28"/>
  <c r="J79" i="28"/>
  <c r="G79" i="28"/>
  <c r="H79" i="28" s="1"/>
  <c r="I79" i="28" s="1"/>
  <c r="C79" i="28"/>
  <c r="B79" i="28"/>
  <c r="J78" i="28"/>
  <c r="G78" i="28"/>
  <c r="H78" i="28" s="1"/>
  <c r="I78" i="28" s="1"/>
  <c r="C78" i="28"/>
  <c r="B78" i="28"/>
  <c r="J77" i="28"/>
  <c r="G77" i="28"/>
  <c r="H77" i="28" s="1"/>
  <c r="I77" i="28" s="1"/>
  <c r="C77" i="28"/>
  <c r="B77" i="28"/>
  <c r="J76" i="28"/>
  <c r="G76" i="28"/>
  <c r="H76" i="28" s="1"/>
  <c r="I76" i="28" s="1"/>
  <c r="C76" i="28"/>
  <c r="B76" i="28"/>
  <c r="J75" i="28"/>
  <c r="G75" i="28"/>
  <c r="H75" i="28" s="1"/>
  <c r="I75" i="28" s="1"/>
  <c r="C75" i="28"/>
  <c r="B75" i="28"/>
  <c r="J74" i="28"/>
  <c r="G74" i="28"/>
  <c r="H74" i="28" s="1"/>
  <c r="I74" i="28" s="1"/>
  <c r="C74" i="28"/>
  <c r="B74" i="28"/>
  <c r="J73" i="28"/>
  <c r="G73" i="28"/>
  <c r="H73" i="28" s="1"/>
  <c r="I73" i="28" s="1"/>
  <c r="C73" i="28"/>
  <c r="B73" i="28"/>
  <c r="J72" i="28"/>
  <c r="G72" i="28"/>
  <c r="H72" i="28" s="1"/>
  <c r="I72" i="28" s="1"/>
  <c r="C72" i="28"/>
  <c r="B72" i="28"/>
  <c r="J71" i="28"/>
  <c r="G71" i="28"/>
  <c r="H71" i="28" s="1"/>
  <c r="I71" i="28" s="1"/>
  <c r="C71" i="28"/>
  <c r="B71" i="28"/>
  <c r="J70" i="28"/>
  <c r="G70" i="28"/>
  <c r="H70" i="28" s="1"/>
  <c r="I70" i="28" s="1"/>
  <c r="C70" i="28"/>
  <c r="B70" i="28"/>
  <c r="J69" i="28"/>
  <c r="G69" i="28"/>
  <c r="H69" i="28" s="1"/>
  <c r="I69" i="28" s="1"/>
  <c r="C69" i="28"/>
  <c r="B69" i="28"/>
  <c r="J68" i="28"/>
  <c r="G68" i="28"/>
  <c r="H68" i="28" s="1"/>
  <c r="I68" i="28" s="1"/>
  <c r="C68" i="28"/>
  <c r="B68" i="28"/>
  <c r="J67" i="28"/>
  <c r="G67" i="28"/>
  <c r="H67" i="28" s="1"/>
  <c r="I67" i="28" s="1"/>
  <c r="C67" i="28"/>
  <c r="B67" i="28"/>
  <c r="J66" i="28"/>
  <c r="G66" i="28"/>
  <c r="H66" i="28" s="1"/>
  <c r="I66" i="28" s="1"/>
  <c r="C66" i="28"/>
  <c r="B66" i="28"/>
  <c r="J65" i="28"/>
  <c r="G65" i="28"/>
  <c r="H65" i="28" s="1"/>
  <c r="I65" i="28" s="1"/>
  <c r="C65" i="28"/>
  <c r="B65" i="28"/>
  <c r="J64" i="28"/>
  <c r="G64" i="28"/>
  <c r="H64" i="28" s="1"/>
  <c r="I64" i="28" s="1"/>
  <c r="C64" i="28"/>
  <c r="B64" i="28"/>
  <c r="J63" i="28"/>
  <c r="G63" i="28"/>
  <c r="H63" i="28" s="1"/>
  <c r="I63" i="28" s="1"/>
  <c r="C63" i="28"/>
  <c r="B63" i="28"/>
  <c r="J62" i="28"/>
  <c r="G62" i="28"/>
  <c r="H62" i="28" s="1"/>
  <c r="I62" i="28" s="1"/>
  <c r="C62" i="28"/>
  <c r="B62" i="28"/>
  <c r="J61" i="28"/>
  <c r="G61" i="28"/>
  <c r="H61" i="28" s="1"/>
  <c r="I61" i="28" s="1"/>
  <c r="C61" i="28"/>
  <c r="B61" i="28"/>
  <c r="J60" i="28"/>
  <c r="G60" i="28"/>
  <c r="H60" i="28" s="1"/>
  <c r="I60" i="28" s="1"/>
  <c r="C60" i="28"/>
  <c r="B60" i="28"/>
  <c r="J59" i="28"/>
  <c r="G59" i="28"/>
  <c r="H59" i="28" s="1"/>
  <c r="I59" i="28" s="1"/>
  <c r="C59" i="28"/>
  <c r="B59" i="28"/>
  <c r="J58" i="28"/>
  <c r="G58" i="28"/>
  <c r="H58" i="28" s="1"/>
  <c r="I58" i="28" s="1"/>
  <c r="C58" i="28"/>
  <c r="B58" i="28"/>
  <c r="J57" i="28"/>
  <c r="G57" i="28"/>
  <c r="H57" i="28" s="1"/>
  <c r="I57" i="28" s="1"/>
  <c r="C57" i="28"/>
  <c r="B57" i="28"/>
  <c r="J56" i="28"/>
  <c r="G56" i="28"/>
  <c r="H56" i="28" s="1"/>
  <c r="I56" i="28" s="1"/>
  <c r="C56" i="28"/>
  <c r="B56" i="28"/>
  <c r="J55" i="28"/>
  <c r="G55" i="28"/>
  <c r="H55" i="28" s="1"/>
  <c r="I55" i="28" s="1"/>
  <c r="C55" i="28"/>
  <c r="B55" i="28"/>
  <c r="J54" i="28"/>
  <c r="G54" i="28"/>
  <c r="H54" i="28" s="1"/>
  <c r="I54" i="28" s="1"/>
  <c r="C54" i="28"/>
  <c r="B54" i="28"/>
  <c r="J53" i="28"/>
  <c r="G53" i="28"/>
  <c r="H53" i="28" s="1"/>
  <c r="I53" i="28" s="1"/>
  <c r="C53" i="28"/>
  <c r="B53" i="28"/>
  <c r="J52" i="28"/>
  <c r="G52" i="28"/>
  <c r="H52" i="28" s="1"/>
  <c r="I52" i="28" s="1"/>
  <c r="C52" i="28"/>
  <c r="B52" i="28"/>
  <c r="J51" i="28"/>
  <c r="G51" i="28"/>
  <c r="H51" i="28" s="1"/>
  <c r="I51" i="28" s="1"/>
  <c r="C51" i="28"/>
  <c r="B51" i="28"/>
  <c r="J50" i="28"/>
  <c r="G50" i="28"/>
  <c r="H50" i="28" s="1"/>
  <c r="I50" i="28" s="1"/>
  <c r="C50" i="28"/>
  <c r="B50" i="28"/>
  <c r="J49" i="28"/>
  <c r="G49" i="28"/>
  <c r="H49" i="28" s="1"/>
  <c r="I49" i="28" s="1"/>
  <c r="C49" i="28"/>
  <c r="B49" i="28"/>
  <c r="J48" i="28"/>
  <c r="G48" i="28"/>
  <c r="H48" i="28" s="1"/>
  <c r="I48" i="28" s="1"/>
  <c r="C48" i="28"/>
  <c r="B48" i="28"/>
  <c r="J47" i="28"/>
  <c r="G47" i="28"/>
  <c r="H47" i="28" s="1"/>
  <c r="I47" i="28" s="1"/>
  <c r="C47" i="28"/>
  <c r="B47" i="28"/>
  <c r="J46" i="28"/>
  <c r="G46" i="28"/>
  <c r="H46" i="28" s="1"/>
  <c r="I46" i="28" s="1"/>
  <c r="C46" i="28"/>
  <c r="B46" i="28"/>
  <c r="J45" i="28"/>
  <c r="G45" i="28"/>
  <c r="H45" i="28" s="1"/>
  <c r="I45" i="28" s="1"/>
  <c r="C45" i="28"/>
  <c r="B45" i="28"/>
  <c r="J44" i="28"/>
  <c r="G44" i="28"/>
  <c r="H44" i="28" s="1"/>
  <c r="I44" i="28" s="1"/>
  <c r="C44" i="28"/>
  <c r="B44" i="28"/>
  <c r="J43" i="28"/>
  <c r="G43" i="28"/>
  <c r="H43" i="28" s="1"/>
  <c r="I43" i="28" s="1"/>
  <c r="C43" i="28"/>
  <c r="B43" i="28"/>
  <c r="J42" i="28"/>
  <c r="G42" i="28"/>
  <c r="H42" i="28" s="1"/>
  <c r="I42" i="28" s="1"/>
  <c r="C42" i="28"/>
  <c r="B42" i="28"/>
  <c r="J41" i="28"/>
  <c r="G41" i="28"/>
  <c r="H41" i="28" s="1"/>
  <c r="I41" i="28" s="1"/>
  <c r="C41" i="28"/>
  <c r="B41" i="28"/>
  <c r="J40" i="28"/>
  <c r="G40" i="28"/>
  <c r="H40" i="28" s="1"/>
  <c r="I40" i="28" s="1"/>
  <c r="C40" i="28"/>
  <c r="B40" i="28"/>
  <c r="J39" i="28"/>
  <c r="G39" i="28"/>
  <c r="H39" i="28" s="1"/>
  <c r="I39" i="28" s="1"/>
  <c r="C39" i="28"/>
  <c r="B39" i="28"/>
  <c r="J38" i="28"/>
  <c r="G38" i="28"/>
  <c r="H38" i="28" s="1"/>
  <c r="I38" i="28" s="1"/>
  <c r="C38" i="28"/>
  <c r="B38" i="28"/>
  <c r="J37" i="28"/>
  <c r="G37" i="28"/>
  <c r="H37" i="28" s="1"/>
  <c r="I37" i="28" s="1"/>
  <c r="C37" i="28"/>
  <c r="B37" i="28"/>
  <c r="J36" i="28"/>
  <c r="G36" i="28"/>
  <c r="H36" i="28" s="1"/>
  <c r="I36" i="28" s="1"/>
  <c r="C36" i="28"/>
  <c r="B36" i="28"/>
  <c r="J35" i="28"/>
  <c r="G35" i="28"/>
  <c r="H35" i="28" s="1"/>
  <c r="I35" i="28" s="1"/>
  <c r="C35" i="28"/>
  <c r="B35" i="28"/>
  <c r="J34" i="28"/>
  <c r="G34" i="28"/>
  <c r="H34" i="28" s="1"/>
  <c r="I34" i="28" s="1"/>
  <c r="C34" i="28"/>
  <c r="B34" i="28"/>
  <c r="J33" i="28"/>
  <c r="G33" i="28"/>
  <c r="H33" i="28" s="1"/>
  <c r="I33" i="28" s="1"/>
  <c r="C33" i="28"/>
  <c r="B33" i="28"/>
  <c r="J32" i="28"/>
  <c r="G32" i="28"/>
  <c r="H32" i="28" s="1"/>
  <c r="I32" i="28" s="1"/>
  <c r="C32" i="28"/>
  <c r="B32" i="28"/>
  <c r="J31" i="28"/>
  <c r="G31" i="28"/>
  <c r="H31" i="28" s="1"/>
  <c r="I31" i="28" s="1"/>
  <c r="C31" i="28"/>
  <c r="B31" i="28"/>
  <c r="J30" i="28"/>
  <c r="G30" i="28"/>
  <c r="H30" i="28" s="1"/>
  <c r="I30" i="28" s="1"/>
  <c r="C30" i="28"/>
  <c r="B30" i="28"/>
  <c r="J29" i="28"/>
  <c r="G29" i="28"/>
  <c r="H29" i="28" s="1"/>
  <c r="I29" i="28" s="1"/>
  <c r="C29" i="28"/>
  <c r="B29" i="28"/>
  <c r="J28" i="28"/>
  <c r="G28" i="28"/>
  <c r="H28" i="28" s="1"/>
  <c r="I28" i="28" s="1"/>
  <c r="C28" i="28"/>
  <c r="B28" i="28"/>
  <c r="J27" i="28"/>
  <c r="G27" i="28"/>
  <c r="H27" i="28" s="1"/>
  <c r="I27" i="28" s="1"/>
  <c r="C27" i="28"/>
  <c r="B27" i="28"/>
  <c r="J26" i="28"/>
  <c r="G26" i="28"/>
  <c r="H26" i="28" s="1"/>
  <c r="I26" i="28" s="1"/>
  <c r="C26" i="28"/>
  <c r="B26" i="28"/>
  <c r="J25" i="28"/>
  <c r="G25" i="28"/>
  <c r="H25" i="28" s="1"/>
  <c r="I25" i="28" s="1"/>
  <c r="C25" i="28"/>
  <c r="B25" i="28"/>
  <c r="J24" i="28"/>
  <c r="G24" i="28"/>
  <c r="H24" i="28" s="1"/>
  <c r="I24" i="28" s="1"/>
  <c r="C24" i="28"/>
  <c r="B24" i="28"/>
  <c r="J23" i="28"/>
  <c r="G23" i="28"/>
  <c r="H23" i="28" s="1"/>
  <c r="I23" i="28" s="1"/>
  <c r="C23" i="28"/>
  <c r="B23" i="28"/>
  <c r="J22" i="28"/>
  <c r="G22" i="28"/>
  <c r="H22" i="28" s="1"/>
  <c r="I22" i="28" s="1"/>
  <c r="C22" i="28"/>
  <c r="B22" i="28"/>
  <c r="J21" i="28"/>
  <c r="G21" i="28"/>
  <c r="H21" i="28" s="1"/>
  <c r="I21" i="28" s="1"/>
  <c r="C21" i="28"/>
  <c r="B21" i="28"/>
  <c r="J20" i="28"/>
  <c r="G20" i="28"/>
  <c r="H20" i="28" s="1"/>
  <c r="I20" i="28" s="1"/>
  <c r="C20" i="28"/>
  <c r="B20" i="28"/>
  <c r="J19" i="28"/>
  <c r="G19" i="28"/>
  <c r="H19" i="28" s="1"/>
  <c r="I19" i="28" s="1"/>
  <c r="C19" i="28"/>
  <c r="B19" i="28"/>
  <c r="J18" i="28"/>
  <c r="G18" i="28"/>
  <c r="H18" i="28" s="1"/>
  <c r="I18" i="28" s="1"/>
  <c r="C18" i="28"/>
  <c r="B18" i="28"/>
  <c r="J17" i="28"/>
  <c r="G17" i="28"/>
  <c r="H17" i="28" s="1"/>
  <c r="I17" i="28" s="1"/>
  <c r="C17" i="28"/>
  <c r="B17" i="28"/>
  <c r="J16" i="28"/>
  <c r="G16" i="28"/>
  <c r="H16" i="28" s="1"/>
  <c r="I16" i="28" s="1"/>
  <c r="C16" i="28"/>
  <c r="B16" i="28"/>
  <c r="J15" i="28"/>
  <c r="G15" i="28"/>
  <c r="H15" i="28" s="1"/>
  <c r="I15" i="28" s="1"/>
  <c r="C15" i="28"/>
  <c r="B15" i="28"/>
  <c r="J14" i="28"/>
  <c r="G14" i="28"/>
  <c r="H14" i="28" s="1"/>
  <c r="I14" i="28" s="1"/>
  <c r="C14" i="28"/>
  <c r="B14" i="28"/>
  <c r="J13" i="28"/>
  <c r="G13" i="28"/>
  <c r="H13" i="28" s="1"/>
  <c r="I13" i="28" s="1"/>
  <c r="C13" i="28"/>
  <c r="B13" i="28"/>
  <c r="J12" i="28"/>
  <c r="G12" i="28"/>
  <c r="H12" i="28" s="1"/>
  <c r="I12" i="28" s="1"/>
  <c r="C12" i="28"/>
  <c r="B12" i="28"/>
  <c r="J11" i="28"/>
  <c r="G11" i="28"/>
  <c r="H11" i="28" s="1"/>
  <c r="I11" i="28" s="1"/>
  <c r="C11" i="28"/>
  <c r="B11" i="28"/>
  <c r="J10" i="28"/>
  <c r="G10" i="28"/>
  <c r="H10" i="28" s="1"/>
  <c r="I10" i="28" s="1"/>
  <c r="C10" i="28"/>
  <c r="B10" i="28"/>
  <c r="J9" i="28"/>
  <c r="G9" i="28"/>
  <c r="H9" i="28" s="1"/>
  <c r="I9" i="28" s="1"/>
  <c r="C9" i="28"/>
  <c r="B9" i="28"/>
  <c r="J8" i="28"/>
  <c r="G8" i="28"/>
  <c r="H8" i="28" s="1"/>
  <c r="I8" i="28" s="1"/>
  <c r="C8" i="28"/>
  <c r="B8" i="28"/>
  <c r="J7" i="28"/>
  <c r="G7" i="28"/>
  <c r="H7" i="28" s="1"/>
  <c r="I7" i="28" s="1"/>
  <c r="C7" i="28"/>
  <c r="B7" i="28"/>
  <c r="J6" i="28"/>
  <c r="G6" i="28"/>
  <c r="H6" i="28" s="1"/>
  <c r="I6" i="28" s="1"/>
  <c r="C6" i="28"/>
  <c r="B6" i="28"/>
  <c r="J5" i="28"/>
  <c r="G5" i="28"/>
  <c r="H5" i="28" s="1"/>
  <c r="I5" i="28" s="1"/>
  <c r="C5" i="28"/>
  <c r="B5" i="28"/>
  <c r="D3" i="28"/>
  <c r="I8" i="25"/>
  <c r="I9" i="25"/>
  <c r="I10" i="25"/>
  <c r="I11" i="25"/>
  <c r="I12" i="25"/>
  <c r="I13" i="25"/>
  <c r="I14" i="25"/>
  <c r="I15" i="25"/>
  <c r="I16" i="25"/>
  <c r="I17" i="25"/>
  <c r="I18" i="25"/>
  <c r="I19" i="25"/>
  <c r="I20" i="25"/>
  <c r="I21" i="25"/>
  <c r="I22" i="25"/>
  <c r="I23" i="25"/>
  <c r="I24" i="25"/>
  <c r="I25" i="25"/>
  <c r="I26" i="25"/>
  <c r="I27" i="25"/>
  <c r="I28" i="25"/>
  <c r="I29" i="25"/>
  <c r="I30" i="25"/>
  <c r="I31" i="25"/>
  <c r="I32" i="25"/>
  <c r="I33" i="25"/>
  <c r="I34" i="25"/>
  <c r="I35" i="25"/>
  <c r="I36" i="25"/>
  <c r="I37" i="25"/>
  <c r="I38" i="25"/>
  <c r="I39" i="25"/>
  <c r="I40" i="25"/>
  <c r="I41" i="25"/>
  <c r="I42" i="25"/>
  <c r="I43" i="25"/>
  <c r="I44" i="25"/>
  <c r="I45" i="25"/>
  <c r="I46" i="25"/>
  <c r="I47" i="25"/>
  <c r="I48" i="25"/>
  <c r="I49" i="25"/>
  <c r="I50" i="25"/>
  <c r="I51" i="25"/>
  <c r="I52" i="25"/>
  <c r="I53" i="25"/>
  <c r="I54" i="25"/>
  <c r="I55" i="25"/>
  <c r="I56" i="25"/>
  <c r="I57" i="25"/>
  <c r="I58" i="25"/>
  <c r="I59" i="25"/>
  <c r="I60" i="25"/>
  <c r="I61" i="25"/>
  <c r="I62" i="25"/>
  <c r="I63" i="25"/>
  <c r="I64" i="25"/>
  <c r="I65" i="25"/>
  <c r="I66" i="25"/>
  <c r="I67" i="25"/>
  <c r="I68" i="25"/>
  <c r="I69" i="25"/>
  <c r="I70" i="25"/>
  <c r="I71" i="25"/>
  <c r="I72" i="25"/>
  <c r="I73" i="25"/>
  <c r="I74" i="25"/>
  <c r="I75" i="25"/>
  <c r="I76" i="25"/>
  <c r="I77" i="25"/>
  <c r="I78" i="25"/>
  <c r="I79" i="25"/>
  <c r="I80" i="25"/>
  <c r="I81" i="25"/>
  <c r="I82" i="25"/>
  <c r="I83" i="25"/>
  <c r="I84" i="25"/>
  <c r="I85" i="25"/>
  <c r="I86" i="25"/>
  <c r="I87" i="25"/>
  <c r="I88" i="25"/>
  <c r="I89" i="25"/>
  <c r="I90" i="25"/>
  <c r="I91" i="25"/>
  <c r="I92" i="25"/>
  <c r="I93" i="25"/>
  <c r="I94" i="25"/>
  <c r="I95" i="25"/>
  <c r="I96" i="25"/>
  <c r="I97" i="25"/>
  <c r="I98" i="25"/>
  <c r="I99" i="25"/>
  <c r="I100" i="25"/>
  <c r="I101" i="25"/>
  <c r="I102" i="25"/>
  <c r="I103" i="25"/>
  <c r="I104" i="25"/>
  <c r="I105" i="25"/>
  <c r="I106" i="25"/>
  <c r="I107" i="25"/>
  <c r="I108" i="25"/>
  <c r="I109" i="25"/>
  <c r="I110" i="25"/>
  <c r="I111" i="25"/>
  <c r="I112" i="25"/>
  <c r="I113" i="25"/>
  <c r="I114" i="25"/>
  <c r="I7" i="25"/>
  <c r="H8" i="25"/>
  <c r="H9" i="25"/>
  <c r="H10" i="25"/>
  <c r="H11" i="25"/>
  <c r="H12" i="25"/>
  <c r="H13" i="25"/>
  <c r="H14" i="25"/>
  <c r="H15" i="25"/>
  <c r="H16" i="25"/>
  <c r="H17" i="25"/>
  <c r="H18" i="25"/>
  <c r="H19" i="25"/>
  <c r="H20" i="25"/>
  <c r="H21" i="25"/>
  <c r="H22" i="25"/>
  <c r="H23" i="25"/>
  <c r="H24" i="25"/>
  <c r="H25" i="25"/>
  <c r="H26" i="25"/>
  <c r="H27" i="25"/>
  <c r="H28" i="25"/>
  <c r="H29" i="25"/>
  <c r="H30" i="25"/>
  <c r="H31" i="25"/>
  <c r="H32" i="25"/>
  <c r="H33" i="25"/>
  <c r="H34" i="25"/>
  <c r="H35" i="25"/>
  <c r="H36" i="25"/>
  <c r="H37" i="25"/>
  <c r="H38" i="25"/>
  <c r="H39" i="25"/>
  <c r="H40" i="25"/>
  <c r="H41" i="25"/>
  <c r="H42" i="25"/>
  <c r="H43" i="25"/>
  <c r="H44" i="25"/>
  <c r="H45" i="25"/>
  <c r="H46" i="25"/>
  <c r="H47" i="25"/>
  <c r="H48" i="25"/>
  <c r="H49" i="25"/>
  <c r="H50" i="25"/>
  <c r="H51" i="25"/>
  <c r="H52" i="25"/>
  <c r="H53" i="25"/>
  <c r="H54" i="25"/>
  <c r="H55" i="25"/>
  <c r="H56" i="25"/>
  <c r="H57" i="25"/>
  <c r="H58" i="25"/>
  <c r="H59" i="25"/>
  <c r="H60" i="25"/>
  <c r="H61" i="25"/>
  <c r="H62" i="25"/>
  <c r="H63" i="25"/>
  <c r="H64" i="25"/>
  <c r="H65" i="25"/>
  <c r="H66" i="25"/>
  <c r="H67" i="25"/>
  <c r="H68" i="25"/>
  <c r="H69" i="25"/>
  <c r="H70" i="25"/>
  <c r="H71" i="25"/>
  <c r="H72" i="25"/>
  <c r="H73" i="25"/>
  <c r="H74" i="25"/>
  <c r="H75" i="25"/>
  <c r="H76" i="25"/>
  <c r="H77" i="25"/>
  <c r="H78" i="25"/>
  <c r="H79" i="25"/>
  <c r="H80" i="25"/>
  <c r="H81" i="25"/>
  <c r="H82" i="25"/>
  <c r="H83" i="25"/>
  <c r="H84" i="25"/>
  <c r="H85" i="25"/>
  <c r="H86" i="25"/>
  <c r="H87" i="25"/>
  <c r="H88" i="25"/>
  <c r="H89" i="25"/>
  <c r="H90" i="25"/>
  <c r="H91" i="25"/>
  <c r="H92" i="25"/>
  <c r="H93" i="25"/>
  <c r="H94" i="25"/>
  <c r="H95" i="25"/>
  <c r="H96" i="25"/>
  <c r="H97" i="25"/>
  <c r="H98" i="25"/>
  <c r="H99" i="25"/>
  <c r="H100" i="25"/>
  <c r="H101" i="25"/>
  <c r="H102" i="25"/>
  <c r="H103" i="25"/>
  <c r="H104" i="25"/>
  <c r="H105" i="25"/>
  <c r="H106" i="25"/>
  <c r="H107" i="25"/>
  <c r="H108" i="25"/>
  <c r="H109" i="25"/>
  <c r="H110" i="25"/>
  <c r="H111" i="25"/>
  <c r="H112" i="25"/>
  <c r="H113" i="25"/>
  <c r="H7" i="25"/>
  <c r="F8" i="25"/>
  <c r="F9" i="25"/>
  <c r="F10" i="25"/>
  <c r="F11" i="25"/>
  <c r="F12" i="25"/>
  <c r="F13" i="25"/>
  <c r="F14" i="25"/>
  <c r="F15" i="25"/>
  <c r="F16" i="25"/>
  <c r="F17" i="25"/>
  <c r="F18" i="25"/>
  <c r="F19" i="25"/>
  <c r="F20" i="25"/>
  <c r="F21" i="25"/>
  <c r="F22" i="25"/>
  <c r="F23" i="25"/>
  <c r="F24" i="25"/>
  <c r="F25" i="25"/>
  <c r="F26" i="25"/>
  <c r="F27" i="25"/>
  <c r="F28" i="25"/>
  <c r="F29" i="25"/>
  <c r="F30" i="25"/>
  <c r="F31" i="25"/>
  <c r="F32" i="25"/>
  <c r="F33" i="25"/>
  <c r="F34" i="25"/>
  <c r="F35" i="25"/>
  <c r="F36" i="25"/>
  <c r="F37" i="25"/>
  <c r="F38" i="25"/>
  <c r="F39" i="25"/>
  <c r="F40" i="25"/>
  <c r="F41" i="25"/>
  <c r="F42" i="25"/>
  <c r="F43" i="25"/>
  <c r="F44" i="25"/>
  <c r="F45" i="25"/>
  <c r="F46" i="25"/>
  <c r="F47" i="25"/>
  <c r="F48" i="25"/>
  <c r="F49" i="25"/>
  <c r="F50" i="25"/>
  <c r="F51" i="25"/>
  <c r="F52" i="25"/>
  <c r="F53" i="25"/>
  <c r="F54" i="25"/>
  <c r="F55" i="25"/>
  <c r="F56" i="25"/>
  <c r="F57" i="25"/>
  <c r="F58" i="25"/>
  <c r="F59" i="25"/>
  <c r="F60" i="25"/>
  <c r="F61" i="25"/>
  <c r="F62" i="25"/>
  <c r="F63" i="25"/>
  <c r="F64" i="25"/>
  <c r="F65" i="25"/>
  <c r="F66" i="25"/>
  <c r="F67" i="25"/>
  <c r="F68" i="25"/>
  <c r="F69" i="25"/>
  <c r="F70" i="25"/>
  <c r="F71" i="25"/>
  <c r="F72" i="25"/>
  <c r="F73" i="25"/>
  <c r="F74" i="25"/>
  <c r="F75" i="25"/>
  <c r="F76" i="25"/>
  <c r="F77" i="25"/>
  <c r="F78" i="25"/>
  <c r="F79" i="25"/>
  <c r="F80" i="25"/>
  <c r="F81" i="25"/>
  <c r="F82" i="25"/>
  <c r="F83" i="25"/>
  <c r="F84" i="25"/>
  <c r="F85" i="25"/>
  <c r="F86" i="25"/>
  <c r="F87" i="25"/>
  <c r="F88" i="25"/>
  <c r="F89" i="25"/>
  <c r="F90" i="25"/>
  <c r="F91" i="25"/>
  <c r="F92" i="25"/>
  <c r="F93" i="25"/>
  <c r="F94" i="25"/>
  <c r="F95" i="25"/>
  <c r="F96" i="25"/>
  <c r="F97" i="25"/>
  <c r="F98" i="25"/>
  <c r="F99" i="25"/>
  <c r="F100" i="25"/>
  <c r="F101" i="25"/>
  <c r="F102" i="25"/>
  <c r="F103" i="25"/>
  <c r="F104" i="25"/>
  <c r="F105" i="25"/>
  <c r="F106" i="25"/>
  <c r="F107" i="25"/>
  <c r="F108" i="25"/>
  <c r="F109" i="25"/>
  <c r="F110" i="25"/>
  <c r="F111" i="25"/>
  <c r="F112" i="25"/>
  <c r="F113" i="25"/>
  <c r="F114" i="25"/>
  <c r="F7" i="25"/>
  <c r="E8" i="25"/>
  <c r="E9" i="25"/>
  <c r="E10" i="25"/>
  <c r="E11" i="25"/>
  <c r="E12" i="25"/>
  <c r="E13" i="25"/>
  <c r="E14" i="25"/>
  <c r="E15" i="25"/>
  <c r="E16" i="25"/>
  <c r="E17" i="25"/>
  <c r="E18" i="25"/>
  <c r="E19" i="25"/>
  <c r="E20" i="25"/>
  <c r="E21" i="25"/>
  <c r="E22" i="25"/>
  <c r="E23" i="25"/>
  <c r="E24" i="25"/>
  <c r="E25" i="25"/>
  <c r="E26" i="25"/>
  <c r="E27" i="25"/>
  <c r="E28" i="25"/>
  <c r="E29" i="25"/>
  <c r="E30" i="25"/>
  <c r="E31" i="25"/>
  <c r="E32" i="25"/>
  <c r="E33" i="25"/>
  <c r="E34" i="25"/>
  <c r="E35" i="25"/>
  <c r="E36" i="25"/>
  <c r="E37" i="25"/>
  <c r="E38" i="25"/>
  <c r="E39" i="25"/>
  <c r="E40" i="25"/>
  <c r="E41" i="25"/>
  <c r="E42" i="25"/>
  <c r="E43" i="25"/>
  <c r="E44" i="25"/>
  <c r="E45" i="25"/>
  <c r="E46" i="25"/>
  <c r="E47" i="25"/>
  <c r="E48" i="25"/>
  <c r="E49" i="25"/>
  <c r="E50" i="25"/>
  <c r="E51" i="25"/>
  <c r="E52" i="25"/>
  <c r="E53" i="25"/>
  <c r="E54" i="25"/>
  <c r="E55" i="25"/>
  <c r="E56" i="25"/>
  <c r="E57" i="25"/>
  <c r="E58" i="25"/>
  <c r="E59" i="25"/>
  <c r="E60" i="25"/>
  <c r="E61" i="25"/>
  <c r="E62" i="25"/>
  <c r="E63" i="25"/>
  <c r="E64" i="25"/>
  <c r="E65" i="25"/>
  <c r="E66" i="25"/>
  <c r="E67" i="25"/>
  <c r="E68" i="25"/>
  <c r="E69" i="25"/>
  <c r="E70" i="25"/>
  <c r="E71" i="25"/>
  <c r="E72" i="25"/>
  <c r="E73" i="25"/>
  <c r="E74" i="25"/>
  <c r="E75" i="25"/>
  <c r="E76" i="25"/>
  <c r="E77" i="25"/>
  <c r="E78" i="25"/>
  <c r="E79" i="25"/>
  <c r="E80" i="25"/>
  <c r="E81" i="25"/>
  <c r="E82" i="25"/>
  <c r="E83" i="25"/>
  <c r="E84" i="25"/>
  <c r="E85" i="25"/>
  <c r="E86" i="25"/>
  <c r="E87" i="25"/>
  <c r="E88" i="25"/>
  <c r="E89" i="25"/>
  <c r="E90" i="25"/>
  <c r="E91" i="25"/>
  <c r="E92" i="25"/>
  <c r="E93" i="25"/>
  <c r="E94" i="25"/>
  <c r="E95" i="25"/>
  <c r="E96" i="25"/>
  <c r="E97" i="25"/>
  <c r="E98" i="25"/>
  <c r="E99" i="25"/>
  <c r="E100" i="25"/>
  <c r="E101" i="25"/>
  <c r="E102" i="25"/>
  <c r="E103" i="25"/>
  <c r="E104" i="25"/>
  <c r="E105" i="25"/>
  <c r="E106" i="25"/>
  <c r="E107" i="25"/>
  <c r="E108" i="25"/>
  <c r="E109" i="25"/>
  <c r="E110" i="25"/>
  <c r="E111" i="25"/>
  <c r="E112" i="25"/>
  <c r="E113" i="25"/>
  <c r="E114" i="25"/>
  <c r="E7" i="25"/>
  <c r="D8" i="25"/>
  <c r="D9" i="25"/>
  <c r="D10" i="25"/>
  <c r="D11" i="25"/>
  <c r="D12" i="25"/>
  <c r="D13" i="25"/>
  <c r="D14" i="25"/>
  <c r="D15" i="25"/>
  <c r="D16" i="25"/>
  <c r="D17" i="25"/>
  <c r="D18" i="25"/>
  <c r="D19" i="25"/>
  <c r="D20" i="25"/>
  <c r="D21" i="25"/>
  <c r="D22" i="25"/>
  <c r="D23" i="25"/>
  <c r="D24" i="25"/>
  <c r="D25" i="25"/>
  <c r="D26" i="25"/>
  <c r="D27" i="25"/>
  <c r="D28" i="25"/>
  <c r="D29" i="25"/>
  <c r="D30" i="25"/>
  <c r="D31" i="25"/>
  <c r="D32" i="25"/>
  <c r="D33" i="25"/>
  <c r="D34" i="25"/>
  <c r="D35" i="25"/>
  <c r="D36" i="25"/>
  <c r="D37" i="25"/>
  <c r="D38" i="25"/>
  <c r="D39" i="25"/>
  <c r="D40" i="25"/>
  <c r="D41" i="25"/>
  <c r="D42" i="25"/>
  <c r="D43" i="25"/>
  <c r="D44" i="25"/>
  <c r="D45" i="25"/>
  <c r="D46" i="25"/>
  <c r="D47" i="25"/>
  <c r="D48" i="25"/>
  <c r="D49" i="25"/>
  <c r="D50" i="25"/>
  <c r="D51" i="25"/>
  <c r="D52" i="25"/>
  <c r="D53" i="25"/>
  <c r="D54" i="25"/>
  <c r="D55" i="25"/>
  <c r="D56" i="25"/>
  <c r="D57" i="25"/>
  <c r="D58" i="25"/>
  <c r="D59" i="25"/>
  <c r="D60" i="25"/>
  <c r="D61" i="25"/>
  <c r="D62" i="25"/>
  <c r="D63" i="25"/>
  <c r="D64" i="25"/>
  <c r="D65" i="25"/>
  <c r="D66" i="25"/>
  <c r="D67" i="25"/>
  <c r="D68" i="25"/>
  <c r="D69" i="25"/>
  <c r="D70" i="25"/>
  <c r="D71" i="25"/>
  <c r="D72" i="25"/>
  <c r="D73" i="25"/>
  <c r="D74" i="25"/>
  <c r="D75" i="25"/>
  <c r="D76" i="25"/>
  <c r="D77" i="25"/>
  <c r="D78" i="25"/>
  <c r="D79" i="25"/>
  <c r="D80" i="25"/>
  <c r="D81" i="25"/>
  <c r="D82" i="25"/>
  <c r="D83" i="25"/>
  <c r="D84" i="25"/>
  <c r="D85" i="25"/>
  <c r="D86" i="25"/>
  <c r="D87" i="25"/>
  <c r="D88" i="25"/>
  <c r="D89" i="25"/>
  <c r="D90" i="25"/>
  <c r="D91" i="25"/>
  <c r="D92" i="25"/>
  <c r="D93" i="25"/>
  <c r="D94" i="25"/>
  <c r="D95" i="25"/>
  <c r="D96" i="25"/>
  <c r="D97" i="25"/>
  <c r="D98" i="25"/>
  <c r="D99" i="25"/>
  <c r="D100" i="25"/>
  <c r="D101" i="25"/>
  <c r="D102" i="25"/>
  <c r="D103" i="25"/>
  <c r="D104" i="25"/>
  <c r="D105" i="25"/>
  <c r="D106" i="25"/>
  <c r="D107" i="25"/>
  <c r="D108" i="25"/>
  <c r="D109" i="25"/>
  <c r="D110" i="25"/>
  <c r="D111" i="25"/>
  <c r="D112" i="25"/>
  <c r="D113" i="25"/>
  <c r="D114" i="25"/>
  <c r="D7" i="25"/>
  <c r="B8" i="25"/>
  <c r="B9" i="25"/>
  <c r="B10" i="25"/>
  <c r="B11" i="25"/>
  <c r="B12" i="25"/>
  <c r="B13" i="25"/>
  <c r="B14" i="25"/>
  <c r="B15"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B46" i="25"/>
  <c r="B47" i="25"/>
  <c r="B48" i="25"/>
  <c r="B49" i="25"/>
  <c r="B50" i="25"/>
  <c r="B51" i="25"/>
  <c r="B52" i="25"/>
  <c r="B53" i="25"/>
  <c r="B54" i="25"/>
  <c r="B55" i="25"/>
  <c r="B56" i="25"/>
  <c r="B57" i="25"/>
  <c r="B58" i="25"/>
  <c r="B59" i="25"/>
  <c r="B60" i="25"/>
  <c r="B61" i="25"/>
  <c r="B62" i="25"/>
  <c r="B63" i="25"/>
  <c r="B64" i="25"/>
  <c r="B65" i="25"/>
  <c r="B66" i="25"/>
  <c r="B67" i="25"/>
  <c r="B68" i="25"/>
  <c r="B69" i="25"/>
  <c r="B70" i="25"/>
  <c r="B71" i="25"/>
  <c r="B72" i="25"/>
  <c r="B73" i="25"/>
  <c r="B74" i="25"/>
  <c r="B75" i="25"/>
  <c r="B76" i="25"/>
  <c r="B77" i="25"/>
  <c r="B78" i="25"/>
  <c r="B79" i="25"/>
  <c r="B80" i="25"/>
  <c r="B81" i="25"/>
  <c r="B82" i="25"/>
  <c r="B83" i="25"/>
  <c r="B84" i="25"/>
  <c r="B85" i="25"/>
  <c r="B86" i="25"/>
  <c r="B87" i="25"/>
  <c r="B88" i="25"/>
  <c r="B89" i="25"/>
  <c r="B90" i="25"/>
  <c r="B91" i="25"/>
  <c r="B92" i="25"/>
  <c r="B93" i="25"/>
  <c r="B94" i="25"/>
  <c r="B95" i="25"/>
  <c r="B96" i="25"/>
  <c r="B97" i="25"/>
  <c r="B98" i="25"/>
  <c r="B99" i="25"/>
  <c r="B100" i="25"/>
  <c r="B101" i="25"/>
  <c r="B102" i="25"/>
  <c r="B103" i="25"/>
  <c r="B104" i="25"/>
  <c r="B105" i="25"/>
  <c r="B106" i="25"/>
  <c r="B107" i="25"/>
  <c r="B108" i="25"/>
  <c r="B109" i="25"/>
  <c r="B110" i="25"/>
  <c r="B111" i="25"/>
  <c r="B112" i="25"/>
  <c r="B113" i="25"/>
  <c r="B114" i="25"/>
  <c r="B7" i="25"/>
  <c r="K5" i="25"/>
  <c r="E5" i="25"/>
  <c r="D118" i="22"/>
  <c r="D119" i="22"/>
  <c r="E80" i="22" l="1"/>
  <c r="P80" i="22"/>
  <c r="E83" i="22"/>
  <c r="P83" i="22"/>
  <c r="E79" i="22"/>
  <c r="P79" i="22"/>
  <c r="E82" i="22"/>
  <c r="P82" i="22"/>
  <c r="E81" i="22"/>
  <c r="P81" i="22"/>
  <c r="P124" i="22"/>
  <c r="I124" i="22"/>
  <c r="E124" i="22"/>
  <c r="T124" i="22"/>
  <c r="H124" i="22"/>
  <c r="D124" i="22"/>
  <c r="F124" i="22"/>
  <c r="S124" i="22"/>
  <c r="G124" i="22"/>
  <c r="V124" i="22"/>
  <c r="R124" i="22"/>
  <c r="U124" i="22"/>
  <c r="P125" i="22"/>
  <c r="T125" i="22"/>
  <c r="H125" i="22"/>
  <c r="D125" i="22"/>
  <c r="S125" i="22"/>
  <c r="U125" i="22"/>
  <c r="Q125" i="22"/>
  <c r="E125" i="22"/>
  <c r="G125" i="22"/>
  <c r="V125" i="22"/>
  <c r="R125" i="22"/>
  <c r="F125" i="22"/>
  <c r="I125" i="22"/>
  <c r="P126" i="22"/>
  <c r="H126" i="22"/>
  <c r="D126" i="22"/>
  <c r="S126" i="22"/>
  <c r="I126" i="22"/>
  <c r="E126" i="22"/>
  <c r="T126" i="22"/>
  <c r="G126" i="22"/>
  <c r="V126" i="22"/>
  <c r="R126" i="22"/>
  <c r="F126" i="22"/>
  <c r="U126" i="22"/>
  <c r="Q126" i="22"/>
  <c r="H91" i="22"/>
  <c r="E91" i="22"/>
  <c r="G91" i="22"/>
  <c r="D87" i="22"/>
  <c r="G87" i="22"/>
  <c r="E87" i="22"/>
  <c r="H87" i="22"/>
  <c r="H88" i="22"/>
  <c r="E88" i="22"/>
  <c r="G88" i="22"/>
  <c r="G89" i="22"/>
  <c r="H89" i="22"/>
  <c r="E89" i="22"/>
  <c r="E90" i="22"/>
  <c r="G90" i="22"/>
  <c r="H90" i="22"/>
  <c r="Q124" i="22"/>
  <c r="F115" i="28"/>
  <c r="F114" i="28"/>
  <c r="F113" i="28"/>
  <c r="G18" i="25"/>
  <c r="D88" i="22"/>
  <c r="D89" i="22"/>
  <c r="D90" i="22"/>
  <c r="D91" i="22"/>
  <c r="D82" i="22"/>
  <c r="D81" i="22"/>
  <c r="K16" i="25"/>
  <c r="D80" i="22"/>
  <c r="D83" i="22"/>
  <c r="G12" i="25"/>
  <c r="G104" i="25"/>
  <c r="G92" i="25"/>
  <c r="G80" i="25"/>
  <c r="G68" i="25"/>
  <c r="G56" i="25"/>
  <c r="G44" i="25"/>
  <c r="G32" i="25"/>
  <c r="G20" i="25"/>
  <c r="G8" i="25"/>
  <c r="G111" i="25"/>
  <c r="G99" i="25"/>
  <c r="G22" i="25"/>
  <c r="G11" i="25"/>
  <c r="G42" i="25"/>
  <c r="G66" i="25"/>
  <c r="G10" i="25"/>
  <c r="G109" i="25"/>
  <c r="G97" i="25"/>
  <c r="G85" i="25"/>
  <c r="G73" i="25"/>
  <c r="G61" i="25"/>
  <c r="G49" i="25"/>
  <c r="G37" i="25"/>
  <c r="G25" i="25"/>
  <c r="G13" i="25"/>
  <c r="G110" i="25"/>
  <c r="G86" i="25"/>
  <c r="G38" i="25"/>
  <c r="G87" i="25"/>
  <c r="G75" i="25"/>
  <c r="G103" i="25"/>
  <c r="G91" i="25"/>
  <c r="G67" i="25"/>
  <c r="G55" i="25"/>
  <c r="G43" i="25"/>
  <c r="G31" i="25"/>
  <c r="G19" i="25"/>
  <c r="G79" i="25"/>
  <c r="G90" i="25"/>
  <c r="G113" i="25"/>
  <c r="G89" i="25"/>
  <c r="G65" i="25"/>
  <c r="G53" i="25"/>
  <c r="G41" i="25"/>
  <c r="G17" i="25"/>
  <c r="G101" i="25"/>
  <c r="G77" i="25"/>
  <c r="G29" i="25"/>
  <c r="G21" i="25"/>
  <c r="G9" i="25"/>
  <c r="G114" i="25"/>
  <c r="G102" i="25"/>
  <c r="G30" i="25"/>
  <c r="G78" i="25"/>
  <c r="G54" i="25"/>
  <c r="G112" i="25"/>
  <c r="G100" i="25"/>
  <c r="G88" i="25"/>
  <c r="G76" i="25"/>
  <c r="G64" i="25"/>
  <c r="G63" i="25"/>
  <c r="G51" i="25"/>
  <c r="G39" i="25"/>
  <c r="G27" i="25"/>
  <c r="G15" i="25"/>
  <c r="G62" i="25"/>
  <c r="G14" i="25"/>
  <c r="G52" i="25"/>
  <c r="G40" i="25"/>
  <c r="G28" i="25"/>
  <c r="G16" i="25"/>
  <c r="G98" i="25"/>
  <c r="G74" i="25"/>
  <c r="G50" i="25"/>
  <c r="G26" i="25"/>
  <c r="G24" i="25"/>
  <c r="G48" i="25"/>
  <c r="G107" i="25"/>
  <c r="G47" i="25"/>
  <c r="G7" i="25"/>
  <c r="G106" i="25"/>
  <c r="G94" i="25"/>
  <c r="G82" i="25"/>
  <c r="G70" i="25"/>
  <c r="G58" i="25"/>
  <c r="G46" i="25"/>
  <c r="G34" i="25"/>
  <c r="G96" i="25"/>
  <c r="G36" i="25"/>
  <c r="G95" i="25"/>
  <c r="G23" i="25"/>
  <c r="G105" i="25"/>
  <c r="G93" i="25"/>
  <c r="G81" i="25"/>
  <c r="G69" i="25"/>
  <c r="G57" i="25"/>
  <c r="G45" i="25"/>
  <c r="G33" i="25"/>
  <c r="G108" i="25"/>
  <c r="G60" i="25"/>
  <c r="G83" i="25"/>
  <c r="G35" i="25"/>
  <c r="G72" i="25"/>
  <c r="G59" i="25"/>
  <c r="G84" i="25"/>
  <c r="G71" i="25"/>
  <c r="K17" i="25"/>
  <c r="Y115" i="25"/>
  <c r="K111" i="25"/>
  <c r="K113" i="25"/>
  <c r="K114" i="25"/>
  <c r="K112" i="25"/>
  <c r="K102" i="25"/>
  <c r="K107" i="25"/>
  <c r="K108" i="25"/>
  <c r="K100" i="25"/>
  <c r="K101" i="25"/>
  <c r="K106" i="25"/>
  <c r="K99" i="25"/>
  <c r="K105" i="25"/>
  <c r="K103" i="25"/>
  <c r="K97" i="25"/>
  <c r="K95" i="25"/>
  <c r="K94" i="25"/>
  <c r="K93" i="25"/>
  <c r="K92" i="25"/>
  <c r="K110" i="25"/>
  <c r="K96" i="25"/>
  <c r="K104" i="25"/>
  <c r="K91" i="25"/>
  <c r="K109" i="25"/>
  <c r="K89" i="25"/>
  <c r="K98" i="25"/>
  <c r="K90" i="25"/>
  <c r="K88" i="25"/>
  <c r="K87" i="25"/>
  <c r="K86" i="25"/>
  <c r="K85" i="25"/>
  <c r="K82" i="25"/>
  <c r="K84" i="25"/>
  <c r="K83" i="25"/>
  <c r="K81" i="25"/>
  <c r="K80" i="25"/>
  <c r="K76" i="25"/>
  <c r="K70" i="25"/>
  <c r="K75" i="25"/>
  <c r="K69" i="25"/>
  <c r="K79" i="25"/>
  <c r="K74" i="25"/>
  <c r="K73" i="25"/>
  <c r="K67" i="25"/>
  <c r="K78" i="25"/>
  <c r="K72" i="25"/>
  <c r="K64" i="25"/>
  <c r="K68" i="25"/>
  <c r="K63" i="25"/>
  <c r="K71" i="25"/>
  <c r="K62" i="25"/>
  <c r="K61" i="25"/>
  <c r="K77" i="25"/>
  <c r="K60" i="25"/>
  <c r="K54" i="25"/>
  <c r="K53" i="25"/>
  <c r="K58" i="25"/>
  <c r="K57" i="25"/>
  <c r="K59" i="25"/>
  <c r="K52" i="25"/>
  <c r="K66" i="25"/>
  <c r="K51" i="25"/>
  <c r="K56" i="25"/>
  <c r="K50" i="25"/>
  <c r="K44" i="25"/>
  <c r="K65" i="25"/>
  <c r="K55" i="25"/>
  <c r="K48" i="25"/>
  <c r="K49" i="25"/>
  <c r="K45" i="25"/>
  <c r="K46" i="25"/>
  <c r="K41" i="25"/>
  <c r="K47" i="25"/>
  <c r="K34" i="25"/>
  <c r="K33" i="25"/>
  <c r="K38" i="25"/>
  <c r="K32" i="25"/>
  <c r="K43" i="25"/>
  <c r="K42" i="25"/>
  <c r="K37" i="25"/>
  <c r="K39" i="25"/>
  <c r="K36" i="25"/>
  <c r="K30" i="25"/>
  <c r="K24" i="25"/>
  <c r="K40" i="25"/>
  <c r="K35" i="25"/>
  <c r="K29" i="25"/>
  <c r="K23" i="25"/>
  <c r="K19" i="25"/>
  <c r="K26" i="25"/>
  <c r="K31" i="25"/>
  <c r="K27" i="25"/>
  <c r="K28" i="25"/>
  <c r="K22" i="25"/>
  <c r="K21" i="25"/>
  <c r="K15" i="25"/>
  <c r="K20" i="25"/>
  <c r="K14" i="25"/>
  <c r="K8" i="25"/>
  <c r="L5" i="25"/>
  <c r="K7" i="25"/>
  <c r="K9" i="25"/>
  <c r="K10" i="25"/>
  <c r="K11" i="25"/>
  <c r="K12" i="25"/>
  <c r="K13" i="25"/>
  <c r="K25" i="25"/>
  <c r="K18" i="25"/>
  <c r="D20" i="22"/>
  <c r="D4" i="22"/>
  <c r="D109" i="22"/>
  <c r="E109" i="22" s="1"/>
  <c r="D110" i="22"/>
  <c r="D106" i="22"/>
  <c r="B99" i="22"/>
  <c r="C102" i="22"/>
  <c r="C101" i="22"/>
  <c r="C100" i="22"/>
  <c r="D10" i="22"/>
  <c r="C95" i="22"/>
  <c r="C96" i="22"/>
  <c r="C97" i="22"/>
  <c r="C94" i="22"/>
  <c r="B93" i="22"/>
  <c r="D79" i="22"/>
  <c r="C73" i="22"/>
  <c r="D74" i="22"/>
  <c r="D72" i="22"/>
  <c r="B71" i="22"/>
  <c r="C65" i="22"/>
  <c r="D65" i="22" s="1"/>
  <c r="C66" i="22"/>
  <c r="D66" i="22" s="1"/>
  <c r="C68" i="22"/>
  <c r="C69" i="22"/>
  <c r="C64" i="22"/>
  <c r="B63" i="22"/>
  <c r="N5" i="22" l="1"/>
  <c r="P5" i="22"/>
  <c r="D5" i="22"/>
  <c r="E16" i="22"/>
  <c r="E15" i="22"/>
  <c r="E17" i="22"/>
  <c r="E14" i="22"/>
  <c r="F69" i="22"/>
  <c r="G69" i="22" s="1"/>
  <c r="D69" i="22"/>
  <c r="E69" i="22" s="1"/>
  <c r="D64" i="22"/>
  <c r="E64" i="22" s="1"/>
  <c r="F64" i="22"/>
  <c r="G64" i="22" s="1"/>
  <c r="F68" i="22"/>
  <c r="G68" i="22" s="1"/>
  <c r="D68" i="22"/>
  <c r="E68" i="22" s="1"/>
  <c r="D84" i="22"/>
  <c r="D29" i="22"/>
  <c r="E29" i="22" s="1"/>
  <c r="D25" i="22"/>
  <c r="E25" i="22" s="1"/>
  <c r="D21" i="22"/>
  <c r="E21" i="22" s="1"/>
  <c r="R79" i="22"/>
  <c r="Q79" i="22"/>
  <c r="R81" i="22"/>
  <c r="Q81" i="22"/>
  <c r="Q82" i="22"/>
  <c r="R82" i="22"/>
  <c r="Q83" i="22"/>
  <c r="R83" i="22"/>
  <c r="Q80" i="22"/>
  <c r="R80" i="22"/>
  <c r="E56" i="22"/>
  <c r="E60" i="22"/>
  <c r="E67" i="22"/>
  <c r="E46" i="22"/>
  <c r="E55" i="22"/>
  <c r="E59" i="22"/>
  <c r="E47" i="22"/>
  <c r="E50" i="22"/>
  <c r="E57" i="22"/>
  <c r="E45" i="22"/>
  <c r="E52" i="22"/>
  <c r="E53" i="22"/>
  <c r="E43" i="22"/>
  <c r="E51" i="22"/>
  <c r="E58" i="22"/>
  <c r="E49" i="22"/>
  <c r="E48" i="22"/>
  <c r="E44" i="22"/>
  <c r="E54" i="22"/>
  <c r="D127" i="22"/>
  <c r="J126" i="22" s="1"/>
  <c r="E32" i="22"/>
  <c r="E33" i="22"/>
  <c r="F66" i="22"/>
  <c r="G66" i="22" s="1"/>
  <c r="E66" i="22"/>
  <c r="F65" i="22"/>
  <c r="G65" i="22" s="1"/>
  <c r="E65" i="22"/>
  <c r="N101" i="22"/>
  <c r="O101" i="22" s="1"/>
  <c r="L101" i="22"/>
  <c r="M101" i="22" s="1"/>
  <c r="J101" i="22"/>
  <c r="K101" i="22" s="1"/>
  <c r="H101" i="22"/>
  <c r="I101" i="22" s="1"/>
  <c r="H100" i="22"/>
  <c r="I100" i="22" s="1"/>
  <c r="N100" i="22"/>
  <c r="O100" i="22" s="1"/>
  <c r="L100" i="22"/>
  <c r="M100" i="22" s="1"/>
  <c r="J100" i="22"/>
  <c r="K100" i="22" s="1"/>
  <c r="N102" i="22"/>
  <c r="O102" i="22" s="1"/>
  <c r="L102" i="22"/>
  <c r="M102" i="22" s="1"/>
  <c r="H102" i="22"/>
  <c r="I102" i="22" s="1"/>
  <c r="J102" i="22"/>
  <c r="K102" i="22" s="1"/>
  <c r="E4" i="22"/>
  <c r="U4" i="22"/>
  <c r="AB5" i="22"/>
  <c r="R5" i="22"/>
  <c r="Z5" i="22"/>
  <c r="X5" i="22"/>
  <c r="V5" i="22"/>
  <c r="T5" i="22"/>
  <c r="Q4" i="22"/>
  <c r="S4" i="22"/>
  <c r="W4" i="22"/>
  <c r="I4" i="22"/>
  <c r="O4" i="22"/>
  <c r="K4" i="22"/>
  <c r="M4" i="22"/>
  <c r="G4" i="22"/>
  <c r="G127" i="22"/>
  <c r="T127" i="22"/>
  <c r="R127" i="22"/>
  <c r="V127" i="22"/>
  <c r="S127" i="22"/>
  <c r="U127" i="22"/>
  <c r="Q127" i="22"/>
  <c r="D100" i="22"/>
  <c r="E100" i="22" s="1"/>
  <c r="F100" i="22"/>
  <c r="G100" i="22" s="1"/>
  <c r="D73" i="22"/>
  <c r="E73" i="22" s="1"/>
  <c r="F73" i="22"/>
  <c r="G73" i="22" s="1"/>
  <c r="D101" i="22"/>
  <c r="E101" i="22" s="1"/>
  <c r="F101" i="22"/>
  <c r="G101" i="22" s="1"/>
  <c r="D102" i="22"/>
  <c r="E102" i="22" s="1"/>
  <c r="F102" i="22"/>
  <c r="G102" i="22" s="1"/>
  <c r="D96" i="22"/>
  <c r="E96" i="22" s="1"/>
  <c r="F96" i="22"/>
  <c r="G96" i="22" s="1"/>
  <c r="D94" i="22"/>
  <c r="E94" i="22" s="1"/>
  <c r="F94" i="22"/>
  <c r="G94" i="22" s="1"/>
  <c r="D97" i="22"/>
  <c r="E97" i="22" s="1"/>
  <c r="F97" i="22"/>
  <c r="G97" i="22" s="1"/>
  <c r="D95" i="22"/>
  <c r="E95" i="22" s="1"/>
  <c r="F95" i="22"/>
  <c r="G95" i="22" s="1"/>
  <c r="E130" i="22"/>
  <c r="E131" i="22"/>
  <c r="E11" i="22"/>
  <c r="E8" i="22"/>
  <c r="E9" i="22"/>
  <c r="E10" i="22"/>
  <c r="E28" i="22"/>
  <c r="E20" i="22"/>
  <c r="E24" i="22"/>
  <c r="D113" i="22"/>
  <c r="D114" i="22" s="1"/>
  <c r="F110" i="22"/>
  <c r="F109" i="22" s="1"/>
  <c r="E127" i="22"/>
  <c r="I127" i="22"/>
  <c r="H127" i="22"/>
  <c r="F127" i="22"/>
  <c r="E72" i="22"/>
  <c r="E74" i="22"/>
  <c r="F117" i="22"/>
  <c r="G117" i="22" s="1"/>
  <c r="F118" i="22"/>
  <c r="G118" i="22" s="1"/>
  <c r="F119" i="22"/>
  <c r="G119" i="22" s="1"/>
  <c r="Z115" i="25"/>
  <c r="L114" i="25"/>
  <c r="L112" i="25"/>
  <c r="L113" i="25"/>
  <c r="L110" i="25"/>
  <c r="L102" i="25"/>
  <c r="L111" i="25"/>
  <c r="L107" i="25"/>
  <c r="L106" i="25"/>
  <c r="L108" i="25"/>
  <c r="L101" i="25"/>
  <c r="L99" i="25"/>
  <c r="L104" i="25"/>
  <c r="L109" i="25"/>
  <c r="L103" i="25"/>
  <c r="L97" i="25"/>
  <c r="L95" i="25"/>
  <c r="L94" i="25"/>
  <c r="L93" i="25"/>
  <c r="L92" i="25"/>
  <c r="L91" i="25"/>
  <c r="L100" i="25"/>
  <c r="L98" i="25"/>
  <c r="L96" i="25"/>
  <c r="L90" i="25"/>
  <c r="L88" i="25"/>
  <c r="L87" i="25"/>
  <c r="L86" i="25"/>
  <c r="L85" i="25"/>
  <c r="L105" i="25"/>
  <c r="L82" i="25"/>
  <c r="L84" i="25"/>
  <c r="L83" i="25"/>
  <c r="L81" i="25"/>
  <c r="L80" i="25"/>
  <c r="L79" i="25"/>
  <c r="L89" i="25"/>
  <c r="L76" i="25"/>
  <c r="L70" i="25"/>
  <c r="L75" i="25"/>
  <c r="L74" i="25"/>
  <c r="L73" i="25"/>
  <c r="L78" i="25"/>
  <c r="L72" i="25"/>
  <c r="L64" i="25"/>
  <c r="L68" i="25"/>
  <c r="L63" i="25"/>
  <c r="L71" i="25"/>
  <c r="L69" i="25"/>
  <c r="L67" i="25"/>
  <c r="L61" i="25"/>
  <c r="L77" i="25"/>
  <c r="L53" i="25"/>
  <c r="L58" i="25"/>
  <c r="L57" i="25"/>
  <c r="L59" i="25"/>
  <c r="L52" i="25"/>
  <c r="L66" i="25"/>
  <c r="L62" i="25"/>
  <c r="L60" i="25"/>
  <c r="L56" i="25"/>
  <c r="L50" i="25"/>
  <c r="L65" i="25"/>
  <c r="L55" i="25"/>
  <c r="L49" i="25"/>
  <c r="L43" i="25"/>
  <c r="L48" i="25"/>
  <c r="L51" i="25"/>
  <c r="L45" i="25"/>
  <c r="L54" i="25"/>
  <c r="L46" i="25"/>
  <c r="L41" i="25"/>
  <c r="L47" i="25"/>
  <c r="L40" i="25"/>
  <c r="L33" i="25"/>
  <c r="L44" i="25"/>
  <c r="L38" i="25"/>
  <c r="L42" i="25"/>
  <c r="L37" i="25"/>
  <c r="L39" i="25"/>
  <c r="L36" i="25"/>
  <c r="L35" i="25"/>
  <c r="L32" i="25"/>
  <c r="L26" i="25"/>
  <c r="L31" i="25"/>
  <c r="L27" i="25"/>
  <c r="L28" i="25"/>
  <c r="L34" i="25"/>
  <c r="L23" i="25"/>
  <c r="L22" i="25"/>
  <c r="L29" i="25"/>
  <c r="L21" i="25"/>
  <c r="L24" i="25"/>
  <c r="L20" i="25"/>
  <c r="L30" i="25"/>
  <c r="L25" i="25"/>
  <c r="L13" i="25"/>
  <c r="K4" i="25"/>
  <c r="K3" i="25"/>
  <c r="L7" i="25"/>
  <c r="L14" i="25"/>
  <c r="L12" i="25"/>
  <c r="L11" i="25"/>
  <c r="L10" i="25"/>
  <c r="L9" i="25"/>
  <c r="L8" i="25"/>
  <c r="L15" i="25"/>
  <c r="M5" i="25"/>
  <c r="L19" i="25"/>
  <c r="L16" i="25"/>
  <c r="L17" i="25"/>
  <c r="L18" i="25"/>
  <c r="E110" i="22"/>
  <c r="H14" i="22" l="1"/>
  <c r="Q84" i="22"/>
  <c r="E61" i="22"/>
  <c r="J124" i="22"/>
  <c r="J125" i="22"/>
  <c r="M124" i="22"/>
  <c r="M125" i="22"/>
  <c r="M126" i="22"/>
  <c r="L125" i="22"/>
  <c r="L124" i="22"/>
  <c r="L126" i="22"/>
  <c r="N124" i="22"/>
  <c r="N125" i="22"/>
  <c r="N126" i="22"/>
  <c r="AA124" i="22"/>
  <c r="AA125" i="22"/>
  <c r="AA126" i="22"/>
  <c r="X125" i="22"/>
  <c r="X126" i="22"/>
  <c r="X124" i="22"/>
  <c r="Z125" i="22"/>
  <c r="Z124" i="22"/>
  <c r="Z126" i="22"/>
  <c r="W125" i="22"/>
  <c r="W126" i="22"/>
  <c r="O126" i="22"/>
  <c r="O124" i="22"/>
  <c r="O125" i="22"/>
  <c r="Y124" i="22"/>
  <c r="Y126" i="22"/>
  <c r="Y125" i="22"/>
  <c r="K126" i="22"/>
  <c r="K124" i="22"/>
  <c r="K125" i="22"/>
  <c r="AB125" i="22"/>
  <c r="AB126" i="22"/>
  <c r="AB124" i="22"/>
  <c r="W124" i="22"/>
  <c r="AA127" i="22"/>
  <c r="F120" i="22"/>
  <c r="M114" i="25"/>
  <c r="AA115" i="25"/>
  <c r="M111" i="25"/>
  <c r="M107" i="25"/>
  <c r="M106" i="25"/>
  <c r="M101" i="25"/>
  <c r="M103" i="25"/>
  <c r="M112" i="25"/>
  <c r="M99" i="25"/>
  <c r="M113" i="25"/>
  <c r="M110" i="25"/>
  <c r="M109" i="25"/>
  <c r="M102" i="25"/>
  <c r="M104" i="25"/>
  <c r="M97" i="25"/>
  <c r="M96" i="25"/>
  <c r="M91" i="25"/>
  <c r="M108" i="25"/>
  <c r="M94" i="25"/>
  <c r="M100" i="25"/>
  <c r="M98" i="25"/>
  <c r="M93" i="25"/>
  <c r="M95" i="25"/>
  <c r="M92" i="25"/>
  <c r="M90" i="25"/>
  <c r="M88" i="25"/>
  <c r="M87" i="25"/>
  <c r="M86" i="25"/>
  <c r="M85" i="25"/>
  <c r="M105" i="25"/>
  <c r="M84" i="25"/>
  <c r="M89" i="25"/>
  <c r="M82" i="25"/>
  <c r="M83" i="25"/>
  <c r="M81" i="25"/>
  <c r="M80" i="25"/>
  <c r="M79" i="25"/>
  <c r="M75" i="25"/>
  <c r="M69" i="25"/>
  <c r="M74" i="25"/>
  <c r="M68" i="25"/>
  <c r="M73" i="25"/>
  <c r="M78" i="25"/>
  <c r="M72" i="25"/>
  <c r="M66" i="25"/>
  <c r="M77" i="25"/>
  <c r="M71" i="25"/>
  <c r="M63" i="25"/>
  <c r="M76" i="25"/>
  <c r="M62" i="25"/>
  <c r="M67" i="25"/>
  <c r="M70" i="25"/>
  <c r="M65" i="25"/>
  <c r="M59" i="25"/>
  <c r="M61" i="25"/>
  <c r="M53" i="25"/>
  <c r="M58" i="25"/>
  <c r="M57" i="25"/>
  <c r="M52" i="25"/>
  <c r="M64" i="25"/>
  <c r="M60" i="25"/>
  <c r="M56" i="25"/>
  <c r="M55" i="25"/>
  <c r="M49" i="25"/>
  <c r="M43" i="25"/>
  <c r="M54" i="25"/>
  <c r="M44" i="25"/>
  <c r="M51" i="25"/>
  <c r="M45" i="25"/>
  <c r="M50" i="25"/>
  <c r="M46" i="25"/>
  <c r="M47" i="25"/>
  <c r="M33" i="25"/>
  <c r="M38" i="25"/>
  <c r="M32" i="25"/>
  <c r="M42" i="25"/>
  <c r="M37" i="25"/>
  <c r="M39" i="25"/>
  <c r="M36" i="25"/>
  <c r="M41" i="25"/>
  <c r="M35" i="25"/>
  <c r="M29" i="25"/>
  <c r="M23" i="25"/>
  <c r="M40" i="25"/>
  <c r="M34" i="25"/>
  <c r="M28" i="25"/>
  <c r="M48" i="25"/>
  <c r="M18" i="25"/>
  <c r="M31" i="25"/>
  <c r="M27" i="25"/>
  <c r="M22" i="25"/>
  <c r="M21" i="25"/>
  <c r="M24" i="25"/>
  <c r="M20" i="25"/>
  <c r="M14" i="25"/>
  <c r="M30" i="25"/>
  <c r="M25" i="25"/>
  <c r="M19" i="25"/>
  <c r="M13" i="25"/>
  <c r="M26" i="25"/>
  <c r="M12" i="25"/>
  <c r="M11" i="25"/>
  <c r="M10" i="25"/>
  <c r="M9" i="25"/>
  <c r="M8" i="25"/>
  <c r="M7" i="25"/>
  <c r="N5" i="25"/>
  <c r="M15" i="25"/>
  <c r="M16" i="25"/>
  <c r="M17" i="25"/>
  <c r="N114" i="25" l="1"/>
  <c r="N111" i="25"/>
  <c r="N107" i="25"/>
  <c r="N106" i="25"/>
  <c r="N101" i="25"/>
  <c r="N112" i="25"/>
  <c r="N113" i="25"/>
  <c r="N110" i="25"/>
  <c r="N104" i="25"/>
  <c r="N98" i="25"/>
  <c r="N105" i="25"/>
  <c r="N109" i="25"/>
  <c r="N97" i="25"/>
  <c r="N96" i="25"/>
  <c r="N95" i="25"/>
  <c r="AB115" i="25"/>
  <c r="N103" i="25"/>
  <c r="N102" i="25"/>
  <c r="N108" i="25"/>
  <c r="N90" i="25"/>
  <c r="N100" i="25"/>
  <c r="N92" i="25"/>
  <c r="N91" i="25"/>
  <c r="N93" i="25"/>
  <c r="N99" i="25"/>
  <c r="N89" i="25"/>
  <c r="N94" i="25"/>
  <c r="N88" i="25"/>
  <c r="N87" i="25"/>
  <c r="N86" i="25"/>
  <c r="N85" i="25"/>
  <c r="N84" i="25"/>
  <c r="N83" i="25"/>
  <c r="N81" i="25"/>
  <c r="N80" i="25"/>
  <c r="N75" i="25"/>
  <c r="N69" i="25"/>
  <c r="N74" i="25"/>
  <c r="N79" i="25"/>
  <c r="N73" i="25"/>
  <c r="N78" i="25"/>
  <c r="N72" i="25"/>
  <c r="N77" i="25"/>
  <c r="N71" i="25"/>
  <c r="N63" i="25"/>
  <c r="N76" i="25"/>
  <c r="N68" i="25"/>
  <c r="N62" i="25"/>
  <c r="N67" i="25"/>
  <c r="N60" i="25"/>
  <c r="N70" i="25"/>
  <c r="N65" i="25"/>
  <c r="N66" i="25"/>
  <c r="N58" i="25"/>
  <c r="N57" i="25"/>
  <c r="N82" i="25"/>
  <c r="N64" i="25"/>
  <c r="N59" i="25"/>
  <c r="N56" i="25"/>
  <c r="N55" i="25"/>
  <c r="N54" i="25"/>
  <c r="N48" i="25"/>
  <c r="N53" i="25"/>
  <c r="N49" i="25"/>
  <c r="N51" i="25"/>
  <c r="N45" i="25"/>
  <c r="N50" i="25"/>
  <c r="N46" i="25"/>
  <c r="N52" i="25"/>
  <c r="N47" i="25"/>
  <c r="N40" i="25"/>
  <c r="N61" i="25"/>
  <c r="N39" i="25"/>
  <c r="N38" i="25"/>
  <c r="N32" i="25"/>
  <c r="N44" i="25"/>
  <c r="N42" i="25"/>
  <c r="N37" i="25"/>
  <c r="N43" i="25"/>
  <c r="N36" i="25"/>
  <c r="N41" i="25"/>
  <c r="N35" i="25"/>
  <c r="N34" i="25"/>
  <c r="N31" i="25"/>
  <c r="N27" i="25"/>
  <c r="N28" i="25"/>
  <c r="N22" i="25"/>
  <c r="N23" i="25"/>
  <c r="N21" i="25"/>
  <c r="N29" i="25"/>
  <c r="N24" i="25"/>
  <c r="N20" i="25"/>
  <c r="N33" i="25"/>
  <c r="N30" i="25"/>
  <c r="N25" i="25"/>
  <c r="N19" i="25"/>
  <c r="N26" i="25"/>
  <c r="N13" i="25"/>
  <c r="N12" i="25"/>
  <c r="N11" i="25"/>
  <c r="N10" i="25"/>
  <c r="N9" i="25"/>
  <c r="N8" i="25"/>
  <c r="N14" i="25"/>
  <c r="N7" i="25"/>
  <c r="O5" i="25"/>
  <c r="N15" i="25"/>
  <c r="N16" i="25"/>
  <c r="N17" i="25"/>
  <c r="N18" i="25"/>
  <c r="O113" i="25" l="1"/>
  <c r="AC115" i="25"/>
  <c r="O114" i="25"/>
  <c r="O111" i="25"/>
  <c r="O110" i="25"/>
  <c r="O109" i="25"/>
  <c r="O112" i="25"/>
  <c r="O100" i="25"/>
  <c r="O101" i="25"/>
  <c r="O104" i="25"/>
  <c r="O98" i="25"/>
  <c r="O102" i="25"/>
  <c r="O103" i="25"/>
  <c r="O107" i="25"/>
  <c r="O97" i="25"/>
  <c r="O96" i="25"/>
  <c r="O95" i="25"/>
  <c r="O105" i="25"/>
  <c r="O108" i="25"/>
  <c r="O90" i="25"/>
  <c r="O106" i="25"/>
  <c r="O91" i="25"/>
  <c r="O93" i="25"/>
  <c r="O99" i="25"/>
  <c r="O92" i="25"/>
  <c r="O94" i="25"/>
  <c r="O88" i="25"/>
  <c r="O87" i="25"/>
  <c r="O86" i="25"/>
  <c r="O85" i="25"/>
  <c r="O83" i="25"/>
  <c r="O84" i="25"/>
  <c r="O81" i="25"/>
  <c r="O80" i="25"/>
  <c r="O89" i="25"/>
  <c r="O74" i="25"/>
  <c r="O68" i="25"/>
  <c r="O79" i="25"/>
  <c r="O73" i="25"/>
  <c r="O78" i="25"/>
  <c r="O72" i="25"/>
  <c r="O77" i="25"/>
  <c r="O71" i="25"/>
  <c r="O76" i="25"/>
  <c r="O70" i="25"/>
  <c r="O62" i="25"/>
  <c r="O67" i="25"/>
  <c r="O69" i="25"/>
  <c r="O75" i="25"/>
  <c r="O65" i="25"/>
  <c r="O66" i="25"/>
  <c r="O64" i="25"/>
  <c r="O82" i="25"/>
  <c r="O52" i="25"/>
  <c r="O59" i="25"/>
  <c r="O60" i="25"/>
  <c r="O56" i="25"/>
  <c r="O55" i="25"/>
  <c r="O63" i="25"/>
  <c r="O54" i="25"/>
  <c r="O48" i="25"/>
  <c r="O42" i="25"/>
  <c r="O61" i="25"/>
  <c r="O57" i="25"/>
  <c r="O49" i="25"/>
  <c r="O44" i="25"/>
  <c r="O51" i="25"/>
  <c r="O45" i="25"/>
  <c r="O50" i="25"/>
  <c r="O46" i="25"/>
  <c r="O47" i="25"/>
  <c r="O58" i="25"/>
  <c r="O38" i="25"/>
  <c r="O32" i="25"/>
  <c r="O53" i="25"/>
  <c r="O37" i="25"/>
  <c r="O43" i="25"/>
  <c r="O36" i="25"/>
  <c r="O41" i="25"/>
  <c r="O39" i="25"/>
  <c r="O35" i="25"/>
  <c r="O40" i="25"/>
  <c r="O34" i="25"/>
  <c r="O28" i="25"/>
  <c r="O33" i="25"/>
  <c r="O27" i="25"/>
  <c r="O22" i="25"/>
  <c r="O23" i="25"/>
  <c r="O21" i="25"/>
  <c r="O29" i="25"/>
  <c r="O24" i="25"/>
  <c r="O20" i="25"/>
  <c r="O30" i="25"/>
  <c r="O25" i="25"/>
  <c r="O19" i="25"/>
  <c r="O13" i="25"/>
  <c r="O26" i="25"/>
  <c r="O18" i="25"/>
  <c r="O12" i="25"/>
  <c r="O11" i="25"/>
  <c r="O10" i="25"/>
  <c r="O9" i="25"/>
  <c r="O8" i="25"/>
  <c r="O14" i="25"/>
  <c r="O7" i="25"/>
  <c r="O15" i="25"/>
  <c r="P5" i="25"/>
  <c r="O16" i="25"/>
  <c r="O17" i="25"/>
  <c r="O31" i="25"/>
  <c r="AD115" i="25" l="1"/>
  <c r="P112" i="25"/>
  <c r="P100" i="25"/>
  <c r="P111" i="25"/>
  <c r="P113" i="25"/>
  <c r="P108" i="25"/>
  <c r="P105" i="25"/>
  <c r="P104" i="25"/>
  <c r="P110" i="25"/>
  <c r="P114" i="25"/>
  <c r="P102" i="25"/>
  <c r="P109" i="25"/>
  <c r="P106" i="25"/>
  <c r="P97" i="25"/>
  <c r="P94" i="25"/>
  <c r="P103" i="25"/>
  <c r="P107" i="25"/>
  <c r="P89" i="25"/>
  <c r="P96" i="25"/>
  <c r="P98" i="25"/>
  <c r="P101" i="25"/>
  <c r="P91" i="25"/>
  <c r="P93" i="25"/>
  <c r="P99" i="25"/>
  <c r="P95" i="25"/>
  <c r="P92" i="25"/>
  <c r="P90" i="25"/>
  <c r="P87" i="25"/>
  <c r="P88" i="25"/>
  <c r="P86" i="25"/>
  <c r="P85" i="25"/>
  <c r="P83" i="25"/>
  <c r="P84" i="25"/>
  <c r="P81" i="25"/>
  <c r="P80" i="25"/>
  <c r="P82" i="25"/>
  <c r="P74" i="25"/>
  <c r="P79" i="25"/>
  <c r="P73" i="25"/>
  <c r="P78" i="25"/>
  <c r="P72" i="25"/>
  <c r="P77" i="25"/>
  <c r="P71" i="25"/>
  <c r="P76" i="25"/>
  <c r="P70" i="25"/>
  <c r="P68" i="25"/>
  <c r="P62" i="25"/>
  <c r="P67" i="25"/>
  <c r="P69" i="25"/>
  <c r="P75" i="25"/>
  <c r="P65" i="25"/>
  <c r="P59" i="25"/>
  <c r="P66" i="25"/>
  <c r="P64" i="25"/>
  <c r="P60" i="25"/>
  <c r="P56" i="25"/>
  <c r="P55" i="25"/>
  <c r="P63" i="25"/>
  <c r="P54" i="25"/>
  <c r="P61" i="25"/>
  <c r="P53" i="25"/>
  <c r="P47" i="25"/>
  <c r="P58" i="25"/>
  <c r="P57" i="25"/>
  <c r="P49" i="25"/>
  <c r="P51" i="25"/>
  <c r="P45" i="25"/>
  <c r="P50" i="25"/>
  <c r="P46" i="25"/>
  <c r="P52" i="25"/>
  <c r="P39" i="25"/>
  <c r="P48" i="25"/>
  <c r="P44" i="25"/>
  <c r="P37" i="25"/>
  <c r="P43" i="25"/>
  <c r="P42" i="25"/>
  <c r="P36" i="25"/>
  <c r="P41" i="25"/>
  <c r="P35" i="25"/>
  <c r="P40" i="25"/>
  <c r="P34" i="25"/>
  <c r="P33" i="25"/>
  <c r="P22" i="25"/>
  <c r="P28" i="25"/>
  <c r="P23" i="25"/>
  <c r="P21" i="25"/>
  <c r="P29" i="25"/>
  <c r="P24" i="25"/>
  <c r="P38" i="25"/>
  <c r="P20" i="25"/>
  <c r="P30" i="25"/>
  <c r="P25" i="25"/>
  <c r="P19" i="25"/>
  <c r="P26" i="25"/>
  <c r="P31" i="25"/>
  <c r="P14" i="25"/>
  <c r="P12" i="25"/>
  <c r="P9" i="25"/>
  <c r="P7" i="25"/>
  <c r="P32" i="25"/>
  <c r="P15" i="25"/>
  <c r="Q5" i="25"/>
  <c r="P16" i="25"/>
  <c r="P17" i="25"/>
  <c r="O4" i="25"/>
  <c r="P11" i="25"/>
  <c r="P10" i="25"/>
  <c r="P8" i="25"/>
  <c r="P18" i="25"/>
  <c r="P27" i="25"/>
  <c r="P13" i="25"/>
  <c r="Q108" i="25" l="1"/>
  <c r="Q111" i="25"/>
  <c r="Q113" i="25"/>
  <c r="Q105" i="25"/>
  <c r="Q104" i="25"/>
  <c r="Q112" i="25"/>
  <c r="Q114" i="25"/>
  <c r="Q102" i="25"/>
  <c r="Q109" i="25"/>
  <c r="Q106" i="25"/>
  <c r="Q103" i="25"/>
  <c r="Q94" i="25"/>
  <c r="Q97" i="25"/>
  <c r="AE115" i="25"/>
  <c r="Q110" i="25"/>
  <c r="Q99" i="25"/>
  <c r="Q95" i="25"/>
  <c r="Q101" i="25"/>
  <c r="Q98" i="25"/>
  <c r="Q93" i="25"/>
  <c r="Q91" i="25"/>
  <c r="Q107" i="25"/>
  <c r="Q96" i="25"/>
  <c r="Q92" i="25"/>
  <c r="Q89" i="25"/>
  <c r="Q100" i="25"/>
  <c r="Q90" i="25"/>
  <c r="Q87" i="25"/>
  <c r="Q88" i="25"/>
  <c r="Q86" i="25"/>
  <c r="Q85" i="25"/>
  <c r="Q82" i="25"/>
  <c r="Q83" i="25"/>
  <c r="Q81" i="25"/>
  <c r="Q80" i="25"/>
  <c r="Q79" i="25"/>
  <c r="Q84" i="25"/>
  <c r="Q73" i="25"/>
  <c r="Q78" i="25"/>
  <c r="Q72" i="25"/>
  <c r="Q77" i="25"/>
  <c r="Q71" i="25"/>
  <c r="Q76" i="25"/>
  <c r="Q70" i="25"/>
  <c r="Q75" i="25"/>
  <c r="Q69" i="25"/>
  <c r="Q74" i="25"/>
  <c r="Q67" i="25"/>
  <c r="Q61" i="25"/>
  <c r="Q65" i="25"/>
  <c r="Q66" i="25"/>
  <c r="Q64" i="25"/>
  <c r="Q63" i="25"/>
  <c r="Q59" i="25"/>
  <c r="Q51" i="25"/>
  <c r="Q60" i="25"/>
  <c r="Q56" i="25"/>
  <c r="Q68" i="25"/>
  <c r="Q55" i="25"/>
  <c r="Q62" i="25"/>
  <c r="Q54" i="25"/>
  <c r="Q53" i="25"/>
  <c r="Q47" i="25"/>
  <c r="Q58" i="25"/>
  <c r="Q57" i="25"/>
  <c r="Q45" i="25"/>
  <c r="Q50" i="25"/>
  <c r="Q46" i="25"/>
  <c r="Q52" i="25"/>
  <c r="Q48" i="25"/>
  <c r="Q43" i="25"/>
  <c r="Q42" i="25"/>
  <c r="Q44" i="25"/>
  <c r="Q37" i="25"/>
  <c r="Q36" i="25"/>
  <c r="Q41" i="25"/>
  <c r="Q39" i="25"/>
  <c r="Q35" i="25"/>
  <c r="Q40" i="25"/>
  <c r="Q34" i="25"/>
  <c r="Q33" i="25"/>
  <c r="Q27" i="25"/>
  <c r="Q49" i="25"/>
  <c r="Q38" i="25"/>
  <c r="Q32" i="25"/>
  <c r="Q26" i="25"/>
  <c r="Q22" i="25"/>
  <c r="Q28" i="25"/>
  <c r="Q23" i="25"/>
  <c r="Q21" i="25"/>
  <c r="Q29" i="25"/>
  <c r="Q24" i="25"/>
  <c r="Q20" i="25"/>
  <c r="Q30" i="25"/>
  <c r="Q25" i="25"/>
  <c r="Q18" i="25"/>
  <c r="Q31" i="25"/>
  <c r="Q17" i="25"/>
  <c r="Q11" i="25"/>
  <c r="Q7" i="25"/>
  <c r="Q14" i="25"/>
  <c r="Q12" i="25"/>
  <c r="Q15" i="25"/>
  <c r="R5" i="25"/>
  <c r="Q16" i="25"/>
  <c r="Q19" i="25"/>
  <c r="Q13" i="25"/>
  <c r="Q8" i="25"/>
  <c r="Q10" i="25"/>
  <c r="Q9" i="25"/>
  <c r="AF115" i="25" l="1"/>
  <c r="R111" i="25"/>
  <c r="R110" i="25"/>
  <c r="R113" i="25"/>
  <c r="R105" i="25"/>
  <c r="R108" i="25"/>
  <c r="R104" i="25"/>
  <c r="R112" i="25"/>
  <c r="R100" i="25"/>
  <c r="R109" i="25"/>
  <c r="R106" i="25"/>
  <c r="R103" i="25"/>
  <c r="R96" i="25"/>
  <c r="R93" i="25"/>
  <c r="R102" i="25"/>
  <c r="R114" i="25"/>
  <c r="R92" i="25"/>
  <c r="R107" i="25"/>
  <c r="R97" i="25"/>
  <c r="R99" i="25"/>
  <c r="R95" i="25"/>
  <c r="R90" i="25"/>
  <c r="R94" i="25"/>
  <c r="R98" i="25"/>
  <c r="R85" i="25"/>
  <c r="R84" i="25"/>
  <c r="R91" i="25"/>
  <c r="R82" i="25"/>
  <c r="R89" i="25"/>
  <c r="R81" i="25"/>
  <c r="R80" i="25"/>
  <c r="R79" i="25"/>
  <c r="R86" i="25"/>
  <c r="R101" i="25"/>
  <c r="R88" i="25"/>
  <c r="R73" i="25"/>
  <c r="R78" i="25"/>
  <c r="R72" i="25"/>
  <c r="R77" i="25"/>
  <c r="R71" i="25"/>
  <c r="R87" i="25"/>
  <c r="R76" i="25"/>
  <c r="R70" i="25"/>
  <c r="R75" i="25"/>
  <c r="R69" i="25"/>
  <c r="R65" i="25"/>
  <c r="R66" i="25"/>
  <c r="R83" i="25"/>
  <c r="R64" i="25"/>
  <c r="R58" i="25"/>
  <c r="R63" i="25"/>
  <c r="R60" i="25"/>
  <c r="R56" i="25"/>
  <c r="R68" i="25"/>
  <c r="R67" i="25"/>
  <c r="R55" i="25"/>
  <c r="R62" i="25"/>
  <c r="R54" i="25"/>
  <c r="R53" i="25"/>
  <c r="R61" i="25"/>
  <c r="R57" i="25"/>
  <c r="R74" i="25"/>
  <c r="R52" i="25"/>
  <c r="R46" i="25"/>
  <c r="R51" i="25"/>
  <c r="R45" i="25"/>
  <c r="R50" i="25"/>
  <c r="R47" i="25"/>
  <c r="R48" i="25"/>
  <c r="R59" i="25"/>
  <c r="R43" i="25"/>
  <c r="R42" i="25"/>
  <c r="R49" i="25"/>
  <c r="R44" i="25"/>
  <c r="R36" i="25"/>
  <c r="R41" i="25"/>
  <c r="R39" i="25"/>
  <c r="R35" i="25"/>
  <c r="R40" i="25"/>
  <c r="R34" i="25"/>
  <c r="R33" i="25"/>
  <c r="R38" i="25"/>
  <c r="R32" i="25"/>
  <c r="R28" i="25"/>
  <c r="R23" i="25"/>
  <c r="R21" i="25"/>
  <c r="R29" i="25"/>
  <c r="R24" i="25"/>
  <c r="R20" i="25"/>
  <c r="R30" i="25"/>
  <c r="R25" i="25"/>
  <c r="R19" i="25"/>
  <c r="R26" i="25"/>
  <c r="R37" i="25"/>
  <c r="R31" i="25"/>
  <c r="R27" i="25"/>
  <c r="R15" i="25"/>
  <c r="S5" i="25"/>
  <c r="R16" i="25"/>
  <c r="R22" i="25"/>
  <c r="R17" i="25"/>
  <c r="R18" i="25"/>
  <c r="R13" i="25"/>
  <c r="R10" i="25"/>
  <c r="R9" i="25"/>
  <c r="R8" i="25"/>
  <c r="R7" i="25"/>
  <c r="R14" i="25"/>
  <c r="R12" i="25"/>
  <c r="R11" i="25"/>
  <c r="AG115" i="25" l="1"/>
  <c r="S111" i="25"/>
  <c r="S110" i="25"/>
  <c r="S109" i="25"/>
  <c r="S108" i="25"/>
  <c r="S104" i="25"/>
  <c r="S112" i="25"/>
  <c r="S113" i="25"/>
  <c r="S103" i="25"/>
  <c r="S105" i="25"/>
  <c r="S101" i="25"/>
  <c r="S114" i="25"/>
  <c r="S106" i="25"/>
  <c r="S98" i="25"/>
  <c r="S94" i="25"/>
  <c r="S100" i="25"/>
  <c r="S97" i="25"/>
  <c r="S91" i="25"/>
  <c r="S102" i="25"/>
  <c r="S96" i="25"/>
  <c r="S93" i="25"/>
  <c r="S99" i="25"/>
  <c r="S95" i="25"/>
  <c r="S92" i="25"/>
  <c r="S89" i="25"/>
  <c r="S90" i="25"/>
  <c r="S85" i="25"/>
  <c r="S84" i="25"/>
  <c r="S107" i="25"/>
  <c r="S81" i="25"/>
  <c r="S88" i="25"/>
  <c r="S87" i="25"/>
  <c r="S86" i="25"/>
  <c r="S80" i="25"/>
  <c r="S79" i="25"/>
  <c r="S82" i="25"/>
  <c r="S78" i="25"/>
  <c r="S72" i="25"/>
  <c r="S77" i="25"/>
  <c r="S71" i="25"/>
  <c r="S76" i="25"/>
  <c r="S70" i="25"/>
  <c r="S75" i="25"/>
  <c r="S69" i="25"/>
  <c r="S83" i="25"/>
  <c r="S74" i="25"/>
  <c r="S68" i="25"/>
  <c r="S65" i="25"/>
  <c r="S66" i="25"/>
  <c r="S73" i="25"/>
  <c r="S64" i="25"/>
  <c r="S63" i="25"/>
  <c r="S62" i="25"/>
  <c r="S60" i="25"/>
  <c r="S56" i="25"/>
  <c r="S67" i="25"/>
  <c r="S55" i="25"/>
  <c r="S54" i="25"/>
  <c r="S53" i="25"/>
  <c r="S61" i="25"/>
  <c r="S57" i="25"/>
  <c r="S58" i="25"/>
  <c r="S52" i="25"/>
  <c r="S46" i="25"/>
  <c r="S59" i="25"/>
  <c r="S50" i="25"/>
  <c r="S47" i="25"/>
  <c r="S48" i="25"/>
  <c r="S43" i="25"/>
  <c r="S42" i="25"/>
  <c r="S49" i="25"/>
  <c r="S44" i="25"/>
  <c r="S51" i="25"/>
  <c r="S36" i="25"/>
  <c r="S45" i="25"/>
  <c r="S41" i="25"/>
  <c r="S39" i="25"/>
  <c r="S35" i="25"/>
  <c r="S40" i="25"/>
  <c r="S34" i="25"/>
  <c r="S33" i="25"/>
  <c r="S38" i="25"/>
  <c r="S32" i="25"/>
  <c r="S26" i="25"/>
  <c r="S37" i="25"/>
  <c r="S31" i="25"/>
  <c r="S25" i="25"/>
  <c r="S21" i="25"/>
  <c r="S29" i="25"/>
  <c r="S24" i="25"/>
  <c r="S20" i="25"/>
  <c r="S30" i="25"/>
  <c r="S17" i="25"/>
  <c r="S27" i="25"/>
  <c r="S22" i="25"/>
  <c r="S16" i="25"/>
  <c r="S10" i="25"/>
  <c r="S23" i="25"/>
  <c r="S19" i="25"/>
  <c r="S18" i="25"/>
  <c r="S13" i="25"/>
  <c r="S9" i="25"/>
  <c r="S8" i="25"/>
  <c r="T5" i="25"/>
  <c r="S14" i="25"/>
  <c r="S12" i="25"/>
  <c r="S11" i="25"/>
  <c r="S15" i="25"/>
  <c r="S28" i="25"/>
  <c r="S7" i="25"/>
  <c r="T114" i="25" l="1"/>
  <c r="T113" i="25"/>
  <c r="AH115" i="25"/>
  <c r="T111" i="25"/>
  <c r="T110" i="25"/>
  <c r="T109" i="25"/>
  <c r="T108" i="25"/>
  <c r="T107" i="25"/>
  <c r="T104" i="25"/>
  <c r="T112" i="25"/>
  <c r="T103" i="25"/>
  <c r="T101" i="25"/>
  <c r="T105" i="25"/>
  <c r="T95" i="25"/>
  <c r="T92" i="25"/>
  <c r="T106" i="25"/>
  <c r="T98" i="25"/>
  <c r="T99" i="25"/>
  <c r="T102" i="25"/>
  <c r="T96" i="25"/>
  <c r="T93" i="25"/>
  <c r="T97" i="25"/>
  <c r="T89" i="25"/>
  <c r="T90" i="25"/>
  <c r="T100" i="25"/>
  <c r="T94" i="25"/>
  <c r="T84" i="25"/>
  <c r="T91" i="25"/>
  <c r="T81" i="25"/>
  <c r="T86" i="25"/>
  <c r="T88" i="25"/>
  <c r="T85" i="25"/>
  <c r="T82" i="25"/>
  <c r="T83" i="25"/>
  <c r="T78" i="25"/>
  <c r="T72" i="25"/>
  <c r="T79" i="25"/>
  <c r="T77" i="25"/>
  <c r="T71" i="25"/>
  <c r="T80" i="25"/>
  <c r="T76" i="25"/>
  <c r="T70" i="25"/>
  <c r="T87" i="25"/>
  <c r="T75" i="25"/>
  <c r="T69" i="25"/>
  <c r="T74" i="25"/>
  <c r="T68" i="25"/>
  <c r="T65" i="25"/>
  <c r="T66" i="25"/>
  <c r="T73" i="25"/>
  <c r="T64" i="25"/>
  <c r="T63" i="25"/>
  <c r="T57" i="25"/>
  <c r="T62" i="25"/>
  <c r="T67" i="25"/>
  <c r="T55" i="25"/>
  <c r="T54" i="25"/>
  <c r="T53" i="25"/>
  <c r="T61" i="25"/>
  <c r="T58" i="25"/>
  <c r="T52" i="25"/>
  <c r="T59" i="25"/>
  <c r="T51" i="25"/>
  <c r="T45" i="25"/>
  <c r="T56" i="25"/>
  <c r="T46" i="25"/>
  <c r="T47" i="25"/>
  <c r="T48" i="25"/>
  <c r="T60" i="25"/>
  <c r="T49" i="25"/>
  <c r="T44" i="25"/>
  <c r="T41" i="25"/>
  <c r="T43" i="25"/>
  <c r="T42" i="25"/>
  <c r="T39" i="25"/>
  <c r="T35" i="25"/>
  <c r="T40" i="25"/>
  <c r="T34" i="25"/>
  <c r="T33" i="25"/>
  <c r="T38" i="25"/>
  <c r="T32" i="25"/>
  <c r="T37" i="25"/>
  <c r="T31" i="25"/>
  <c r="T50" i="25"/>
  <c r="T29" i="25"/>
  <c r="T24" i="25"/>
  <c r="T20" i="25"/>
  <c r="T30" i="25"/>
  <c r="T25" i="25"/>
  <c r="T19" i="25"/>
  <c r="T18" i="25"/>
  <c r="T26" i="25"/>
  <c r="T27" i="25"/>
  <c r="T22" i="25"/>
  <c r="T28" i="25"/>
  <c r="T23" i="25"/>
  <c r="T16" i="25"/>
  <c r="T17" i="25"/>
  <c r="T36" i="25"/>
  <c r="T21" i="25"/>
  <c r="T13" i="25"/>
  <c r="T9" i="25"/>
  <c r="T8" i="25"/>
  <c r="T14" i="25"/>
  <c r="T12" i="25"/>
  <c r="T11" i="25"/>
  <c r="T10" i="25"/>
  <c r="T7" i="25"/>
  <c r="U5" i="25"/>
  <c r="S4" i="25"/>
  <c r="T15" i="25"/>
  <c r="U112" i="25" l="1"/>
  <c r="AI115" i="25"/>
  <c r="U111" i="25"/>
  <c r="U109" i="25"/>
  <c r="U108" i="25"/>
  <c r="U107" i="25"/>
  <c r="U103" i="25"/>
  <c r="U114" i="25"/>
  <c r="U113" i="25"/>
  <c r="U106" i="25"/>
  <c r="U105" i="25"/>
  <c r="U104" i="25"/>
  <c r="U101" i="25"/>
  <c r="U100" i="25"/>
  <c r="U98" i="25"/>
  <c r="U110" i="25"/>
  <c r="U99" i="25"/>
  <c r="U96" i="25"/>
  <c r="U93" i="25"/>
  <c r="U95" i="25"/>
  <c r="U97" i="25"/>
  <c r="U89" i="25"/>
  <c r="U92" i="25"/>
  <c r="U90" i="25"/>
  <c r="U102" i="25"/>
  <c r="U94" i="25"/>
  <c r="U91" i="25"/>
  <c r="U84" i="25"/>
  <c r="U88" i="25"/>
  <c r="U87" i="25"/>
  <c r="U86" i="25"/>
  <c r="U80" i="25"/>
  <c r="U85" i="25"/>
  <c r="U82" i="25"/>
  <c r="U83" i="25"/>
  <c r="U81" i="25"/>
  <c r="U79" i="25"/>
  <c r="U77" i="25"/>
  <c r="U71" i="25"/>
  <c r="U76" i="25"/>
  <c r="U70" i="25"/>
  <c r="U75" i="25"/>
  <c r="U69" i="25"/>
  <c r="U74" i="25"/>
  <c r="U68" i="25"/>
  <c r="U73" i="25"/>
  <c r="U65" i="25"/>
  <c r="U66" i="25"/>
  <c r="U78" i="25"/>
  <c r="U64" i="25"/>
  <c r="U63" i="25"/>
  <c r="U62" i="25"/>
  <c r="U67" i="25"/>
  <c r="U61" i="25"/>
  <c r="U55" i="25"/>
  <c r="U54" i="25"/>
  <c r="U53" i="25"/>
  <c r="U58" i="25"/>
  <c r="U57" i="25"/>
  <c r="U52" i="25"/>
  <c r="U72" i="25"/>
  <c r="U59" i="25"/>
  <c r="U51" i="25"/>
  <c r="U45" i="25"/>
  <c r="U60" i="25"/>
  <c r="U56" i="25"/>
  <c r="U46" i="25"/>
  <c r="U47" i="25"/>
  <c r="U48" i="25"/>
  <c r="U49" i="25"/>
  <c r="U44" i="25"/>
  <c r="U50" i="25"/>
  <c r="U43" i="25"/>
  <c r="U42" i="25"/>
  <c r="U39" i="25"/>
  <c r="U35" i="25"/>
  <c r="U40" i="25"/>
  <c r="U34" i="25"/>
  <c r="U33" i="25"/>
  <c r="U38" i="25"/>
  <c r="U32" i="25"/>
  <c r="U37" i="25"/>
  <c r="U31" i="25"/>
  <c r="U25" i="25"/>
  <c r="U36" i="25"/>
  <c r="U30" i="25"/>
  <c r="U24" i="25"/>
  <c r="U20" i="25"/>
  <c r="U19" i="25"/>
  <c r="U41" i="25"/>
  <c r="U26" i="25"/>
  <c r="U27" i="25"/>
  <c r="U22" i="25"/>
  <c r="U16" i="25"/>
  <c r="U28" i="25"/>
  <c r="U23" i="25"/>
  <c r="U21" i="25"/>
  <c r="U15" i="25"/>
  <c r="U9" i="25"/>
  <c r="U17" i="25"/>
  <c r="U13" i="25"/>
  <c r="U18" i="25"/>
  <c r="U8" i="25"/>
  <c r="U14" i="25"/>
  <c r="U12" i="25"/>
  <c r="U11" i="25"/>
  <c r="U10" i="25"/>
  <c r="U7" i="25"/>
  <c r="U29" i="25"/>
  <c r="V5" i="25"/>
  <c r="V114" i="25" l="1"/>
  <c r="V113" i="25"/>
  <c r="V106" i="25"/>
  <c r="V112" i="25"/>
  <c r="V111" i="25"/>
  <c r="V108" i="25"/>
  <c r="V103" i="25"/>
  <c r="V110" i="25"/>
  <c r="V102" i="25"/>
  <c r="AJ115" i="25"/>
  <c r="V109" i="25"/>
  <c r="V101" i="25"/>
  <c r="V105" i="25"/>
  <c r="V104" i="25"/>
  <c r="V100" i="25"/>
  <c r="V98" i="25"/>
  <c r="V99" i="25"/>
  <c r="V96" i="25"/>
  <c r="V93" i="25"/>
  <c r="V92" i="25"/>
  <c r="V94" i="25"/>
  <c r="V107" i="25"/>
  <c r="V95" i="25"/>
  <c r="V97" i="25"/>
  <c r="V89" i="25"/>
  <c r="V90" i="25"/>
  <c r="V91" i="25"/>
  <c r="V88" i="25"/>
  <c r="V87" i="25"/>
  <c r="V86" i="25"/>
  <c r="V82" i="25"/>
  <c r="V85" i="25"/>
  <c r="V83" i="25"/>
  <c r="V79" i="25"/>
  <c r="V84" i="25"/>
  <c r="V77" i="25"/>
  <c r="V71" i="25"/>
  <c r="V80" i="25"/>
  <c r="V76" i="25"/>
  <c r="V70" i="25"/>
  <c r="V75" i="25"/>
  <c r="V69" i="25"/>
  <c r="V74" i="25"/>
  <c r="V73" i="25"/>
  <c r="V67" i="25"/>
  <c r="V65" i="25"/>
  <c r="V66" i="25"/>
  <c r="V78" i="25"/>
  <c r="V64" i="25"/>
  <c r="V81" i="25"/>
  <c r="V63" i="25"/>
  <c r="V62" i="25"/>
  <c r="V72" i="25"/>
  <c r="V68" i="25"/>
  <c r="V54" i="25"/>
  <c r="V53" i="25"/>
  <c r="V61" i="25"/>
  <c r="V58" i="25"/>
  <c r="V57" i="25"/>
  <c r="V52" i="25"/>
  <c r="V59" i="25"/>
  <c r="V51" i="25"/>
  <c r="V60" i="25"/>
  <c r="V56" i="25"/>
  <c r="V50" i="25"/>
  <c r="V44" i="25"/>
  <c r="V46" i="25"/>
  <c r="V47" i="25"/>
  <c r="V48" i="25"/>
  <c r="V55" i="25"/>
  <c r="V49" i="25"/>
  <c r="V45" i="25"/>
  <c r="V41" i="25"/>
  <c r="V40" i="25"/>
  <c r="V34" i="25"/>
  <c r="V33" i="25"/>
  <c r="V38" i="25"/>
  <c r="V32" i="25"/>
  <c r="V37" i="25"/>
  <c r="V36" i="25"/>
  <c r="V30" i="25"/>
  <c r="V19" i="25"/>
  <c r="V35" i="25"/>
  <c r="V25" i="25"/>
  <c r="V39" i="25"/>
  <c r="V18" i="25"/>
  <c r="V42" i="25"/>
  <c r="V26" i="25"/>
  <c r="V17" i="25"/>
  <c r="V43" i="25"/>
  <c r="V27" i="25"/>
  <c r="V31" i="25"/>
  <c r="V22" i="25"/>
  <c r="V28" i="25"/>
  <c r="V23" i="25"/>
  <c r="V21" i="25"/>
  <c r="V29" i="25"/>
  <c r="V16" i="25"/>
  <c r="V24" i="25"/>
  <c r="V8" i="25"/>
  <c r="V13" i="25"/>
  <c r="V14" i="25"/>
  <c r="V12" i="25"/>
  <c r="V11" i="25"/>
  <c r="V10" i="25"/>
  <c r="V9" i="25"/>
  <c r="V7" i="25"/>
  <c r="W5" i="25"/>
  <c r="V20" i="25"/>
  <c r="V15" i="25"/>
  <c r="AK115" i="25" l="1"/>
  <c r="W111" i="25"/>
  <c r="W112" i="25"/>
  <c r="W113" i="25"/>
  <c r="W114" i="25"/>
  <c r="W110" i="25"/>
  <c r="W102" i="25"/>
  <c r="W109" i="25"/>
  <c r="W106" i="25"/>
  <c r="W105" i="25"/>
  <c r="W104" i="25"/>
  <c r="W100" i="25"/>
  <c r="W98" i="25"/>
  <c r="W103" i="25"/>
  <c r="W99" i="25"/>
  <c r="W108" i="25"/>
  <c r="W96" i="25"/>
  <c r="W94" i="25"/>
  <c r="W101" i="25"/>
  <c r="W95" i="25"/>
  <c r="W97" i="25"/>
  <c r="W89" i="25"/>
  <c r="W90" i="25"/>
  <c r="W92" i="25"/>
  <c r="W91" i="25"/>
  <c r="W107" i="25"/>
  <c r="W88" i="25"/>
  <c r="W87" i="25"/>
  <c r="W86" i="25"/>
  <c r="W93" i="25"/>
  <c r="W85" i="25"/>
  <c r="W82" i="25"/>
  <c r="W83" i="25"/>
  <c r="W84" i="25"/>
  <c r="W81" i="25"/>
  <c r="W80" i="25"/>
  <c r="W76" i="25"/>
  <c r="W70" i="25"/>
  <c r="W75" i="25"/>
  <c r="W69" i="25"/>
  <c r="W74" i="25"/>
  <c r="W73" i="25"/>
  <c r="W67" i="25"/>
  <c r="W78" i="25"/>
  <c r="W72" i="25"/>
  <c r="W66" i="25"/>
  <c r="W64" i="25"/>
  <c r="W71" i="25"/>
  <c r="W63" i="25"/>
  <c r="W62" i="25"/>
  <c r="W79" i="25"/>
  <c r="W77" i="25"/>
  <c r="W61" i="25"/>
  <c r="W68" i="25"/>
  <c r="W60" i="25"/>
  <c r="W54" i="25"/>
  <c r="W53" i="25"/>
  <c r="W58" i="25"/>
  <c r="W57" i="25"/>
  <c r="W52" i="25"/>
  <c r="W59" i="25"/>
  <c r="W51" i="25"/>
  <c r="W65" i="25"/>
  <c r="W56" i="25"/>
  <c r="W50" i="25"/>
  <c r="W44" i="25"/>
  <c r="W55" i="25"/>
  <c r="W47" i="25"/>
  <c r="W48" i="25"/>
  <c r="W49" i="25"/>
  <c r="W45" i="25"/>
  <c r="W41" i="25"/>
  <c r="W46" i="25"/>
  <c r="W40" i="25"/>
  <c r="W34" i="25"/>
  <c r="W33" i="25"/>
  <c r="W38" i="25"/>
  <c r="W32" i="25"/>
  <c r="W37" i="25"/>
  <c r="W36" i="25"/>
  <c r="W30" i="25"/>
  <c r="W24" i="25"/>
  <c r="W43" i="25"/>
  <c r="W42" i="25"/>
  <c r="W39" i="25"/>
  <c r="W35" i="25"/>
  <c r="W29" i="25"/>
  <c r="W23" i="25"/>
  <c r="W19" i="25"/>
  <c r="W25" i="25"/>
  <c r="W26" i="25"/>
  <c r="W27" i="25"/>
  <c r="W31" i="25"/>
  <c r="W22" i="25"/>
  <c r="W28" i="25"/>
  <c r="W21" i="25"/>
  <c r="W15" i="25"/>
  <c r="W20" i="25"/>
  <c r="W14" i="25"/>
  <c r="W8" i="25"/>
  <c r="W16" i="25"/>
  <c r="W17" i="25"/>
  <c r="W13" i="25"/>
  <c r="W18" i="25"/>
  <c r="W12" i="25"/>
  <c r="W11" i="25"/>
  <c r="W10" i="25"/>
  <c r="W9" i="25"/>
  <c r="W7" i="25"/>
  <c r="X5" i="25"/>
  <c r="X114" i="25" l="1"/>
  <c r="X113" i="25"/>
  <c r="X112" i="25"/>
  <c r="AL115" i="25"/>
  <c r="X110" i="25"/>
  <c r="X102" i="25"/>
  <c r="X109" i="25"/>
  <c r="X106" i="25"/>
  <c r="X105" i="25"/>
  <c r="X100" i="25"/>
  <c r="X99" i="25"/>
  <c r="X107" i="25"/>
  <c r="X103" i="25"/>
  <c r="X111" i="25"/>
  <c r="X96" i="25"/>
  <c r="X93" i="25"/>
  <c r="X92" i="25"/>
  <c r="X91" i="25"/>
  <c r="X98" i="25"/>
  <c r="X101" i="25"/>
  <c r="X95" i="25"/>
  <c r="X97" i="25"/>
  <c r="X108" i="25"/>
  <c r="X94" i="25"/>
  <c r="X90" i="25"/>
  <c r="X104" i="25"/>
  <c r="X88" i="25"/>
  <c r="X87" i="25"/>
  <c r="X86" i="25"/>
  <c r="X89" i="25"/>
  <c r="X85" i="25"/>
  <c r="X82" i="25"/>
  <c r="X83" i="25"/>
  <c r="X79" i="25"/>
  <c r="X84" i="25"/>
  <c r="X81" i="25"/>
  <c r="X80" i="25"/>
  <c r="X76" i="25"/>
  <c r="X70" i="25"/>
  <c r="X75" i="25"/>
  <c r="X74" i="25"/>
  <c r="X73" i="25"/>
  <c r="X78" i="25"/>
  <c r="X72" i="25"/>
  <c r="X64" i="25"/>
  <c r="X71" i="25"/>
  <c r="X69" i="25"/>
  <c r="X63" i="25"/>
  <c r="X77" i="25"/>
  <c r="X61" i="25"/>
  <c r="X68" i="25"/>
  <c r="X67" i="25"/>
  <c r="X53" i="25"/>
  <c r="X66" i="25"/>
  <c r="X62" i="25"/>
  <c r="X58" i="25"/>
  <c r="X57" i="25"/>
  <c r="X52" i="25"/>
  <c r="X59" i="25"/>
  <c r="X65" i="25"/>
  <c r="X56" i="25"/>
  <c r="X50" i="25"/>
  <c r="X60" i="25"/>
  <c r="X55" i="25"/>
  <c r="X49" i="25"/>
  <c r="X43" i="25"/>
  <c r="X47" i="25"/>
  <c r="X48" i="25"/>
  <c r="X44" i="25"/>
  <c r="X54" i="25"/>
  <c r="X45" i="25"/>
  <c r="X41" i="25"/>
  <c r="X51" i="25"/>
  <c r="X46" i="25"/>
  <c r="X40" i="25"/>
  <c r="X33" i="25"/>
  <c r="X38" i="25"/>
  <c r="X32" i="25"/>
  <c r="X37" i="25"/>
  <c r="X36" i="25"/>
  <c r="X42" i="25"/>
  <c r="X39" i="25"/>
  <c r="X35" i="25"/>
  <c r="X25" i="25"/>
  <c r="X30" i="25"/>
  <c r="X26" i="25"/>
  <c r="X34" i="25"/>
  <c r="X27" i="25"/>
  <c r="X31" i="25"/>
  <c r="X22" i="25"/>
  <c r="X28" i="25"/>
  <c r="X23" i="25"/>
  <c r="X21" i="25"/>
  <c r="X29" i="25"/>
  <c r="X20" i="25"/>
  <c r="X24" i="25"/>
  <c r="X7" i="25"/>
  <c r="X17" i="25"/>
  <c r="X13" i="25"/>
  <c r="X19" i="25"/>
  <c r="X18" i="25"/>
  <c r="X12" i="25"/>
  <c r="X11" i="25"/>
  <c r="X10" i="25"/>
  <c r="X9" i="25"/>
  <c r="X8" i="25"/>
  <c r="X14" i="25"/>
  <c r="Y5" i="25"/>
  <c r="X15" i="25"/>
  <c r="X16" i="25"/>
  <c r="Y114" i="25" l="1"/>
  <c r="AM115" i="25"/>
  <c r="Y113" i="25"/>
  <c r="Y112" i="25"/>
  <c r="Y110" i="25"/>
  <c r="Y109" i="25"/>
  <c r="Y101" i="25"/>
  <c r="Y106" i="25"/>
  <c r="Y102" i="25"/>
  <c r="Y100" i="25"/>
  <c r="Y99" i="25"/>
  <c r="Y111" i="25"/>
  <c r="Y105" i="25"/>
  <c r="Y107" i="25"/>
  <c r="Y96" i="25"/>
  <c r="Y93" i="25"/>
  <c r="Y92" i="25"/>
  <c r="Y91" i="25"/>
  <c r="Y98" i="25"/>
  <c r="Y94" i="25"/>
  <c r="Y95" i="25"/>
  <c r="Y97" i="25"/>
  <c r="Y103" i="25"/>
  <c r="Y108" i="25"/>
  <c r="Y104" i="25"/>
  <c r="Y90" i="25"/>
  <c r="Y88" i="25"/>
  <c r="Y87" i="25"/>
  <c r="Y86" i="25"/>
  <c r="Y89" i="25"/>
  <c r="Y85" i="25"/>
  <c r="Y84" i="25"/>
  <c r="Y82" i="25"/>
  <c r="Y83" i="25"/>
  <c r="Y79" i="25"/>
  <c r="Y81" i="25"/>
  <c r="Y80" i="25"/>
  <c r="Y75" i="25"/>
  <c r="Y69" i="25"/>
  <c r="Y74" i="25"/>
  <c r="Y68" i="25"/>
  <c r="Y73" i="25"/>
  <c r="Y78" i="25"/>
  <c r="Y72" i="25"/>
  <c r="Y66" i="25"/>
  <c r="Y77" i="25"/>
  <c r="Y71" i="25"/>
  <c r="Y76" i="25"/>
  <c r="Y63" i="25"/>
  <c r="Y62" i="25"/>
  <c r="Y67" i="25"/>
  <c r="Y70" i="25"/>
  <c r="Y65" i="25"/>
  <c r="Y59" i="25"/>
  <c r="Y53" i="25"/>
  <c r="Y64" i="25"/>
  <c r="Y58" i="25"/>
  <c r="Y57" i="25"/>
  <c r="Y52" i="25"/>
  <c r="Y61" i="25"/>
  <c r="Y56" i="25"/>
  <c r="Y60" i="25"/>
  <c r="Y55" i="25"/>
  <c r="Y49" i="25"/>
  <c r="Y43" i="25"/>
  <c r="Y54" i="25"/>
  <c r="Y48" i="25"/>
  <c r="Y44" i="25"/>
  <c r="Y45" i="25"/>
  <c r="Y51" i="25"/>
  <c r="Y50" i="25"/>
  <c r="Y46" i="25"/>
  <c r="Y33" i="25"/>
  <c r="Y38" i="25"/>
  <c r="Y32" i="25"/>
  <c r="Y37" i="25"/>
  <c r="Y36" i="25"/>
  <c r="Y42" i="25"/>
  <c r="Y39" i="25"/>
  <c r="Y35" i="25"/>
  <c r="Y29" i="25"/>
  <c r="Y23" i="25"/>
  <c r="Y41" i="25"/>
  <c r="Y34" i="25"/>
  <c r="Y28" i="25"/>
  <c r="Y22" i="25"/>
  <c r="Y30" i="25"/>
  <c r="Y18" i="25"/>
  <c r="Y26" i="25"/>
  <c r="Y47" i="25"/>
  <c r="Y40" i="25"/>
  <c r="Y27" i="25"/>
  <c r="Y31" i="25"/>
  <c r="Y21" i="25"/>
  <c r="Y20" i="25"/>
  <c r="Y14" i="25"/>
  <c r="Y24" i="25"/>
  <c r="Y19" i="25"/>
  <c r="Y13" i="25"/>
  <c r="Y25" i="25"/>
  <c r="Y17" i="25"/>
  <c r="Z5" i="25"/>
  <c r="Y12" i="25"/>
  <c r="Y11" i="25"/>
  <c r="Y10" i="25"/>
  <c r="Y9" i="25"/>
  <c r="Y8" i="25"/>
  <c r="Y7" i="25"/>
  <c r="Y15" i="25"/>
  <c r="Y16" i="25"/>
  <c r="X4" i="25"/>
  <c r="Z113" i="25" l="1"/>
  <c r="Z112" i="25"/>
  <c r="Z111" i="25"/>
  <c r="AN115" i="25"/>
  <c r="Z114" i="25"/>
  <c r="Z101" i="25"/>
  <c r="Z106" i="25"/>
  <c r="Z107" i="25"/>
  <c r="Z109" i="25"/>
  <c r="Z100" i="25"/>
  <c r="Z98" i="25"/>
  <c r="Z108" i="25"/>
  <c r="Z99" i="25"/>
  <c r="Z97" i="25"/>
  <c r="Z96" i="25"/>
  <c r="Z110" i="25"/>
  <c r="Z94" i="25"/>
  <c r="Z95" i="25"/>
  <c r="Z90" i="25"/>
  <c r="Z102" i="25"/>
  <c r="Z93" i="25"/>
  <c r="Z104" i="25"/>
  <c r="Z105" i="25"/>
  <c r="Z103" i="25"/>
  <c r="Z92" i="25"/>
  <c r="Z91" i="25"/>
  <c r="Z88" i="25"/>
  <c r="Z87" i="25"/>
  <c r="Z86" i="25"/>
  <c r="Z89" i="25"/>
  <c r="Z85" i="25"/>
  <c r="Z84" i="25"/>
  <c r="Z82" i="25"/>
  <c r="Z83" i="25"/>
  <c r="Z81" i="25"/>
  <c r="Z80" i="25"/>
  <c r="Z78" i="25"/>
  <c r="Z75" i="25"/>
  <c r="Z69" i="25"/>
  <c r="Z74" i="25"/>
  <c r="Z73" i="25"/>
  <c r="Z72" i="25"/>
  <c r="Z77" i="25"/>
  <c r="Z71" i="25"/>
  <c r="Z63" i="25"/>
  <c r="Z62" i="25"/>
  <c r="Z79" i="25"/>
  <c r="Z67" i="25"/>
  <c r="Z70" i="25"/>
  <c r="Z68" i="25"/>
  <c r="Z60" i="25"/>
  <c r="Z65" i="25"/>
  <c r="Z64" i="25"/>
  <c r="Z58" i="25"/>
  <c r="Z57" i="25"/>
  <c r="Z66" i="25"/>
  <c r="Z61" i="25"/>
  <c r="Z59" i="25"/>
  <c r="Z56" i="25"/>
  <c r="Z55" i="25"/>
  <c r="Z49" i="25"/>
  <c r="Z76" i="25"/>
  <c r="Z54" i="25"/>
  <c r="Z48" i="25"/>
  <c r="Z52" i="25"/>
  <c r="Z45" i="25"/>
  <c r="Z51" i="25"/>
  <c r="Z50" i="25"/>
  <c r="Z46" i="25"/>
  <c r="Z40" i="25"/>
  <c r="Z53" i="25"/>
  <c r="Z47" i="25"/>
  <c r="Z39" i="25"/>
  <c r="Z38" i="25"/>
  <c r="Z32" i="25"/>
  <c r="Z37" i="25"/>
  <c r="Z36" i="25"/>
  <c r="Z42" i="25"/>
  <c r="Z35" i="25"/>
  <c r="Z43" i="25"/>
  <c r="Z41" i="25"/>
  <c r="Z34" i="25"/>
  <c r="Z26" i="25"/>
  <c r="Z27" i="25"/>
  <c r="Z31" i="25"/>
  <c r="Z22" i="25"/>
  <c r="Z28" i="25"/>
  <c r="Z21" i="25"/>
  <c r="Z23" i="25"/>
  <c r="Z33" i="25"/>
  <c r="Z20" i="25"/>
  <c r="Z29" i="25"/>
  <c r="Z24" i="25"/>
  <c r="Z44" i="25"/>
  <c r="Z19" i="25"/>
  <c r="Z25" i="25"/>
  <c r="Z17" i="25"/>
  <c r="Z13" i="25"/>
  <c r="AA5" i="25"/>
  <c r="Z12" i="25"/>
  <c r="Z11" i="25"/>
  <c r="Z10" i="25"/>
  <c r="Z9" i="25"/>
  <c r="Z8" i="25"/>
  <c r="Z18" i="25"/>
  <c r="Z7" i="25"/>
  <c r="Z14" i="25"/>
  <c r="Z15" i="25"/>
  <c r="Z16" i="25"/>
  <c r="Z30" i="25"/>
  <c r="AA113" i="25" l="1"/>
  <c r="AO115" i="25"/>
  <c r="AA110" i="25"/>
  <c r="AA111" i="25"/>
  <c r="AA109" i="25"/>
  <c r="AA114" i="25"/>
  <c r="AA112" i="25"/>
  <c r="AA106" i="25"/>
  <c r="AA107" i="25"/>
  <c r="AA100" i="25"/>
  <c r="AA98" i="25"/>
  <c r="AA99" i="25"/>
  <c r="AA97" i="25"/>
  <c r="AA96" i="25"/>
  <c r="AA95" i="25"/>
  <c r="AA108" i="25"/>
  <c r="AA90" i="25"/>
  <c r="AA101" i="25"/>
  <c r="AA104" i="25"/>
  <c r="AA105" i="25"/>
  <c r="AA94" i="25"/>
  <c r="AA103" i="25"/>
  <c r="AA92" i="25"/>
  <c r="AA102" i="25"/>
  <c r="AA91" i="25"/>
  <c r="AA89" i="25"/>
  <c r="AA88" i="25"/>
  <c r="AA87" i="25"/>
  <c r="AA86" i="25"/>
  <c r="AA85" i="25"/>
  <c r="AA93" i="25"/>
  <c r="AA83" i="25"/>
  <c r="AA82" i="25"/>
  <c r="AA79" i="25"/>
  <c r="AA81" i="25"/>
  <c r="AA80" i="25"/>
  <c r="AA84" i="25"/>
  <c r="AA74" i="25"/>
  <c r="AA68" i="25"/>
  <c r="AA73" i="25"/>
  <c r="AA72" i="25"/>
  <c r="AA78" i="25"/>
  <c r="AA77" i="25"/>
  <c r="AA71" i="25"/>
  <c r="AA76" i="25"/>
  <c r="AA70" i="25"/>
  <c r="AA69" i="25"/>
  <c r="AA62" i="25"/>
  <c r="AA67" i="25"/>
  <c r="AA75" i="25"/>
  <c r="AA65" i="25"/>
  <c r="AA66" i="25"/>
  <c r="AA64" i="25"/>
  <c r="AA58" i="25"/>
  <c r="AA57" i="25"/>
  <c r="AA52" i="25"/>
  <c r="AA61" i="25"/>
  <c r="AA59" i="25"/>
  <c r="AA56" i="25"/>
  <c r="AA63" i="25"/>
  <c r="AA60" i="25"/>
  <c r="AA55" i="25"/>
  <c r="AA54" i="25"/>
  <c r="AA48" i="25"/>
  <c r="AA42" i="25"/>
  <c r="AA53" i="25"/>
  <c r="AA44" i="25"/>
  <c r="AA49" i="25"/>
  <c r="AA45" i="25"/>
  <c r="AA51" i="25"/>
  <c r="AA50" i="25"/>
  <c r="AA46" i="25"/>
  <c r="AA47" i="25"/>
  <c r="AA38" i="25"/>
  <c r="AA32" i="25"/>
  <c r="AA37" i="25"/>
  <c r="AA31" i="25"/>
  <c r="AA36" i="25"/>
  <c r="AA35" i="25"/>
  <c r="AA39" i="25"/>
  <c r="AA43" i="25"/>
  <c r="AA41" i="25"/>
  <c r="AA34" i="25"/>
  <c r="AA28" i="25"/>
  <c r="AA40" i="25"/>
  <c r="AA33" i="25"/>
  <c r="AA27" i="25"/>
  <c r="AA22" i="25"/>
  <c r="AA21" i="25"/>
  <c r="AA23" i="25"/>
  <c r="AA20" i="25"/>
  <c r="AA29" i="25"/>
  <c r="AA24" i="25"/>
  <c r="AA19" i="25"/>
  <c r="AA13" i="25"/>
  <c r="AA25" i="25"/>
  <c r="AA30" i="25"/>
  <c r="AA18" i="25"/>
  <c r="AA12" i="25"/>
  <c r="AA11" i="25"/>
  <c r="AA10" i="25"/>
  <c r="AA9" i="25"/>
  <c r="AA8" i="25"/>
  <c r="AA7" i="25"/>
  <c r="AA14" i="25"/>
  <c r="AB5" i="25"/>
  <c r="AA15" i="25"/>
  <c r="AA16" i="25"/>
  <c r="AA26" i="25"/>
  <c r="AA17" i="25"/>
  <c r="AP115" i="25" l="1"/>
  <c r="AB114" i="25"/>
  <c r="AB111" i="25"/>
  <c r="AB112" i="25"/>
  <c r="AB113" i="25"/>
  <c r="AB107" i="25"/>
  <c r="AB100" i="25"/>
  <c r="AB105" i="25"/>
  <c r="AB103" i="25"/>
  <c r="AB109" i="25"/>
  <c r="AB108" i="25"/>
  <c r="AB101" i="25"/>
  <c r="AB97" i="25"/>
  <c r="AB96" i="25"/>
  <c r="AB95" i="25"/>
  <c r="AB94" i="25"/>
  <c r="AB110" i="25"/>
  <c r="AB106" i="25"/>
  <c r="AB98" i="25"/>
  <c r="AB99" i="25"/>
  <c r="AB89" i="25"/>
  <c r="AB104" i="25"/>
  <c r="AB102" i="25"/>
  <c r="AB91" i="25"/>
  <c r="AB93" i="25"/>
  <c r="AB87" i="25"/>
  <c r="AB86" i="25"/>
  <c r="AB88" i="25"/>
  <c r="AB85" i="25"/>
  <c r="AB84" i="25"/>
  <c r="AB83" i="25"/>
  <c r="AB92" i="25"/>
  <c r="AB90" i="25"/>
  <c r="AB81" i="25"/>
  <c r="AB80" i="25"/>
  <c r="AB74" i="25"/>
  <c r="AB73" i="25"/>
  <c r="AB72" i="25"/>
  <c r="AB78" i="25"/>
  <c r="AB77" i="25"/>
  <c r="AB71" i="25"/>
  <c r="AB76" i="25"/>
  <c r="AB70" i="25"/>
  <c r="AB82" i="25"/>
  <c r="AB79" i="25"/>
  <c r="AB62" i="25"/>
  <c r="AB67" i="25"/>
  <c r="AB75" i="25"/>
  <c r="AB68" i="25"/>
  <c r="AB65" i="25"/>
  <c r="AB59" i="25"/>
  <c r="AB66" i="25"/>
  <c r="AB64" i="25"/>
  <c r="AB69" i="25"/>
  <c r="AB58" i="25"/>
  <c r="AB61" i="25"/>
  <c r="AB56" i="25"/>
  <c r="AB63" i="25"/>
  <c r="AB60" i="25"/>
  <c r="AB55" i="25"/>
  <c r="AB54" i="25"/>
  <c r="AB53" i="25"/>
  <c r="AB47" i="25"/>
  <c r="AB48" i="25"/>
  <c r="AB49" i="25"/>
  <c r="AB52" i="25"/>
  <c r="AB45" i="25"/>
  <c r="AB51" i="25"/>
  <c r="AB50" i="25"/>
  <c r="AB46" i="25"/>
  <c r="AB39" i="25"/>
  <c r="AB37" i="25"/>
  <c r="AB31" i="25"/>
  <c r="AB36" i="25"/>
  <c r="AB57" i="25"/>
  <c r="AB35" i="25"/>
  <c r="AB42" i="25"/>
  <c r="AB43" i="25"/>
  <c r="AB41" i="25"/>
  <c r="AB34" i="25"/>
  <c r="AB40" i="25"/>
  <c r="AB33" i="25"/>
  <c r="AB44" i="25"/>
  <c r="AB27" i="25"/>
  <c r="AB22" i="25"/>
  <c r="AB21" i="25"/>
  <c r="AB38" i="25"/>
  <c r="AB28" i="25"/>
  <c r="AB23" i="25"/>
  <c r="AB20" i="25"/>
  <c r="AB29" i="25"/>
  <c r="AB24" i="25"/>
  <c r="AB19" i="25"/>
  <c r="AB25" i="25"/>
  <c r="AB30" i="25"/>
  <c r="AB32" i="25"/>
  <c r="AB26" i="25"/>
  <c r="AB13" i="25"/>
  <c r="AB11" i="25"/>
  <c r="AB10" i="25"/>
  <c r="AB9" i="25"/>
  <c r="AB8" i="25"/>
  <c r="AB12" i="25"/>
  <c r="AB7" i="25"/>
  <c r="AC5" i="25"/>
  <c r="AB18" i="25"/>
  <c r="AB14" i="25"/>
  <c r="AB15" i="25"/>
  <c r="AB16" i="25"/>
  <c r="AB17" i="25"/>
  <c r="AC114" i="25" l="1"/>
  <c r="AC113" i="25"/>
  <c r="AQ115" i="25"/>
  <c r="AC108" i="25"/>
  <c r="AC112" i="25"/>
  <c r="AC105" i="25"/>
  <c r="AC109" i="25"/>
  <c r="AC107" i="25"/>
  <c r="AC111" i="25"/>
  <c r="AC101" i="25"/>
  <c r="AC104" i="25"/>
  <c r="AC102" i="25"/>
  <c r="AC97" i="25"/>
  <c r="AC94" i="25"/>
  <c r="AC110" i="25"/>
  <c r="AC106" i="25"/>
  <c r="AC98" i="25"/>
  <c r="AC96" i="25"/>
  <c r="AC99" i="25"/>
  <c r="AC95" i="25"/>
  <c r="AC100" i="25"/>
  <c r="AC103" i="25"/>
  <c r="AC91" i="25"/>
  <c r="AC93" i="25"/>
  <c r="AC87" i="25"/>
  <c r="AC86" i="25"/>
  <c r="AC88" i="25"/>
  <c r="AC85" i="25"/>
  <c r="AC89" i="25"/>
  <c r="AC82" i="25"/>
  <c r="AC90" i="25"/>
  <c r="AC92" i="25"/>
  <c r="AC83" i="25"/>
  <c r="AC79" i="25"/>
  <c r="AC81" i="25"/>
  <c r="AC80" i="25"/>
  <c r="AC84" i="25"/>
  <c r="AC73" i="25"/>
  <c r="AC72" i="25"/>
  <c r="AC78" i="25"/>
  <c r="AC77" i="25"/>
  <c r="AC71" i="25"/>
  <c r="AC76" i="25"/>
  <c r="AC70" i="25"/>
  <c r="AC75" i="25"/>
  <c r="AC69" i="25"/>
  <c r="AC61" i="25"/>
  <c r="AC67" i="25"/>
  <c r="AC68" i="25"/>
  <c r="AC65" i="25"/>
  <c r="AC66" i="25"/>
  <c r="AC64" i="25"/>
  <c r="AC63" i="25"/>
  <c r="AC51" i="25"/>
  <c r="AC62" i="25"/>
  <c r="AC59" i="25"/>
  <c r="AC56" i="25"/>
  <c r="AC60" i="25"/>
  <c r="AC55" i="25"/>
  <c r="AC54" i="25"/>
  <c r="AC74" i="25"/>
  <c r="AC53" i="25"/>
  <c r="AC47" i="25"/>
  <c r="AC57" i="25"/>
  <c r="AC44" i="25"/>
  <c r="AC49" i="25"/>
  <c r="AC52" i="25"/>
  <c r="AC45" i="25"/>
  <c r="AC50" i="25"/>
  <c r="AC46" i="25"/>
  <c r="AC58" i="25"/>
  <c r="AC37" i="25"/>
  <c r="AC36" i="25"/>
  <c r="AC35" i="25"/>
  <c r="AC42" i="25"/>
  <c r="AC43" i="25"/>
  <c r="AC41" i="25"/>
  <c r="AC39" i="25"/>
  <c r="AC34" i="25"/>
  <c r="AC40" i="25"/>
  <c r="AC33" i="25"/>
  <c r="AC27" i="25"/>
  <c r="AC48" i="25"/>
  <c r="AC38" i="25"/>
  <c r="AC32" i="25"/>
  <c r="AC26" i="25"/>
  <c r="AC22" i="25"/>
  <c r="AC31" i="25"/>
  <c r="AC21" i="25"/>
  <c r="AC28" i="25"/>
  <c r="AC23" i="25"/>
  <c r="AC20" i="25"/>
  <c r="AC29" i="25"/>
  <c r="AC24" i="25"/>
  <c r="AC25" i="25"/>
  <c r="AC30" i="25"/>
  <c r="AC18" i="25"/>
  <c r="AC17" i="25"/>
  <c r="AC11" i="25"/>
  <c r="AC12" i="25"/>
  <c r="AC7" i="25"/>
  <c r="AC13" i="25"/>
  <c r="AC14" i="25"/>
  <c r="AD5" i="25"/>
  <c r="AC19" i="25"/>
  <c r="AC15" i="25"/>
  <c r="AC16" i="25"/>
  <c r="AB4" i="25"/>
  <c r="AC10" i="25"/>
  <c r="AC9" i="25"/>
  <c r="AC8" i="25"/>
  <c r="AR115" i="25" l="1"/>
  <c r="AD114" i="25"/>
  <c r="AD113" i="25"/>
  <c r="AD105" i="25"/>
  <c r="AD104" i="25"/>
  <c r="AD107" i="25"/>
  <c r="AD111" i="25"/>
  <c r="AD110" i="25"/>
  <c r="AD108" i="25"/>
  <c r="AD112" i="25"/>
  <c r="AD101" i="25"/>
  <c r="AD96" i="25"/>
  <c r="AD93" i="25"/>
  <c r="AD102" i="25"/>
  <c r="AD106" i="25"/>
  <c r="AD99" i="25"/>
  <c r="AD97" i="25"/>
  <c r="AD100" i="25"/>
  <c r="AD109" i="25"/>
  <c r="AD98" i="25"/>
  <c r="AD103" i="25"/>
  <c r="AD92" i="25"/>
  <c r="AD91" i="25"/>
  <c r="AD95" i="25"/>
  <c r="AD94" i="25"/>
  <c r="AD89" i="25"/>
  <c r="AD90" i="25"/>
  <c r="AD88" i="25"/>
  <c r="AD87" i="25"/>
  <c r="AD85" i="25"/>
  <c r="AD84" i="25"/>
  <c r="AD82" i="25"/>
  <c r="AD86" i="25"/>
  <c r="AD83" i="25"/>
  <c r="AD79" i="25"/>
  <c r="AD81" i="25"/>
  <c r="AD80" i="25"/>
  <c r="AD73" i="25"/>
  <c r="AD72" i="25"/>
  <c r="AD78" i="25"/>
  <c r="AD77" i="25"/>
  <c r="AD71" i="25"/>
  <c r="AD76" i="25"/>
  <c r="AD70" i="25"/>
  <c r="AD75" i="25"/>
  <c r="AD69" i="25"/>
  <c r="AD67" i="25"/>
  <c r="AD68" i="25"/>
  <c r="AD65" i="25"/>
  <c r="AD66" i="25"/>
  <c r="AD64" i="25"/>
  <c r="AD58" i="25"/>
  <c r="AD63" i="25"/>
  <c r="AD74" i="25"/>
  <c r="AD61" i="25"/>
  <c r="AD62" i="25"/>
  <c r="AD59" i="25"/>
  <c r="AD56" i="25"/>
  <c r="AD60" i="25"/>
  <c r="AD55" i="25"/>
  <c r="AD54" i="25"/>
  <c r="AD53" i="25"/>
  <c r="AD57" i="25"/>
  <c r="AD52" i="25"/>
  <c r="AD46" i="25"/>
  <c r="AD49" i="25"/>
  <c r="AD45" i="25"/>
  <c r="AD50" i="25"/>
  <c r="AD51" i="25"/>
  <c r="AD47" i="25"/>
  <c r="AD48" i="25"/>
  <c r="AD42" i="25"/>
  <c r="AD36" i="25"/>
  <c r="AD35" i="25"/>
  <c r="AD43" i="25"/>
  <c r="AD41" i="25"/>
  <c r="AD39" i="25"/>
  <c r="AD34" i="25"/>
  <c r="AD40" i="25"/>
  <c r="AD33" i="25"/>
  <c r="AD44" i="25"/>
  <c r="AD38" i="25"/>
  <c r="AD32" i="25"/>
  <c r="AD27" i="25"/>
  <c r="AD22" i="25"/>
  <c r="AD31" i="25"/>
  <c r="AD21" i="25"/>
  <c r="AD28" i="25"/>
  <c r="AD23" i="25"/>
  <c r="AD20" i="25"/>
  <c r="AD29" i="25"/>
  <c r="AD24" i="25"/>
  <c r="AD19" i="25"/>
  <c r="AD25" i="25"/>
  <c r="AD37" i="25"/>
  <c r="AD30" i="25"/>
  <c r="AD26" i="25"/>
  <c r="AD14" i="25"/>
  <c r="AE5" i="25"/>
  <c r="AD7" i="25"/>
  <c r="AD18" i="25"/>
  <c r="AD15" i="25"/>
  <c r="AD16" i="25"/>
  <c r="AD17" i="25"/>
  <c r="AD12" i="25"/>
  <c r="AD11" i="25"/>
  <c r="AD13" i="25"/>
  <c r="AD10" i="25"/>
  <c r="AD9" i="25"/>
  <c r="AD8" i="25"/>
  <c r="AE113" i="25" l="1"/>
  <c r="AS115" i="25"/>
  <c r="AE114" i="25"/>
  <c r="AE107" i="25"/>
  <c r="AE104" i="25"/>
  <c r="AE111" i="25"/>
  <c r="AE110" i="25"/>
  <c r="AE108" i="25"/>
  <c r="AE102" i="25"/>
  <c r="AE103" i="25"/>
  <c r="AE112" i="25"/>
  <c r="AE101" i="25"/>
  <c r="AE97" i="25"/>
  <c r="AE100" i="25"/>
  <c r="AE96" i="25"/>
  <c r="AE95" i="25"/>
  <c r="AE94" i="25"/>
  <c r="AE105" i="25"/>
  <c r="AE99" i="25"/>
  <c r="AE91" i="25"/>
  <c r="AE109" i="25"/>
  <c r="AE93" i="25"/>
  <c r="AE90" i="25"/>
  <c r="AE98" i="25"/>
  <c r="AE86" i="25"/>
  <c r="AE92" i="25"/>
  <c r="AE85" i="25"/>
  <c r="AE84" i="25"/>
  <c r="AE89" i="25"/>
  <c r="AE106" i="25"/>
  <c r="AE81" i="25"/>
  <c r="AE83" i="25"/>
  <c r="AE79" i="25"/>
  <c r="AE80" i="25"/>
  <c r="AE88" i="25"/>
  <c r="AE87" i="25"/>
  <c r="AE72" i="25"/>
  <c r="AE78" i="25"/>
  <c r="AE77" i="25"/>
  <c r="AE71" i="25"/>
  <c r="AE76" i="25"/>
  <c r="AE70" i="25"/>
  <c r="AE75" i="25"/>
  <c r="AE69" i="25"/>
  <c r="AE82" i="25"/>
  <c r="AE74" i="25"/>
  <c r="AE68" i="25"/>
  <c r="AE67" i="25"/>
  <c r="AE73" i="25"/>
  <c r="AE65" i="25"/>
  <c r="AE66" i="25"/>
  <c r="AE64" i="25"/>
  <c r="AE63" i="25"/>
  <c r="AE62" i="25"/>
  <c r="AE59" i="25"/>
  <c r="AE56" i="25"/>
  <c r="AE60" i="25"/>
  <c r="AE55" i="25"/>
  <c r="AE54" i="25"/>
  <c r="AE53" i="25"/>
  <c r="AE57" i="25"/>
  <c r="AE52" i="25"/>
  <c r="AE46" i="25"/>
  <c r="AE58" i="25"/>
  <c r="AE49" i="25"/>
  <c r="AE45" i="25"/>
  <c r="AE50" i="25"/>
  <c r="AE51" i="25"/>
  <c r="AE47" i="25"/>
  <c r="AE61" i="25"/>
  <c r="AE48" i="25"/>
  <c r="AE42" i="25"/>
  <c r="AE43" i="25"/>
  <c r="AE36" i="25"/>
  <c r="AE35" i="25"/>
  <c r="AE41" i="25"/>
  <c r="AE39" i="25"/>
  <c r="AE34" i="25"/>
  <c r="AE40" i="25"/>
  <c r="AE33" i="25"/>
  <c r="AE44" i="25"/>
  <c r="AE38" i="25"/>
  <c r="AE32" i="25"/>
  <c r="AE26" i="25"/>
  <c r="AE37" i="25"/>
  <c r="AE31" i="25"/>
  <c r="AE25" i="25"/>
  <c r="AE21" i="25"/>
  <c r="AE28" i="25"/>
  <c r="AE23" i="25"/>
  <c r="AE20" i="25"/>
  <c r="AE29" i="25"/>
  <c r="AE24" i="25"/>
  <c r="AE30" i="25"/>
  <c r="AE17" i="25"/>
  <c r="AE16" i="25"/>
  <c r="AE10" i="25"/>
  <c r="AE18" i="25"/>
  <c r="AE15" i="25"/>
  <c r="AE22" i="25"/>
  <c r="AE19" i="25"/>
  <c r="AF5" i="25"/>
  <c r="AE13" i="25"/>
  <c r="AE9" i="25"/>
  <c r="AE8" i="25"/>
  <c r="AE7" i="25"/>
  <c r="AE14" i="25"/>
  <c r="AE27" i="25"/>
  <c r="AE12" i="25"/>
  <c r="AE11" i="25"/>
  <c r="AF114" i="25" l="1"/>
  <c r="AT115" i="25"/>
  <c r="AF112" i="25"/>
  <c r="AF113" i="25"/>
  <c r="AF107" i="25"/>
  <c r="AF110" i="25"/>
  <c r="AF109" i="25"/>
  <c r="AF108" i="25"/>
  <c r="AF104" i="25"/>
  <c r="AF103" i="25"/>
  <c r="AF111" i="25"/>
  <c r="AF100" i="25"/>
  <c r="AF102" i="25"/>
  <c r="AF95" i="25"/>
  <c r="AF92" i="25"/>
  <c r="AF101" i="25"/>
  <c r="AF97" i="25"/>
  <c r="AF105" i="25"/>
  <c r="AF99" i="25"/>
  <c r="AF106" i="25"/>
  <c r="AF91" i="25"/>
  <c r="AF94" i="25"/>
  <c r="AF89" i="25"/>
  <c r="AF93" i="25"/>
  <c r="AF90" i="25"/>
  <c r="AF98" i="25"/>
  <c r="AF96" i="25"/>
  <c r="AF84" i="25"/>
  <c r="AF88" i="25"/>
  <c r="AF87" i="25"/>
  <c r="AF86" i="25"/>
  <c r="AF80" i="25"/>
  <c r="AF81" i="25"/>
  <c r="AF85" i="25"/>
  <c r="AF82" i="25"/>
  <c r="AF72" i="25"/>
  <c r="AF78" i="25"/>
  <c r="AF77" i="25"/>
  <c r="AF71" i="25"/>
  <c r="AF76" i="25"/>
  <c r="AF70" i="25"/>
  <c r="AF75" i="25"/>
  <c r="AF69" i="25"/>
  <c r="AF83" i="25"/>
  <c r="AF79" i="25"/>
  <c r="AF74" i="25"/>
  <c r="AF68" i="25"/>
  <c r="AF73" i="25"/>
  <c r="AF65" i="25"/>
  <c r="AF66" i="25"/>
  <c r="AF64" i="25"/>
  <c r="AF63" i="25"/>
  <c r="AF57" i="25"/>
  <c r="AF62" i="25"/>
  <c r="AF67" i="25"/>
  <c r="AF60" i="25"/>
  <c r="AF55" i="25"/>
  <c r="AF54" i="25"/>
  <c r="AF53" i="25"/>
  <c r="AF52" i="25"/>
  <c r="AF58" i="25"/>
  <c r="AF51" i="25"/>
  <c r="AF45" i="25"/>
  <c r="AF61" i="25"/>
  <c r="AF56" i="25"/>
  <c r="AF50" i="25"/>
  <c r="AF46" i="25"/>
  <c r="AF47" i="25"/>
  <c r="AF59" i="25"/>
  <c r="AF48" i="25"/>
  <c r="AF42" i="25"/>
  <c r="AF43" i="25"/>
  <c r="AF44" i="25"/>
  <c r="AF35" i="25"/>
  <c r="AF41" i="25"/>
  <c r="AF39" i="25"/>
  <c r="AF34" i="25"/>
  <c r="AF40" i="25"/>
  <c r="AF33" i="25"/>
  <c r="AF38" i="25"/>
  <c r="AF32" i="25"/>
  <c r="AF49" i="25"/>
  <c r="AF37" i="25"/>
  <c r="AF31" i="25"/>
  <c r="AF28" i="25"/>
  <c r="AF23" i="25"/>
  <c r="AF20" i="25"/>
  <c r="AF29" i="25"/>
  <c r="AF24" i="25"/>
  <c r="AF19" i="25"/>
  <c r="AF30" i="25"/>
  <c r="AF25" i="25"/>
  <c r="AF18" i="25"/>
  <c r="AF26" i="25"/>
  <c r="AF36" i="25"/>
  <c r="AF27" i="25"/>
  <c r="AF22" i="25"/>
  <c r="AF15" i="25"/>
  <c r="AF16" i="25"/>
  <c r="AF21" i="25"/>
  <c r="AF17" i="25"/>
  <c r="AF13" i="25"/>
  <c r="AF9" i="25"/>
  <c r="AF8" i="25"/>
  <c r="AF12" i="25"/>
  <c r="AF11" i="25"/>
  <c r="AF10" i="25"/>
  <c r="AF7" i="25"/>
  <c r="AF14" i="25"/>
  <c r="AG5" i="25"/>
  <c r="AU115" i="25" l="1"/>
  <c r="AG112" i="25"/>
  <c r="AG114" i="25"/>
  <c r="AG113" i="25"/>
  <c r="AG107" i="25"/>
  <c r="AG110" i="25"/>
  <c r="AG109" i="25"/>
  <c r="AG108" i="25"/>
  <c r="AG103" i="25"/>
  <c r="AG111" i="25"/>
  <c r="AG102" i="25"/>
  <c r="AG106" i="25"/>
  <c r="AG101" i="25"/>
  <c r="AG97" i="25"/>
  <c r="AG100" i="25"/>
  <c r="AG104" i="25"/>
  <c r="AG105" i="25"/>
  <c r="AG94" i="25"/>
  <c r="AG91" i="25"/>
  <c r="AG99" i="25"/>
  <c r="AG95" i="25"/>
  <c r="AG89" i="25"/>
  <c r="AG93" i="25"/>
  <c r="AG90" i="25"/>
  <c r="AG98" i="25"/>
  <c r="AG92" i="25"/>
  <c r="AG96" i="25"/>
  <c r="AG84" i="25"/>
  <c r="AG80" i="25"/>
  <c r="AG85" i="25"/>
  <c r="AG81" i="25"/>
  <c r="AG88" i="25"/>
  <c r="AG87" i="25"/>
  <c r="AG82" i="25"/>
  <c r="AG78" i="25"/>
  <c r="AG77" i="25"/>
  <c r="AG71" i="25"/>
  <c r="AG76" i="25"/>
  <c r="AG70" i="25"/>
  <c r="AG75" i="25"/>
  <c r="AG69" i="25"/>
  <c r="AG83" i="25"/>
  <c r="AG79" i="25"/>
  <c r="AG74" i="25"/>
  <c r="AG68" i="25"/>
  <c r="AG73" i="25"/>
  <c r="AG65" i="25"/>
  <c r="AG66" i="25"/>
  <c r="AG64" i="25"/>
  <c r="AG63" i="25"/>
  <c r="AG62" i="25"/>
  <c r="AG72" i="25"/>
  <c r="AG61" i="25"/>
  <c r="AG60" i="25"/>
  <c r="AG55" i="25"/>
  <c r="AG54" i="25"/>
  <c r="AG53" i="25"/>
  <c r="AG52" i="25"/>
  <c r="AG86" i="25"/>
  <c r="AG57" i="25"/>
  <c r="AG58" i="25"/>
  <c r="AG51" i="25"/>
  <c r="AG45" i="25"/>
  <c r="AG59" i="25"/>
  <c r="AG56" i="25"/>
  <c r="AG50" i="25"/>
  <c r="AG46" i="25"/>
  <c r="AG47" i="25"/>
  <c r="AG48" i="25"/>
  <c r="AG67" i="25"/>
  <c r="AG43" i="25"/>
  <c r="AG44" i="25"/>
  <c r="AG49" i="25"/>
  <c r="AG35" i="25"/>
  <c r="AG41" i="25"/>
  <c r="AG39" i="25"/>
  <c r="AG34" i="25"/>
  <c r="AG42" i="25"/>
  <c r="AG40" i="25"/>
  <c r="AG33" i="25"/>
  <c r="AG38" i="25"/>
  <c r="AG32" i="25"/>
  <c r="AG37" i="25"/>
  <c r="AG31" i="25"/>
  <c r="AG25" i="25"/>
  <c r="AG36" i="25"/>
  <c r="AG30" i="25"/>
  <c r="AG24" i="25"/>
  <c r="AG20" i="25"/>
  <c r="AG29" i="25"/>
  <c r="AG19" i="25"/>
  <c r="AG26" i="25"/>
  <c r="AG16" i="25"/>
  <c r="AG27" i="25"/>
  <c r="AG22" i="25"/>
  <c r="AG21" i="25"/>
  <c r="AG15" i="25"/>
  <c r="AG9" i="25"/>
  <c r="AG23" i="25"/>
  <c r="AG17" i="25"/>
  <c r="AF4" i="25"/>
  <c r="AG13" i="25"/>
  <c r="AG8" i="25"/>
  <c r="AG12" i="25"/>
  <c r="AG11" i="25"/>
  <c r="AG10" i="25"/>
  <c r="AG7" i="25"/>
  <c r="AG28" i="25"/>
  <c r="AG14" i="25"/>
  <c r="AH5" i="25"/>
  <c r="AG18" i="25"/>
  <c r="AH114" i="25" l="1"/>
  <c r="AH113" i="25"/>
  <c r="AV115" i="25"/>
  <c r="AH112" i="25"/>
  <c r="AH110" i="25"/>
  <c r="AH109" i="25"/>
  <c r="AH108" i="25"/>
  <c r="AH106" i="25"/>
  <c r="AH103" i="25"/>
  <c r="AH102" i="25"/>
  <c r="AH107" i="25"/>
  <c r="AH101" i="25"/>
  <c r="AH104" i="25"/>
  <c r="AH105" i="25"/>
  <c r="AH111" i="25"/>
  <c r="AH100" i="25"/>
  <c r="AH93" i="25"/>
  <c r="AH92" i="25"/>
  <c r="AH98" i="25"/>
  <c r="AH95" i="25"/>
  <c r="AH99" i="25"/>
  <c r="AH96" i="25"/>
  <c r="AH94" i="25"/>
  <c r="AH89" i="25"/>
  <c r="AH90" i="25"/>
  <c r="AH91" i="25"/>
  <c r="AH97" i="25"/>
  <c r="AH88" i="25"/>
  <c r="AH87" i="25"/>
  <c r="AH86" i="25"/>
  <c r="AH85" i="25"/>
  <c r="AH84" i="25"/>
  <c r="AH82" i="25"/>
  <c r="AH83" i="25"/>
  <c r="AH79" i="25"/>
  <c r="AH77" i="25"/>
  <c r="AH71" i="25"/>
  <c r="AH80" i="25"/>
  <c r="AH76" i="25"/>
  <c r="AH70" i="25"/>
  <c r="AH75" i="25"/>
  <c r="AH69" i="25"/>
  <c r="AH74" i="25"/>
  <c r="AH73" i="25"/>
  <c r="AH67" i="25"/>
  <c r="AH65" i="25"/>
  <c r="AH78" i="25"/>
  <c r="AH68" i="25"/>
  <c r="AH66" i="25"/>
  <c r="AH64" i="25"/>
  <c r="AH81" i="25"/>
  <c r="AH63" i="25"/>
  <c r="AH62" i="25"/>
  <c r="AH72" i="25"/>
  <c r="AH54" i="25"/>
  <c r="AH53" i="25"/>
  <c r="AH52" i="25"/>
  <c r="AH57" i="25"/>
  <c r="AH58" i="25"/>
  <c r="AH51" i="25"/>
  <c r="AH61" i="25"/>
  <c r="AH59" i="25"/>
  <c r="AH56" i="25"/>
  <c r="AH50" i="25"/>
  <c r="AH44" i="25"/>
  <c r="AH45" i="25"/>
  <c r="AH46" i="25"/>
  <c r="AH55" i="25"/>
  <c r="AH47" i="25"/>
  <c r="AH48" i="25"/>
  <c r="AH60" i="25"/>
  <c r="AH49" i="25"/>
  <c r="AH41" i="25"/>
  <c r="AH39" i="25"/>
  <c r="AH34" i="25"/>
  <c r="AH42" i="25"/>
  <c r="AH40" i="25"/>
  <c r="AH33" i="25"/>
  <c r="AH43" i="25"/>
  <c r="AH38" i="25"/>
  <c r="AH32" i="25"/>
  <c r="AH37" i="25"/>
  <c r="AH36" i="25"/>
  <c r="AH30" i="25"/>
  <c r="AH31" i="25"/>
  <c r="AH29" i="25"/>
  <c r="AH35" i="25"/>
  <c r="AH24" i="25"/>
  <c r="AH19" i="25"/>
  <c r="AH18" i="25"/>
  <c r="AH25" i="25"/>
  <c r="AH17" i="25"/>
  <c r="AH26" i="25"/>
  <c r="AH27" i="25"/>
  <c r="AH22" i="25"/>
  <c r="AH21" i="25"/>
  <c r="AH28" i="25"/>
  <c r="AH23" i="25"/>
  <c r="X3" i="25"/>
  <c r="AH16" i="25"/>
  <c r="AH13" i="25"/>
  <c r="AH8" i="25"/>
  <c r="AH12" i="25"/>
  <c r="AH11" i="25"/>
  <c r="AH10" i="25"/>
  <c r="AH9" i="25"/>
  <c r="AH7" i="25"/>
  <c r="AH20" i="25"/>
  <c r="AH14" i="25"/>
  <c r="AI5" i="25"/>
  <c r="AH15" i="25"/>
  <c r="AW115" i="25" l="1"/>
  <c r="AI113" i="25"/>
  <c r="AI111" i="25"/>
  <c r="AI114" i="25"/>
  <c r="AI102" i="25"/>
  <c r="AI110" i="25"/>
  <c r="AI108" i="25"/>
  <c r="AI104" i="25"/>
  <c r="AI107" i="25"/>
  <c r="AI112" i="25"/>
  <c r="AI106" i="25"/>
  <c r="AI98" i="25"/>
  <c r="AI100" i="25"/>
  <c r="AI105" i="25"/>
  <c r="AI93" i="25"/>
  <c r="AI92" i="25"/>
  <c r="AI109" i="25"/>
  <c r="AI103" i="25"/>
  <c r="AI96" i="25"/>
  <c r="AI95" i="25"/>
  <c r="AI94" i="25"/>
  <c r="AI89" i="25"/>
  <c r="AI99" i="25"/>
  <c r="AI90" i="25"/>
  <c r="AI91" i="25"/>
  <c r="AI97" i="25"/>
  <c r="AI88" i="25"/>
  <c r="AI87" i="25"/>
  <c r="AI86" i="25"/>
  <c r="AI85" i="25"/>
  <c r="AI101" i="25"/>
  <c r="AI84" i="25"/>
  <c r="AI82" i="25"/>
  <c r="AI83" i="25"/>
  <c r="AI80" i="25"/>
  <c r="AI76" i="25"/>
  <c r="AI70" i="25"/>
  <c r="AI75" i="25"/>
  <c r="AI69" i="25"/>
  <c r="AI74" i="25"/>
  <c r="AI79" i="25"/>
  <c r="AI73" i="25"/>
  <c r="AI67" i="25"/>
  <c r="AI81" i="25"/>
  <c r="AI72" i="25"/>
  <c r="AI78" i="25"/>
  <c r="AI71" i="25"/>
  <c r="AI68" i="25"/>
  <c r="AI66" i="25"/>
  <c r="AI64" i="25"/>
  <c r="AI63" i="25"/>
  <c r="AI77" i="25"/>
  <c r="AI62" i="25"/>
  <c r="AI61" i="25"/>
  <c r="AI60" i="25"/>
  <c r="AI54" i="25"/>
  <c r="AI53" i="25"/>
  <c r="AI52" i="25"/>
  <c r="AI57" i="25"/>
  <c r="AI65" i="25"/>
  <c r="AI58" i="25"/>
  <c r="AI51" i="25"/>
  <c r="AI59" i="25"/>
  <c r="AI56" i="25"/>
  <c r="AI50" i="25"/>
  <c r="AI44" i="25"/>
  <c r="AI55" i="25"/>
  <c r="AI46" i="25"/>
  <c r="AI47" i="25"/>
  <c r="AI48" i="25"/>
  <c r="AI49" i="25"/>
  <c r="AI41" i="25"/>
  <c r="AI45" i="25"/>
  <c r="AI39" i="25"/>
  <c r="AI34" i="25"/>
  <c r="AI42" i="25"/>
  <c r="AI40" i="25"/>
  <c r="AI33" i="25"/>
  <c r="AI43" i="25"/>
  <c r="AI38" i="25"/>
  <c r="AI32" i="25"/>
  <c r="AI37" i="25"/>
  <c r="AI36" i="25"/>
  <c r="AI30" i="25"/>
  <c r="AI24" i="25"/>
  <c r="AI35" i="25"/>
  <c r="AI29" i="25"/>
  <c r="AI23" i="25"/>
  <c r="AI19" i="25"/>
  <c r="AI25" i="25"/>
  <c r="AI26" i="25"/>
  <c r="AI27" i="25"/>
  <c r="AI22" i="25"/>
  <c r="AI21" i="25"/>
  <c r="AI15" i="25"/>
  <c r="AI28" i="25"/>
  <c r="AI20" i="25"/>
  <c r="AI14" i="25"/>
  <c r="AI8" i="25"/>
  <c r="AI16" i="25"/>
  <c r="AI17" i="25"/>
  <c r="AI13" i="25"/>
  <c r="AI12" i="25"/>
  <c r="AI11" i="25"/>
  <c r="AI10" i="25"/>
  <c r="AI9" i="25"/>
  <c r="AI7" i="25"/>
  <c r="AJ5" i="25"/>
  <c r="AI31" i="25"/>
  <c r="AI18" i="25"/>
  <c r="AJ112" i="25" l="1"/>
  <c r="AJ114" i="25"/>
  <c r="AJ113" i="25"/>
  <c r="AJ111" i="25"/>
  <c r="AX115" i="25"/>
  <c r="AJ102" i="25"/>
  <c r="AJ108" i="25"/>
  <c r="AJ107" i="25"/>
  <c r="AJ106" i="25"/>
  <c r="AJ105" i="25"/>
  <c r="AJ104" i="25"/>
  <c r="AJ103" i="25"/>
  <c r="AJ99" i="25"/>
  <c r="AJ98" i="25"/>
  <c r="AJ110" i="25"/>
  <c r="AJ91" i="25"/>
  <c r="AJ109" i="25"/>
  <c r="AJ94" i="25"/>
  <c r="AJ97" i="25"/>
  <c r="AJ95" i="25"/>
  <c r="AJ89" i="25"/>
  <c r="AJ90" i="25"/>
  <c r="AJ93" i="25"/>
  <c r="AJ100" i="25"/>
  <c r="AJ92" i="25"/>
  <c r="AJ101" i="25"/>
  <c r="AJ96" i="25"/>
  <c r="AJ88" i="25"/>
  <c r="AJ87" i="25"/>
  <c r="AJ86" i="25"/>
  <c r="AJ85" i="25"/>
  <c r="AJ84" i="25"/>
  <c r="AJ82" i="25"/>
  <c r="AJ83" i="25"/>
  <c r="AJ79" i="25"/>
  <c r="AJ81" i="25"/>
  <c r="AJ80" i="25"/>
  <c r="AJ76" i="25"/>
  <c r="AJ70" i="25"/>
  <c r="AJ75" i="25"/>
  <c r="AJ69" i="25"/>
  <c r="AJ74" i="25"/>
  <c r="AJ73" i="25"/>
  <c r="AJ72" i="25"/>
  <c r="AJ78" i="25"/>
  <c r="AJ68" i="25"/>
  <c r="AJ66" i="25"/>
  <c r="AJ64" i="25"/>
  <c r="AJ63" i="25"/>
  <c r="AJ77" i="25"/>
  <c r="AJ61" i="25"/>
  <c r="AJ67" i="25"/>
  <c r="AJ62" i="25"/>
  <c r="AJ71" i="25"/>
  <c r="AJ53" i="25"/>
  <c r="AJ52" i="25"/>
  <c r="AJ57" i="25"/>
  <c r="AJ65" i="25"/>
  <c r="AJ58" i="25"/>
  <c r="AJ59" i="25"/>
  <c r="AJ56" i="25"/>
  <c r="AJ50" i="25"/>
  <c r="AJ55" i="25"/>
  <c r="AJ49" i="25"/>
  <c r="AJ43" i="25"/>
  <c r="AJ60" i="25"/>
  <c r="AJ46" i="25"/>
  <c r="AJ47" i="25"/>
  <c r="AJ51" i="25"/>
  <c r="AJ48" i="25"/>
  <c r="AJ54" i="25"/>
  <c r="AJ44" i="25"/>
  <c r="AJ41" i="25"/>
  <c r="AJ45" i="25"/>
  <c r="AJ40" i="25"/>
  <c r="AJ42" i="25"/>
  <c r="AJ33" i="25"/>
  <c r="AJ38" i="25"/>
  <c r="AJ32" i="25"/>
  <c r="AJ37" i="25"/>
  <c r="AJ36" i="25"/>
  <c r="AJ35" i="25"/>
  <c r="AJ24" i="25"/>
  <c r="AJ39" i="25"/>
  <c r="AJ25" i="25"/>
  <c r="AJ34" i="25"/>
  <c r="AJ30" i="25"/>
  <c r="AJ26" i="25"/>
  <c r="AJ27" i="25"/>
  <c r="AJ22" i="25"/>
  <c r="AJ21" i="25"/>
  <c r="AJ28" i="25"/>
  <c r="AJ23" i="25"/>
  <c r="AJ20" i="25"/>
  <c r="AJ31" i="25"/>
  <c r="AJ16" i="25"/>
  <c r="AJ8" i="25"/>
  <c r="AJ19" i="25"/>
  <c r="AJ7" i="25"/>
  <c r="AJ17" i="25"/>
  <c r="AJ13" i="25"/>
  <c r="AJ12" i="25"/>
  <c r="AJ11" i="25"/>
  <c r="AJ10" i="25"/>
  <c r="AJ9" i="25"/>
  <c r="AK5" i="25"/>
  <c r="AJ14" i="25"/>
  <c r="AJ29" i="25"/>
  <c r="AJ18" i="25"/>
  <c r="AJ15" i="25"/>
  <c r="AK114" i="25" l="1"/>
  <c r="AY115" i="25"/>
  <c r="AK111" i="25"/>
  <c r="AK108" i="25"/>
  <c r="AK101" i="25"/>
  <c r="AK113" i="25"/>
  <c r="AK107" i="25"/>
  <c r="AK106" i="25"/>
  <c r="AK105" i="25"/>
  <c r="AK104" i="25"/>
  <c r="AK103" i="25"/>
  <c r="AK99" i="25"/>
  <c r="AK98" i="25"/>
  <c r="AK110" i="25"/>
  <c r="AK102" i="25"/>
  <c r="AK91" i="25"/>
  <c r="AK93" i="25"/>
  <c r="AK92" i="25"/>
  <c r="AK109" i="25"/>
  <c r="AK94" i="25"/>
  <c r="AK96" i="25"/>
  <c r="AK97" i="25"/>
  <c r="AK90" i="25"/>
  <c r="AK100" i="25"/>
  <c r="AK112" i="25"/>
  <c r="AK89" i="25"/>
  <c r="AK88" i="25"/>
  <c r="AK87" i="25"/>
  <c r="AK86" i="25"/>
  <c r="AK85" i="25"/>
  <c r="AK95" i="25"/>
  <c r="AK84" i="25"/>
  <c r="AK82" i="25"/>
  <c r="AK83" i="25"/>
  <c r="AK79" i="25"/>
  <c r="AK81" i="25"/>
  <c r="AK80" i="25"/>
  <c r="AK75" i="25"/>
  <c r="AK69" i="25"/>
  <c r="AK74" i="25"/>
  <c r="AK68" i="25"/>
  <c r="AK73" i="25"/>
  <c r="AK72" i="25"/>
  <c r="AK66" i="25"/>
  <c r="AK78" i="25"/>
  <c r="AK77" i="25"/>
  <c r="AK71" i="25"/>
  <c r="AK63" i="25"/>
  <c r="AK62" i="25"/>
  <c r="AK70" i="25"/>
  <c r="AK67" i="25"/>
  <c r="AK65" i="25"/>
  <c r="AK59" i="25"/>
  <c r="AK53" i="25"/>
  <c r="AK52" i="25"/>
  <c r="AK57" i="25"/>
  <c r="AK58" i="25"/>
  <c r="AK56" i="25"/>
  <c r="AK76" i="25"/>
  <c r="AK61" i="25"/>
  <c r="AK55" i="25"/>
  <c r="AK49" i="25"/>
  <c r="AK43" i="25"/>
  <c r="AK60" i="25"/>
  <c r="AK54" i="25"/>
  <c r="AK50" i="25"/>
  <c r="AK47" i="25"/>
  <c r="AK51" i="25"/>
  <c r="AK48" i="25"/>
  <c r="AK64" i="25"/>
  <c r="AK44" i="25"/>
  <c r="AK45" i="25"/>
  <c r="AK42" i="25"/>
  <c r="AK33" i="25"/>
  <c r="AK41" i="25"/>
  <c r="AK40" i="25"/>
  <c r="AK38" i="25"/>
  <c r="AK32" i="25"/>
  <c r="AK37" i="25"/>
  <c r="AK36" i="25"/>
  <c r="AK35" i="25"/>
  <c r="AK29" i="25"/>
  <c r="AK23" i="25"/>
  <c r="AK39" i="25"/>
  <c r="AK34" i="25"/>
  <c r="AK28" i="25"/>
  <c r="AK22" i="25"/>
  <c r="AK18" i="25"/>
  <c r="AK25" i="25"/>
  <c r="AK30" i="25"/>
  <c r="AK26" i="25"/>
  <c r="AK46" i="25"/>
  <c r="AK27" i="25"/>
  <c r="AK21" i="25"/>
  <c r="AK20" i="25"/>
  <c r="AK14" i="25"/>
  <c r="AK31" i="25"/>
  <c r="AK19" i="25"/>
  <c r="AK13" i="25"/>
  <c r="AK24" i="25"/>
  <c r="AK16" i="25"/>
  <c r="AL5" i="25"/>
  <c r="AK17" i="25"/>
  <c r="AK7" i="25"/>
  <c r="AK12" i="25"/>
  <c r="AK11" i="25"/>
  <c r="AK10" i="25"/>
  <c r="AK9" i="25"/>
  <c r="AK8" i="25"/>
  <c r="AK15" i="25"/>
  <c r="AZ115" i="25" l="1"/>
  <c r="AL113" i="25"/>
  <c r="AL112" i="25"/>
  <c r="AL110" i="25"/>
  <c r="AL114" i="25"/>
  <c r="AL111" i="25"/>
  <c r="AL108" i="25"/>
  <c r="AL101" i="25"/>
  <c r="AL106" i="25"/>
  <c r="AL105" i="25"/>
  <c r="AL104" i="25"/>
  <c r="AL103" i="25"/>
  <c r="AL99" i="25"/>
  <c r="AL98" i="25"/>
  <c r="AL102" i="25"/>
  <c r="AL93" i="25"/>
  <c r="AL92" i="25"/>
  <c r="AL109" i="25"/>
  <c r="AL90" i="25"/>
  <c r="AL96" i="25"/>
  <c r="AL95" i="25"/>
  <c r="AL100" i="25"/>
  <c r="AL97" i="25"/>
  <c r="AL94" i="25"/>
  <c r="AL107" i="25"/>
  <c r="AL91" i="25"/>
  <c r="AL89" i="25"/>
  <c r="AL88" i="25"/>
  <c r="AL87" i="25"/>
  <c r="AL86" i="25"/>
  <c r="AL85" i="25"/>
  <c r="AL84" i="25"/>
  <c r="AL82" i="25"/>
  <c r="AL83" i="25"/>
  <c r="AL81" i="25"/>
  <c r="AL80" i="25"/>
  <c r="AL78" i="25"/>
  <c r="AL75" i="25"/>
  <c r="AL69" i="25"/>
  <c r="AL74" i="25"/>
  <c r="AL73" i="25"/>
  <c r="AL79" i="25"/>
  <c r="AL72" i="25"/>
  <c r="AL77" i="25"/>
  <c r="AL71" i="25"/>
  <c r="AL63" i="25"/>
  <c r="AL62" i="25"/>
  <c r="AL70" i="25"/>
  <c r="AL60" i="25"/>
  <c r="AL67" i="25"/>
  <c r="AL65" i="25"/>
  <c r="AL76" i="25"/>
  <c r="AL68" i="25"/>
  <c r="AL66" i="25"/>
  <c r="AL57" i="25"/>
  <c r="AL58" i="25"/>
  <c r="AL56" i="25"/>
  <c r="AL59" i="25"/>
  <c r="AL61" i="25"/>
  <c r="AL55" i="25"/>
  <c r="AL49" i="25"/>
  <c r="AL54" i="25"/>
  <c r="AL48" i="25"/>
  <c r="AL64" i="25"/>
  <c r="AL47" i="25"/>
  <c r="AL51" i="25"/>
  <c r="AL52" i="25"/>
  <c r="AL44" i="25"/>
  <c r="AL45" i="25"/>
  <c r="AL40" i="25"/>
  <c r="AL53" i="25"/>
  <c r="AL46" i="25"/>
  <c r="AL39" i="25"/>
  <c r="AL41" i="25"/>
  <c r="AL38" i="25"/>
  <c r="AL32" i="25"/>
  <c r="AL43" i="25"/>
  <c r="AL37" i="25"/>
  <c r="AL36" i="25"/>
  <c r="AL35" i="25"/>
  <c r="AL50" i="25"/>
  <c r="AL34" i="25"/>
  <c r="AL25" i="25"/>
  <c r="AL30" i="25"/>
  <c r="AL26" i="25"/>
  <c r="AL42" i="25"/>
  <c r="AL27" i="25"/>
  <c r="AL22" i="25"/>
  <c r="AL21" i="25"/>
  <c r="AL33" i="25"/>
  <c r="AL28" i="25"/>
  <c r="AL20" i="25"/>
  <c r="AL31" i="25"/>
  <c r="AL23" i="25"/>
  <c r="AL19" i="25"/>
  <c r="AL29" i="25"/>
  <c r="AL24" i="25"/>
  <c r="AL17" i="25"/>
  <c r="AM5" i="25"/>
  <c r="AL13" i="25"/>
  <c r="AL12" i="25"/>
  <c r="AL11" i="25"/>
  <c r="AL10" i="25"/>
  <c r="AL9" i="25"/>
  <c r="AL8" i="25"/>
  <c r="AL7" i="25"/>
  <c r="AL14" i="25"/>
  <c r="AK4" i="25"/>
  <c r="AL18" i="25"/>
  <c r="AL15" i="25"/>
  <c r="AK3" i="25"/>
  <c r="AL16" i="25"/>
  <c r="AM113" i="25" l="1"/>
  <c r="BA115" i="25"/>
  <c r="AM110" i="25"/>
  <c r="AM112" i="25"/>
  <c r="AM111" i="25"/>
  <c r="AM114" i="25"/>
  <c r="AM109" i="25"/>
  <c r="AM106" i="25"/>
  <c r="AM100" i="25"/>
  <c r="AM105" i="25"/>
  <c r="AM108" i="25"/>
  <c r="AM98" i="25"/>
  <c r="AM97" i="25"/>
  <c r="AM96" i="25"/>
  <c r="AM104" i="25"/>
  <c r="AM90" i="25"/>
  <c r="AM94" i="25"/>
  <c r="AM95" i="25"/>
  <c r="AM107" i="25"/>
  <c r="AM103" i="25"/>
  <c r="AM102" i="25"/>
  <c r="AM101" i="25"/>
  <c r="AM99" i="25"/>
  <c r="AM92" i="25"/>
  <c r="AM93" i="25"/>
  <c r="AM91" i="25"/>
  <c r="AM88" i="25"/>
  <c r="AM89" i="25"/>
  <c r="AM87" i="25"/>
  <c r="AM86" i="25"/>
  <c r="AM85" i="25"/>
  <c r="AM83" i="25"/>
  <c r="AM84" i="25"/>
  <c r="AM82" i="25"/>
  <c r="AM79" i="25"/>
  <c r="AM81" i="25"/>
  <c r="AM80" i="25"/>
  <c r="AM74" i="25"/>
  <c r="AM68" i="25"/>
  <c r="AM73" i="25"/>
  <c r="AM72" i="25"/>
  <c r="AM78" i="25"/>
  <c r="AM77" i="25"/>
  <c r="AM71" i="25"/>
  <c r="AM76" i="25"/>
  <c r="AM70" i="25"/>
  <c r="AM62" i="25"/>
  <c r="AM75" i="25"/>
  <c r="AM67" i="25"/>
  <c r="AM65" i="25"/>
  <c r="AM64" i="25"/>
  <c r="AM58" i="25"/>
  <c r="AM66" i="25"/>
  <c r="AM52" i="25"/>
  <c r="AM57" i="25"/>
  <c r="AM63" i="25"/>
  <c r="AM56" i="25"/>
  <c r="AM59" i="25"/>
  <c r="AM61" i="25"/>
  <c r="AM55" i="25"/>
  <c r="AM60" i="25"/>
  <c r="AM54" i="25"/>
  <c r="AM48" i="25"/>
  <c r="AM42" i="25"/>
  <c r="AM53" i="25"/>
  <c r="AM51" i="25"/>
  <c r="AM69" i="25"/>
  <c r="AM44" i="25"/>
  <c r="AM49" i="25"/>
  <c r="AM45" i="25"/>
  <c r="AM46" i="25"/>
  <c r="AM50" i="25"/>
  <c r="AM40" i="25"/>
  <c r="AM38" i="25"/>
  <c r="AM32" i="25"/>
  <c r="AM43" i="25"/>
  <c r="AM37" i="25"/>
  <c r="AM31" i="25"/>
  <c r="AM36" i="25"/>
  <c r="AM35" i="25"/>
  <c r="AM34" i="25"/>
  <c r="AM28" i="25"/>
  <c r="AM22" i="25"/>
  <c r="AM39" i="25"/>
  <c r="AM47" i="25"/>
  <c r="AM33" i="25"/>
  <c r="AM27" i="25"/>
  <c r="AM30" i="25"/>
  <c r="AM26" i="25"/>
  <c r="AM41" i="25"/>
  <c r="AM21" i="25"/>
  <c r="AM20" i="25"/>
  <c r="AM23" i="25"/>
  <c r="AM19" i="25"/>
  <c r="AM13" i="25"/>
  <c r="AM29" i="25"/>
  <c r="AM24" i="25"/>
  <c r="AM18" i="25"/>
  <c r="AM12" i="25"/>
  <c r="AM17" i="25"/>
  <c r="AM11" i="25"/>
  <c r="AM10" i="25"/>
  <c r="AM9" i="25"/>
  <c r="AM8" i="25"/>
  <c r="AM7" i="25"/>
  <c r="AN5" i="25"/>
  <c r="AM14" i="25"/>
  <c r="AM15" i="25"/>
  <c r="AM16" i="25"/>
  <c r="AM25" i="25"/>
  <c r="BB115" i="25" l="1"/>
  <c r="AN114" i="25"/>
  <c r="AN113" i="25"/>
  <c r="AN112" i="25"/>
  <c r="AN111" i="25"/>
  <c r="AN106" i="25"/>
  <c r="AN100" i="25"/>
  <c r="AN109" i="25"/>
  <c r="AN105" i="25"/>
  <c r="AN102" i="25"/>
  <c r="AN108" i="25"/>
  <c r="AN97" i="25"/>
  <c r="AN110" i="25"/>
  <c r="AN96" i="25"/>
  <c r="AN95" i="25"/>
  <c r="AN94" i="25"/>
  <c r="AN107" i="25"/>
  <c r="AN101" i="25"/>
  <c r="AN99" i="25"/>
  <c r="AN89" i="25"/>
  <c r="AN104" i="25"/>
  <c r="AN103" i="25"/>
  <c r="AN90" i="25"/>
  <c r="AN93" i="25"/>
  <c r="AN98" i="25"/>
  <c r="AN92" i="25"/>
  <c r="AN91" i="25"/>
  <c r="AN87" i="25"/>
  <c r="AN86" i="25"/>
  <c r="AN88" i="25"/>
  <c r="AN85" i="25"/>
  <c r="AN84" i="25"/>
  <c r="AN83" i="25"/>
  <c r="AN82" i="25"/>
  <c r="AN81" i="25"/>
  <c r="AN80" i="25"/>
  <c r="AN74" i="25"/>
  <c r="AN73" i="25"/>
  <c r="AN79" i="25"/>
  <c r="AN72" i="25"/>
  <c r="AN78" i="25"/>
  <c r="AN77" i="25"/>
  <c r="AN71" i="25"/>
  <c r="AN76" i="25"/>
  <c r="AN70" i="25"/>
  <c r="AN62" i="25"/>
  <c r="AN75" i="25"/>
  <c r="AN67" i="25"/>
  <c r="AN65" i="25"/>
  <c r="AN59" i="25"/>
  <c r="AN64" i="25"/>
  <c r="AN69" i="25"/>
  <c r="AN66" i="25"/>
  <c r="AN68" i="25"/>
  <c r="AN57" i="25"/>
  <c r="AN58" i="25"/>
  <c r="AN63" i="25"/>
  <c r="AN56" i="25"/>
  <c r="AN61" i="25"/>
  <c r="AN55" i="25"/>
  <c r="AN60" i="25"/>
  <c r="AN54" i="25"/>
  <c r="AN53" i="25"/>
  <c r="AN47" i="25"/>
  <c r="AN52" i="25"/>
  <c r="AN48" i="25"/>
  <c r="AN49" i="25"/>
  <c r="AN45" i="25"/>
  <c r="AN46" i="25"/>
  <c r="AN39" i="25"/>
  <c r="AN50" i="25"/>
  <c r="AN43" i="25"/>
  <c r="AN37" i="25"/>
  <c r="AN31" i="25"/>
  <c r="AN36" i="25"/>
  <c r="AN35" i="25"/>
  <c r="AN44" i="25"/>
  <c r="AN34" i="25"/>
  <c r="AN33" i="25"/>
  <c r="AN42" i="25"/>
  <c r="AN41" i="25"/>
  <c r="AN30" i="25"/>
  <c r="AN26" i="25"/>
  <c r="AN40" i="25"/>
  <c r="AN38" i="25"/>
  <c r="AN27" i="25"/>
  <c r="AN21" i="25"/>
  <c r="AN22" i="25"/>
  <c r="AN20" i="25"/>
  <c r="AN28" i="25"/>
  <c r="AN23" i="25"/>
  <c r="AN19" i="25"/>
  <c r="AN51" i="25"/>
  <c r="AN29" i="25"/>
  <c r="AN24" i="25"/>
  <c r="AN32" i="25"/>
  <c r="AN25" i="25"/>
  <c r="AN17" i="25"/>
  <c r="AN11" i="25"/>
  <c r="AN10" i="25"/>
  <c r="AN9" i="25"/>
  <c r="AN8" i="25"/>
  <c r="AN7" i="25"/>
  <c r="AN13" i="25"/>
  <c r="AN12" i="25"/>
  <c r="AO5" i="25"/>
  <c r="AN14" i="25"/>
  <c r="AN15" i="25"/>
  <c r="AN18" i="25"/>
  <c r="AN16" i="25"/>
  <c r="AO113" i="25" l="1"/>
  <c r="BC115" i="25"/>
  <c r="AO111" i="25"/>
  <c r="AO108" i="25"/>
  <c r="AO114" i="25"/>
  <c r="AO109" i="25"/>
  <c r="AO105" i="25"/>
  <c r="AO110" i="25"/>
  <c r="AO107" i="25"/>
  <c r="AO106" i="25"/>
  <c r="AO100" i="25"/>
  <c r="AO96" i="25"/>
  <c r="AO95" i="25"/>
  <c r="AO94" i="25"/>
  <c r="AO101" i="25"/>
  <c r="AO99" i="25"/>
  <c r="AO97" i="25"/>
  <c r="AO89" i="25"/>
  <c r="AO104" i="25"/>
  <c r="AO103" i="25"/>
  <c r="AO102" i="25"/>
  <c r="AO112" i="25"/>
  <c r="AO98" i="25"/>
  <c r="AO93" i="25"/>
  <c r="AO92" i="25"/>
  <c r="AO91" i="25"/>
  <c r="AO87" i="25"/>
  <c r="AO86" i="25"/>
  <c r="AO88" i="25"/>
  <c r="AO85" i="25"/>
  <c r="AO82" i="25"/>
  <c r="AO84" i="25"/>
  <c r="AO79" i="25"/>
  <c r="AO83" i="25"/>
  <c r="AO81" i="25"/>
  <c r="AO80" i="25"/>
  <c r="AO73" i="25"/>
  <c r="AO72" i="25"/>
  <c r="AO78" i="25"/>
  <c r="AO77" i="25"/>
  <c r="AO71" i="25"/>
  <c r="AO90" i="25"/>
  <c r="AO76" i="25"/>
  <c r="AO70" i="25"/>
  <c r="AO75" i="25"/>
  <c r="AO69" i="25"/>
  <c r="AO61" i="25"/>
  <c r="AO67" i="25"/>
  <c r="AO65" i="25"/>
  <c r="AO64" i="25"/>
  <c r="AO74" i="25"/>
  <c r="AO66" i="25"/>
  <c r="AO68" i="25"/>
  <c r="AO63" i="25"/>
  <c r="AO51" i="25"/>
  <c r="AO58" i="25"/>
  <c r="AO56" i="25"/>
  <c r="AO59" i="25"/>
  <c r="AO55" i="25"/>
  <c r="AO60" i="25"/>
  <c r="AO54" i="25"/>
  <c r="AO53" i="25"/>
  <c r="AO47" i="25"/>
  <c r="AO62" i="25"/>
  <c r="AO52" i="25"/>
  <c r="AO48" i="25"/>
  <c r="AO44" i="25"/>
  <c r="AO49" i="25"/>
  <c r="AO45" i="25"/>
  <c r="AO46" i="25"/>
  <c r="AO50" i="25"/>
  <c r="AO57" i="25"/>
  <c r="AO37" i="25"/>
  <c r="AO31" i="25"/>
  <c r="AO36" i="25"/>
  <c r="AO35" i="25"/>
  <c r="AO34" i="25"/>
  <c r="AO39" i="25"/>
  <c r="AO33" i="25"/>
  <c r="AO27" i="25"/>
  <c r="AO42" i="25"/>
  <c r="AO41" i="25"/>
  <c r="AO40" i="25"/>
  <c r="AO38" i="25"/>
  <c r="AO32" i="25"/>
  <c r="AO26" i="25"/>
  <c r="AO21" i="25"/>
  <c r="AO22" i="25"/>
  <c r="AO20" i="25"/>
  <c r="AO43" i="25"/>
  <c r="AO28" i="25"/>
  <c r="AO23" i="25"/>
  <c r="AO29" i="25"/>
  <c r="AO24" i="25"/>
  <c r="AO18" i="25"/>
  <c r="AO25" i="25"/>
  <c r="AO17" i="25"/>
  <c r="AO11" i="25"/>
  <c r="AO19" i="25"/>
  <c r="AO10" i="25"/>
  <c r="AO9" i="25"/>
  <c r="AO8" i="25"/>
  <c r="AO7" i="25"/>
  <c r="AO13" i="25"/>
  <c r="AO12" i="25"/>
  <c r="AP5" i="25"/>
  <c r="AO14" i="25"/>
  <c r="AO15" i="25"/>
  <c r="AO16" i="25"/>
  <c r="AO30" i="25"/>
  <c r="BD115" i="25" l="1"/>
  <c r="AP111" i="25"/>
  <c r="AP109" i="25"/>
  <c r="AP105" i="25"/>
  <c r="AP110" i="25"/>
  <c r="AP107" i="25"/>
  <c r="AP104" i="25"/>
  <c r="AP106" i="25"/>
  <c r="AP114" i="25"/>
  <c r="AP113" i="25"/>
  <c r="AP100" i="25"/>
  <c r="AP96" i="25"/>
  <c r="AP101" i="25"/>
  <c r="AP99" i="25"/>
  <c r="AP97" i="25"/>
  <c r="AP93" i="25"/>
  <c r="AP103" i="25"/>
  <c r="AP94" i="25"/>
  <c r="AP102" i="25"/>
  <c r="AP95" i="25"/>
  <c r="AP112" i="25"/>
  <c r="AP98" i="25"/>
  <c r="AP108" i="25"/>
  <c r="AP92" i="25"/>
  <c r="AP91" i="25"/>
  <c r="AP89" i="25"/>
  <c r="AP86" i="25"/>
  <c r="AP88" i="25"/>
  <c r="AP87" i="25"/>
  <c r="AP85" i="25"/>
  <c r="AP84" i="25"/>
  <c r="AP82" i="25"/>
  <c r="AP90" i="25"/>
  <c r="AP79" i="25"/>
  <c r="AP83" i="25"/>
  <c r="AP81" i="25"/>
  <c r="AP80" i="25"/>
  <c r="AP73" i="25"/>
  <c r="AP72" i="25"/>
  <c r="AP78" i="25"/>
  <c r="AP77" i="25"/>
  <c r="AP71" i="25"/>
  <c r="AP76" i="25"/>
  <c r="AP70" i="25"/>
  <c r="AP75" i="25"/>
  <c r="AP69" i="25"/>
  <c r="AP67" i="25"/>
  <c r="AP65" i="25"/>
  <c r="AP64" i="25"/>
  <c r="AP58" i="25"/>
  <c r="AP74" i="25"/>
  <c r="AP66" i="25"/>
  <c r="AP68" i="25"/>
  <c r="AP63" i="25"/>
  <c r="AP56" i="25"/>
  <c r="AP59" i="25"/>
  <c r="AP55" i="25"/>
  <c r="AP61" i="25"/>
  <c r="AP60" i="25"/>
  <c r="AP54" i="25"/>
  <c r="AP53" i="25"/>
  <c r="AP52" i="25"/>
  <c r="AP46" i="25"/>
  <c r="AP62" i="25"/>
  <c r="AP57" i="25"/>
  <c r="AP48" i="25"/>
  <c r="AP44" i="25"/>
  <c r="AP49" i="25"/>
  <c r="AP45" i="25"/>
  <c r="AP50" i="25"/>
  <c r="AP51" i="25"/>
  <c r="AP47" i="25"/>
  <c r="AP36" i="25"/>
  <c r="AP35" i="25"/>
  <c r="AP34" i="25"/>
  <c r="AP39" i="25"/>
  <c r="AP33" i="25"/>
  <c r="AP42" i="25"/>
  <c r="AP41" i="25"/>
  <c r="AP40" i="25"/>
  <c r="AP38" i="25"/>
  <c r="AP32" i="25"/>
  <c r="AP43" i="25"/>
  <c r="AP21" i="25"/>
  <c r="AP27" i="25"/>
  <c r="AP22" i="25"/>
  <c r="AP20" i="25"/>
  <c r="AP28" i="25"/>
  <c r="AP23" i="25"/>
  <c r="AP19" i="25"/>
  <c r="AP37" i="25"/>
  <c r="AP29" i="25"/>
  <c r="AP24" i="25"/>
  <c r="AP31" i="25"/>
  <c r="AP25" i="25"/>
  <c r="AP30" i="25"/>
  <c r="AP13" i="25"/>
  <c r="AP12" i="25"/>
  <c r="AP11" i="25"/>
  <c r="AQ5" i="25"/>
  <c r="AP8" i="25"/>
  <c r="AO4" i="25"/>
  <c r="AP10" i="25"/>
  <c r="AP14" i="25"/>
  <c r="AP15" i="25"/>
  <c r="AP7" i="25"/>
  <c r="AP18" i="25"/>
  <c r="AP16" i="25"/>
  <c r="AP17" i="25"/>
  <c r="AP9" i="25"/>
  <c r="AP26" i="25"/>
  <c r="BE115" i="25" l="1"/>
  <c r="AQ114" i="25"/>
  <c r="AQ111" i="25"/>
  <c r="AQ107" i="25"/>
  <c r="AQ110" i="25"/>
  <c r="AQ104" i="25"/>
  <c r="AQ106" i="25"/>
  <c r="AQ103" i="25"/>
  <c r="AQ105" i="25"/>
  <c r="AQ100" i="25"/>
  <c r="AQ101" i="25"/>
  <c r="AQ109" i="25"/>
  <c r="AQ113" i="25"/>
  <c r="AQ102" i="25"/>
  <c r="AQ95" i="25"/>
  <c r="AQ112" i="25"/>
  <c r="AQ98" i="25"/>
  <c r="AQ96" i="25"/>
  <c r="AQ99" i="25"/>
  <c r="AQ94" i="25"/>
  <c r="AQ97" i="25"/>
  <c r="AQ108" i="25"/>
  <c r="AQ93" i="25"/>
  <c r="AQ92" i="25"/>
  <c r="AQ91" i="25"/>
  <c r="AQ86" i="25"/>
  <c r="AQ88" i="25"/>
  <c r="AQ87" i="25"/>
  <c r="AQ85" i="25"/>
  <c r="AQ84" i="25"/>
  <c r="AQ90" i="25"/>
  <c r="AQ81" i="25"/>
  <c r="AQ82" i="25"/>
  <c r="AQ79" i="25"/>
  <c r="AQ83" i="25"/>
  <c r="AQ80" i="25"/>
  <c r="AQ89" i="25"/>
  <c r="AQ72" i="25"/>
  <c r="AQ78" i="25"/>
  <c r="AQ77" i="25"/>
  <c r="AQ71" i="25"/>
  <c r="AQ76" i="25"/>
  <c r="AQ70" i="25"/>
  <c r="AQ75" i="25"/>
  <c r="AQ69" i="25"/>
  <c r="AQ74" i="25"/>
  <c r="AQ68" i="25"/>
  <c r="AQ73" i="25"/>
  <c r="AQ67" i="25"/>
  <c r="AQ65" i="25"/>
  <c r="AQ64" i="25"/>
  <c r="AQ66" i="25"/>
  <c r="AQ63" i="25"/>
  <c r="AQ62" i="25"/>
  <c r="AQ58" i="25"/>
  <c r="AQ56" i="25"/>
  <c r="AQ59" i="25"/>
  <c r="AQ55" i="25"/>
  <c r="AQ61" i="25"/>
  <c r="AQ60" i="25"/>
  <c r="AQ54" i="25"/>
  <c r="AQ53" i="25"/>
  <c r="AQ52" i="25"/>
  <c r="AQ46" i="25"/>
  <c r="AQ57" i="25"/>
  <c r="AQ44" i="25"/>
  <c r="AQ49" i="25"/>
  <c r="AQ45" i="25"/>
  <c r="AQ50" i="25"/>
  <c r="AQ51" i="25"/>
  <c r="AQ47" i="25"/>
  <c r="AQ42" i="25"/>
  <c r="AQ36" i="25"/>
  <c r="AQ35" i="25"/>
  <c r="AQ34" i="25"/>
  <c r="AQ39" i="25"/>
  <c r="AQ33" i="25"/>
  <c r="AQ41" i="25"/>
  <c r="AQ40" i="25"/>
  <c r="AQ38" i="25"/>
  <c r="AQ32" i="25"/>
  <c r="AQ26" i="25"/>
  <c r="AQ48" i="25"/>
  <c r="AQ43" i="25"/>
  <c r="AQ37" i="25"/>
  <c r="AQ31" i="25"/>
  <c r="AQ25" i="25"/>
  <c r="AQ21" i="25"/>
  <c r="AQ27" i="25"/>
  <c r="AQ22" i="25"/>
  <c r="AQ20" i="25"/>
  <c r="AQ28" i="25"/>
  <c r="AQ23" i="25"/>
  <c r="AQ29" i="25"/>
  <c r="AQ24" i="25"/>
  <c r="AQ17" i="25"/>
  <c r="AQ30" i="25"/>
  <c r="AQ16" i="25"/>
  <c r="AQ10" i="25"/>
  <c r="AQ13" i="25"/>
  <c r="AQ12" i="25"/>
  <c r="AQ11" i="25"/>
  <c r="AQ14" i="25"/>
  <c r="AQ15" i="25"/>
  <c r="AQ18" i="25"/>
  <c r="AR5" i="25"/>
  <c r="AQ8" i="25"/>
  <c r="AQ19" i="25"/>
  <c r="AQ9" i="25"/>
  <c r="AQ7" i="25"/>
  <c r="AR114" i="25" l="1"/>
  <c r="BF115" i="25"/>
  <c r="AR107" i="25"/>
  <c r="AR104" i="25"/>
  <c r="AR103" i="25"/>
  <c r="AR106" i="25"/>
  <c r="AR101" i="25"/>
  <c r="AR95" i="25"/>
  <c r="AR113" i="25"/>
  <c r="AR110" i="25"/>
  <c r="AR111" i="25"/>
  <c r="AR92" i="25"/>
  <c r="AR108" i="25"/>
  <c r="AR100" i="25"/>
  <c r="AR109" i="25"/>
  <c r="AR105" i="25"/>
  <c r="AR102" i="25"/>
  <c r="AR112" i="25"/>
  <c r="AR98" i="25"/>
  <c r="AR96" i="25"/>
  <c r="AR99" i="25"/>
  <c r="AR97" i="25"/>
  <c r="AR93" i="25"/>
  <c r="AR91" i="25"/>
  <c r="AR89" i="25"/>
  <c r="AR90" i="25"/>
  <c r="AR84" i="25"/>
  <c r="AR94" i="25"/>
  <c r="AR83" i="25"/>
  <c r="AR80" i="25"/>
  <c r="AR81" i="25"/>
  <c r="AR85" i="25"/>
  <c r="AR88" i="25"/>
  <c r="AR87" i="25"/>
  <c r="AR72" i="25"/>
  <c r="AR78" i="25"/>
  <c r="AR77" i="25"/>
  <c r="AR71" i="25"/>
  <c r="AR79" i="25"/>
  <c r="AR76" i="25"/>
  <c r="AR70" i="25"/>
  <c r="AR75" i="25"/>
  <c r="AR69" i="25"/>
  <c r="AR82" i="25"/>
  <c r="AR74" i="25"/>
  <c r="AR68" i="25"/>
  <c r="AR73" i="25"/>
  <c r="AR67" i="25"/>
  <c r="AR65" i="25"/>
  <c r="AR64" i="25"/>
  <c r="AR66" i="25"/>
  <c r="AR63" i="25"/>
  <c r="AR57" i="25"/>
  <c r="AR62" i="25"/>
  <c r="AR86" i="25"/>
  <c r="AR59" i="25"/>
  <c r="AR55" i="25"/>
  <c r="AR61" i="25"/>
  <c r="AR60" i="25"/>
  <c r="AR54" i="25"/>
  <c r="AR53" i="25"/>
  <c r="AR52" i="25"/>
  <c r="AR51" i="25"/>
  <c r="AR45" i="25"/>
  <c r="AR56" i="25"/>
  <c r="AR49" i="25"/>
  <c r="AR50" i="25"/>
  <c r="AR46" i="25"/>
  <c r="AR58" i="25"/>
  <c r="AR47" i="25"/>
  <c r="AR42" i="25"/>
  <c r="AR48" i="25"/>
  <c r="AR35" i="25"/>
  <c r="AR34" i="25"/>
  <c r="AR39" i="25"/>
  <c r="AR33" i="25"/>
  <c r="AR44" i="25"/>
  <c r="AR41" i="25"/>
  <c r="AR40" i="25"/>
  <c r="AR38" i="25"/>
  <c r="AR32" i="25"/>
  <c r="AR43" i="25"/>
  <c r="AR37" i="25"/>
  <c r="AR31" i="25"/>
  <c r="AR27" i="25"/>
  <c r="AR22" i="25"/>
  <c r="AR20" i="25"/>
  <c r="AR28" i="25"/>
  <c r="AR23" i="25"/>
  <c r="AR19" i="25"/>
  <c r="AR29" i="25"/>
  <c r="AR24" i="25"/>
  <c r="AR18" i="25"/>
  <c r="AR25" i="25"/>
  <c r="AR30" i="25"/>
  <c r="AR36" i="25"/>
  <c r="AR26" i="25"/>
  <c r="AR14" i="25"/>
  <c r="AR15" i="25"/>
  <c r="AR21" i="25"/>
  <c r="AR16" i="25"/>
  <c r="AR9" i="25"/>
  <c r="AR8" i="25"/>
  <c r="AR7" i="25"/>
  <c r="AS5" i="25"/>
  <c r="AR17" i="25"/>
  <c r="AR13" i="25"/>
  <c r="AR12" i="25"/>
  <c r="AR11" i="25"/>
  <c r="AR10" i="25"/>
  <c r="AS112" i="25" l="1"/>
  <c r="AS114" i="25"/>
  <c r="BG115" i="25"/>
  <c r="AS107" i="25"/>
  <c r="AS109" i="25"/>
  <c r="AS108" i="25"/>
  <c r="AS103" i="25"/>
  <c r="AS111" i="25"/>
  <c r="AS101" i="25"/>
  <c r="AS110" i="25"/>
  <c r="AS102" i="25"/>
  <c r="AS106" i="25"/>
  <c r="AS100" i="25"/>
  <c r="AS104" i="25"/>
  <c r="AS113" i="25"/>
  <c r="AS98" i="25"/>
  <c r="AS96" i="25"/>
  <c r="AS95" i="25"/>
  <c r="AS105" i="25"/>
  <c r="AS99" i="25"/>
  <c r="AS97" i="25"/>
  <c r="AS93" i="25"/>
  <c r="AS92" i="25"/>
  <c r="AS91" i="25"/>
  <c r="AS90" i="25"/>
  <c r="AS84" i="25"/>
  <c r="AS94" i="25"/>
  <c r="AS80" i="25"/>
  <c r="AS89" i="25"/>
  <c r="AS88" i="25"/>
  <c r="AS87" i="25"/>
  <c r="AS86" i="25"/>
  <c r="AS85" i="25"/>
  <c r="AS83" i="25"/>
  <c r="AS81" i="25"/>
  <c r="AS78" i="25"/>
  <c r="AS77" i="25"/>
  <c r="AS71" i="25"/>
  <c r="AS79" i="25"/>
  <c r="AS76" i="25"/>
  <c r="AS70" i="25"/>
  <c r="AS75" i="25"/>
  <c r="AS69" i="25"/>
  <c r="AS82" i="25"/>
  <c r="AS74" i="25"/>
  <c r="AS68" i="25"/>
  <c r="AS73" i="25"/>
  <c r="AS67" i="25"/>
  <c r="AS65" i="25"/>
  <c r="AS64" i="25"/>
  <c r="AS66" i="25"/>
  <c r="AS63" i="25"/>
  <c r="AS72" i="25"/>
  <c r="AS62" i="25"/>
  <c r="AS61" i="25"/>
  <c r="AS59" i="25"/>
  <c r="AS55" i="25"/>
  <c r="AS60" i="25"/>
  <c r="AS54" i="25"/>
  <c r="AS53" i="25"/>
  <c r="AS52" i="25"/>
  <c r="AS57" i="25"/>
  <c r="AS51" i="25"/>
  <c r="AS45" i="25"/>
  <c r="AS58" i="25"/>
  <c r="AS56" i="25"/>
  <c r="AS49" i="25"/>
  <c r="AS50" i="25"/>
  <c r="AS46" i="25"/>
  <c r="AS47" i="25"/>
  <c r="AS42" i="25"/>
  <c r="AS48" i="25"/>
  <c r="AS43" i="25"/>
  <c r="AS35" i="25"/>
  <c r="AS34" i="25"/>
  <c r="AS39" i="25"/>
  <c r="AS33" i="25"/>
  <c r="AS44" i="25"/>
  <c r="AS41" i="25"/>
  <c r="AS40" i="25"/>
  <c r="AS38" i="25"/>
  <c r="AS32" i="25"/>
  <c r="AS37" i="25"/>
  <c r="AS31" i="25"/>
  <c r="AS25" i="25"/>
  <c r="AS36" i="25"/>
  <c r="AS30" i="25"/>
  <c r="AS24" i="25"/>
  <c r="AS20" i="25"/>
  <c r="AS28" i="25"/>
  <c r="AS23" i="25"/>
  <c r="AS19" i="25"/>
  <c r="AS29" i="25"/>
  <c r="AS16" i="25"/>
  <c r="AS26" i="25"/>
  <c r="AS21" i="25"/>
  <c r="AS15" i="25"/>
  <c r="AS9" i="25"/>
  <c r="AS22" i="25"/>
  <c r="AS18" i="25"/>
  <c r="AS14" i="25"/>
  <c r="AS8" i="25"/>
  <c r="AS7" i="25"/>
  <c r="AS27" i="25"/>
  <c r="AS17" i="25"/>
  <c r="AS13" i="25"/>
  <c r="AS12" i="25"/>
  <c r="AS11" i="25"/>
  <c r="AS10" i="25"/>
  <c r="AT5" i="25"/>
  <c r="AT114" i="25" l="1"/>
  <c r="AT113" i="25"/>
  <c r="AT109" i="25"/>
  <c r="AT108" i="25"/>
  <c r="AT106" i="25"/>
  <c r="AT112" i="25"/>
  <c r="AT110" i="25"/>
  <c r="AT107" i="25"/>
  <c r="AT103" i="25"/>
  <c r="AT111" i="25"/>
  <c r="AT102" i="25"/>
  <c r="AT100" i="25"/>
  <c r="BH115" i="25"/>
  <c r="AT94" i="25"/>
  <c r="AT104" i="25"/>
  <c r="AT98" i="25"/>
  <c r="AT96" i="25"/>
  <c r="AT105" i="25"/>
  <c r="AT99" i="25"/>
  <c r="AT97" i="25"/>
  <c r="AT95" i="25"/>
  <c r="AT92" i="25"/>
  <c r="AT91" i="25"/>
  <c r="AT89" i="25"/>
  <c r="AT90" i="25"/>
  <c r="AT101" i="25"/>
  <c r="AT93" i="25"/>
  <c r="AT84" i="25"/>
  <c r="AT81" i="25"/>
  <c r="AT80" i="25"/>
  <c r="AT85" i="25"/>
  <c r="AT88" i="25"/>
  <c r="AT87" i="25"/>
  <c r="AT86" i="25"/>
  <c r="AT82" i="25"/>
  <c r="AT79" i="25"/>
  <c r="AT78" i="25"/>
  <c r="AT77" i="25"/>
  <c r="AT71" i="25"/>
  <c r="AT76" i="25"/>
  <c r="AT70" i="25"/>
  <c r="AT75" i="25"/>
  <c r="AT69" i="25"/>
  <c r="AT83" i="25"/>
  <c r="AT74" i="25"/>
  <c r="AT73" i="25"/>
  <c r="AT67" i="25"/>
  <c r="AT65" i="25"/>
  <c r="AT64" i="25"/>
  <c r="AT66" i="25"/>
  <c r="AT63" i="25"/>
  <c r="AT72" i="25"/>
  <c r="AT62" i="25"/>
  <c r="AT68" i="25"/>
  <c r="AT61" i="25"/>
  <c r="AT60" i="25"/>
  <c r="AT54" i="25"/>
  <c r="AT53" i="25"/>
  <c r="AT52" i="25"/>
  <c r="AT57" i="25"/>
  <c r="AT51" i="25"/>
  <c r="AT58" i="25"/>
  <c r="AT56" i="25"/>
  <c r="AT50" i="25"/>
  <c r="AT44" i="25"/>
  <c r="AT49" i="25"/>
  <c r="AT45" i="25"/>
  <c r="AT55" i="25"/>
  <c r="AT46" i="25"/>
  <c r="AT47" i="25"/>
  <c r="AT59" i="25"/>
  <c r="AT48" i="25"/>
  <c r="AT43" i="25"/>
  <c r="AT41" i="25"/>
  <c r="AT34" i="25"/>
  <c r="AT39" i="25"/>
  <c r="AT33" i="25"/>
  <c r="AT40" i="25"/>
  <c r="AT38" i="25"/>
  <c r="AT32" i="25"/>
  <c r="AT42" i="25"/>
  <c r="AT37" i="25"/>
  <c r="AT36" i="25"/>
  <c r="AT30" i="25"/>
  <c r="AT35" i="25"/>
  <c r="AT28" i="25"/>
  <c r="AT23" i="25"/>
  <c r="AT19" i="25"/>
  <c r="AT29" i="25"/>
  <c r="AT24" i="25"/>
  <c r="AT18" i="25"/>
  <c r="AT17" i="25"/>
  <c r="AT31" i="25"/>
  <c r="AT25" i="25"/>
  <c r="AT26" i="25"/>
  <c r="AT21" i="25"/>
  <c r="AT27" i="25"/>
  <c r="AT22" i="25"/>
  <c r="AT15" i="25"/>
  <c r="AS4" i="25"/>
  <c r="AT16" i="25"/>
  <c r="AT20" i="25"/>
  <c r="AT8" i="25"/>
  <c r="AT7" i="25"/>
  <c r="AT13" i="25"/>
  <c r="AT12" i="25"/>
  <c r="AT11" i="25"/>
  <c r="AT10" i="25"/>
  <c r="AT9" i="25"/>
  <c r="AU5" i="25"/>
  <c r="AT14" i="25"/>
  <c r="BI115" i="25" l="1"/>
  <c r="AU111" i="25"/>
  <c r="AU114" i="25"/>
  <c r="AU109" i="25"/>
  <c r="AU108" i="25"/>
  <c r="AU112" i="25"/>
  <c r="AU110" i="25"/>
  <c r="AU102" i="25"/>
  <c r="AU106" i="25"/>
  <c r="AU104" i="25"/>
  <c r="AU100" i="25"/>
  <c r="AU107" i="25"/>
  <c r="AU103" i="25"/>
  <c r="AU105" i="25"/>
  <c r="AU113" i="25"/>
  <c r="AU99" i="25"/>
  <c r="AU97" i="25"/>
  <c r="AU93" i="25"/>
  <c r="AU92" i="25"/>
  <c r="AU91" i="25"/>
  <c r="AU96" i="25"/>
  <c r="AU94" i="25"/>
  <c r="AU89" i="25"/>
  <c r="AU98" i="25"/>
  <c r="AU90" i="25"/>
  <c r="AU101" i="25"/>
  <c r="AU95" i="25"/>
  <c r="AU88" i="25"/>
  <c r="AU87" i="25"/>
  <c r="AU86" i="25"/>
  <c r="AU85" i="25"/>
  <c r="AU82" i="25"/>
  <c r="AU79" i="25"/>
  <c r="AU76" i="25"/>
  <c r="AU70" i="25"/>
  <c r="AU75" i="25"/>
  <c r="AU69" i="25"/>
  <c r="AU83" i="25"/>
  <c r="AU74" i="25"/>
  <c r="AU73" i="25"/>
  <c r="AU67" i="25"/>
  <c r="AU81" i="25"/>
  <c r="AU72" i="25"/>
  <c r="AU64" i="25"/>
  <c r="AU84" i="25"/>
  <c r="AU66" i="25"/>
  <c r="AU77" i="25"/>
  <c r="AU63" i="25"/>
  <c r="AU62" i="25"/>
  <c r="AU68" i="25"/>
  <c r="AU61" i="25"/>
  <c r="AU80" i="25"/>
  <c r="AU60" i="25"/>
  <c r="AU71" i="25"/>
  <c r="AU54" i="25"/>
  <c r="AU53" i="25"/>
  <c r="AU65" i="25"/>
  <c r="AU52" i="25"/>
  <c r="AU57" i="25"/>
  <c r="AU51" i="25"/>
  <c r="AU58" i="25"/>
  <c r="AU56" i="25"/>
  <c r="AU50" i="25"/>
  <c r="AU44" i="25"/>
  <c r="AU78" i="25"/>
  <c r="AU59" i="25"/>
  <c r="AU55" i="25"/>
  <c r="AU45" i="25"/>
  <c r="AU46" i="25"/>
  <c r="AU47" i="25"/>
  <c r="AU48" i="25"/>
  <c r="AU43" i="25"/>
  <c r="AU41" i="25"/>
  <c r="AU34" i="25"/>
  <c r="AU39" i="25"/>
  <c r="AU33" i="25"/>
  <c r="AU40" i="25"/>
  <c r="AU38" i="25"/>
  <c r="AU32" i="25"/>
  <c r="AU42" i="25"/>
  <c r="AU37" i="25"/>
  <c r="AU49" i="25"/>
  <c r="AU36" i="25"/>
  <c r="AU30" i="25"/>
  <c r="AU24" i="25"/>
  <c r="AU35" i="25"/>
  <c r="AU29" i="25"/>
  <c r="AU23" i="25"/>
  <c r="AU19" i="25"/>
  <c r="AU31" i="25"/>
  <c r="AU25" i="25"/>
  <c r="AU26" i="25"/>
  <c r="AU21" i="25"/>
  <c r="AU15" i="25"/>
  <c r="AU27" i="25"/>
  <c r="AU22" i="25"/>
  <c r="AU20" i="25"/>
  <c r="AU14" i="25"/>
  <c r="AU8" i="25"/>
  <c r="AU18" i="25"/>
  <c r="AU16" i="25"/>
  <c r="AU7" i="25"/>
  <c r="AV5" i="25"/>
  <c r="AU13" i="25"/>
  <c r="AU12" i="25"/>
  <c r="AU11" i="25"/>
  <c r="AU10" i="25"/>
  <c r="AU9" i="25"/>
  <c r="AU28" i="25"/>
  <c r="AU17" i="25"/>
  <c r="AV112" i="25" l="1"/>
  <c r="AV113" i="25"/>
  <c r="AV110" i="25"/>
  <c r="AV111" i="25"/>
  <c r="AV102" i="25"/>
  <c r="BJ115" i="25"/>
  <c r="AV101" i="25"/>
  <c r="AV114" i="25"/>
  <c r="AV109" i="25"/>
  <c r="AV99" i="25"/>
  <c r="AV107" i="25"/>
  <c r="AV103" i="25"/>
  <c r="AV108" i="25"/>
  <c r="AV105" i="25"/>
  <c r="AV104" i="25"/>
  <c r="AV97" i="25"/>
  <c r="AV91" i="25"/>
  <c r="AV93" i="25"/>
  <c r="AV92" i="25"/>
  <c r="AV106" i="25"/>
  <c r="AV94" i="25"/>
  <c r="AV98" i="25"/>
  <c r="AV89" i="25"/>
  <c r="AV100" i="25"/>
  <c r="AV90" i="25"/>
  <c r="AV96" i="25"/>
  <c r="AV95" i="25"/>
  <c r="AV88" i="25"/>
  <c r="AV87" i="25"/>
  <c r="AV86" i="25"/>
  <c r="AV85" i="25"/>
  <c r="AV82" i="25"/>
  <c r="AV79" i="25"/>
  <c r="AV83" i="25"/>
  <c r="AV76" i="25"/>
  <c r="AV70" i="25"/>
  <c r="AV75" i="25"/>
  <c r="AV69" i="25"/>
  <c r="AV74" i="25"/>
  <c r="AV73" i="25"/>
  <c r="AV81" i="25"/>
  <c r="AV72" i="25"/>
  <c r="AV64" i="25"/>
  <c r="AV84" i="25"/>
  <c r="AV66" i="25"/>
  <c r="AV77" i="25"/>
  <c r="AV63" i="25"/>
  <c r="AV68" i="25"/>
  <c r="AV61" i="25"/>
  <c r="AV80" i="25"/>
  <c r="AV71" i="25"/>
  <c r="AV60" i="25"/>
  <c r="AV53" i="25"/>
  <c r="AV65" i="25"/>
  <c r="AV52" i="25"/>
  <c r="AV57" i="25"/>
  <c r="AV51" i="25"/>
  <c r="AV58" i="25"/>
  <c r="AV56" i="25"/>
  <c r="AV50" i="25"/>
  <c r="AV78" i="25"/>
  <c r="AV62" i="25"/>
  <c r="AV59" i="25"/>
  <c r="AV55" i="25"/>
  <c r="AV49" i="25"/>
  <c r="AV43" i="25"/>
  <c r="AV67" i="25"/>
  <c r="AV45" i="25"/>
  <c r="AV46" i="25"/>
  <c r="AV47" i="25"/>
  <c r="AV54" i="25"/>
  <c r="AV48" i="25"/>
  <c r="AV41" i="25"/>
  <c r="AV44" i="25"/>
  <c r="AV40" i="25"/>
  <c r="AV39" i="25"/>
  <c r="AV33" i="25"/>
  <c r="AV38" i="25"/>
  <c r="AV32" i="25"/>
  <c r="AV42" i="25"/>
  <c r="AV37" i="25"/>
  <c r="AV36" i="25"/>
  <c r="AV35" i="25"/>
  <c r="AV29" i="25"/>
  <c r="AV34" i="25"/>
  <c r="AV24" i="25"/>
  <c r="AV31" i="25"/>
  <c r="AV25" i="25"/>
  <c r="AV26" i="25"/>
  <c r="AV30" i="25"/>
  <c r="AV21" i="25"/>
  <c r="AV27" i="25"/>
  <c r="AV22" i="25"/>
  <c r="AV20" i="25"/>
  <c r="AV28" i="25"/>
  <c r="AV23" i="25"/>
  <c r="AV15" i="25"/>
  <c r="AV18" i="25"/>
  <c r="AV16" i="25"/>
  <c r="AV7" i="25"/>
  <c r="AV13" i="25"/>
  <c r="AV12" i="25"/>
  <c r="AV11" i="25"/>
  <c r="AV10" i="25"/>
  <c r="AV9" i="25"/>
  <c r="AV8" i="25"/>
  <c r="AW5" i="25"/>
  <c r="AV17" i="25"/>
  <c r="AV14" i="25"/>
  <c r="AV19" i="25"/>
  <c r="AW114" i="25" l="1"/>
  <c r="BK115" i="25"/>
  <c r="AW113" i="25"/>
  <c r="AW112" i="25"/>
  <c r="AW101" i="25"/>
  <c r="AW104" i="25"/>
  <c r="AW109" i="25"/>
  <c r="AW110" i="25"/>
  <c r="AW99" i="25"/>
  <c r="AW111" i="25"/>
  <c r="AW108" i="25"/>
  <c r="AW105" i="25"/>
  <c r="AW98" i="25"/>
  <c r="AW102" i="25"/>
  <c r="AW97" i="25"/>
  <c r="AW91" i="25"/>
  <c r="AW103" i="25"/>
  <c r="AW107" i="25"/>
  <c r="AW96" i="25"/>
  <c r="AW106" i="25"/>
  <c r="AW95" i="25"/>
  <c r="AW92" i="25"/>
  <c r="AW89" i="25"/>
  <c r="AW100" i="25"/>
  <c r="AW90" i="25"/>
  <c r="AW94" i="25"/>
  <c r="AW93" i="25"/>
  <c r="AW88" i="25"/>
  <c r="AW87" i="25"/>
  <c r="AW86" i="25"/>
  <c r="AW85" i="25"/>
  <c r="AW84" i="25"/>
  <c r="AW82" i="25"/>
  <c r="AW79" i="25"/>
  <c r="AW83" i="25"/>
  <c r="AW81" i="25"/>
  <c r="AW80" i="25"/>
  <c r="AW75" i="25"/>
  <c r="AW69" i="25"/>
  <c r="AW74" i="25"/>
  <c r="AW68" i="25"/>
  <c r="AW73" i="25"/>
  <c r="AW72" i="25"/>
  <c r="AW66" i="25"/>
  <c r="AW78" i="25"/>
  <c r="AW77" i="25"/>
  <c r="AW71" i="25"/>
  <c r="AW63" i="25"/>
  <c r="AW70" i="25"/>
  <c r="AW62" i="25"/>
  <c r="AW76" i="25"/>
  <c r="AW65" i="25"/>
  <c r="AW59" i="25"/>
  <c r="AW61" i="25"/>
  <c r="AW53" i="25"/>
  <c r="AW52" i="25"/>
  <c r="AW57" i="25"/>
  <c r="AW58" i="25"/>
  <c r="AW56" i="25"/>
  <c r="AW55" i="25"/>
  <c r="AW49" i="25"/>
  <c r="AW43" i="25"/>
  <c r="AW67" i="25"/>
  <c r="AW64" i="25"/>
  <c r="AW54" i="25"/>
  <c r="AW46" i="25"/>
  <c r="AW50" i="25"/>
  <c r="AW47" i="25"/>
  <c r="AW48" i="25"/>
  <c r="AW60" i="25"/>
  <c r="AW51" i="25"/>
  <c r="AW44" i="25"/>
  <c r="AW39" i="25"/>
  <c r="AW33" i="25"/>
  <c r="AW38" i="25"/>
  <c r="AW32" i="25"/>
  <c r="AW40" i="25"/>
  <c r="AW42" i="25"/>
  <c r="AW41" i="25"/>
  <c r="AW37" i="25"/>
  <c r="AW36" i="25"/>
  <c r="AW35" i="25"/>
  <c r="AW29" i="25"/>
  <c r="AW23" i="25"/>
  <c r="AW34" i="25"/>
  <c r="AW28" i="25"/>
  <c r="AW22" i="25"/>
  <c r="AW18" i="25"/>
  <c r="AW24" i="25"/>
  <c r="AW31" i="25"/>
  <c r="AW25" i="25"/>
  <c r="AW26" i="25"/>
  <c r="AW45" i="25"/>
  <c r="AW30" i="25"/>
  <c r="AW21" i="25"/>
  <c r="AW27" i="25"/>
  <c r="AW20" i="25"/>
  <c r="AW14" i="25"/>
  <c r="AW19" i="25"/>
  <c r="AW13" i="25"/>
  <c r="AW7" i="25"/>
  <c r="AX5" i="25"/>
  <c r="AW15" i="25"/>
  <c r="AW16" i="25"/>
  <c r="AW8" i="25"/>
  <c r="AW12" i="25"/>
  <c r="AW11" i="25"/>
  <c r="AW10" i="25"/>
  <c r="AW9" i="25"/>
  <c r="AW17" i="25"/>
  <c r="AX113" i="25" l="1"/>
  <c r="AX101" i="25"/>
  <c r="AX114" i="25"/>
  <c r="AX104" i="25"/>
  <c r="AX109" i="25"/>
  <c r="AX107" i="25"/>
  <c r="AX110" i="25"/>
  <c r="AX99" i="25"/>
  <c r="AX102" i="25"/>
  <c r="AX98" i="25"/>
  <c r="AX112" i="25"/>
  <c r="AX103" i="25"/>
  <c r="BL115" i="25"/>
  <c r="AX105" i="25"/>
  <c r="AX93" i="25"/>
  <c r="AX92" i="25"/>
  <c r="AX90" i="25"/>
  <c r="AX111" i="25"/>
  <c r="AX108" i="25"/>
  <c r="AX106" i="25"/>
  <c r="AX94" i="25"/>
  <c r="AX95" i="25"/>
  <c r="AX100" i="25"/>
  <c r="AX91" i="25"/>
  <c r="AX89" i="25"/>
  <c r="AX96" i="25"/>
  <c r="AX97" i="25"/>
  <c r="AX88" i="25"/>
  <c r="AX87" i="25"/>
  <c r="AX86" i="25"/>
  <c r="AX85" i="25"/>
  <c r="AX84" i="25"/>
  <c r="AX82" i="25"/>
  <c r="AX83" i="25"/>
  <c r="AX78" i="25"/>
  <c r="AX81" i="25"/>
  <c r="AX80" i="25"/>
  <c r="AX79" i="25"/>
  <c r="AX75" i="25"/>
  <c r="AX69" i="25"/>
  <c r="AX74" i="25"/>
  <c r="AX73" i="25"/>
  <c r="AX72" i="25"/>
  <c r="AX77" i="25"/>
  <c r="AX71" i="25"/>
  <c r="AX66" i="25"/>
  <c r="AX63" i="25"/>
  <c r="AX70" i="25"/>
  <c r="AX62" i="25"/>
  <c r="AX68" i="25"/>
  <c r="AX60" i="25"/>
  <c r="AX76" i="25"/>
  <c r="AX65" i="25"/>
  <c r="AX67" i="25"/>
  <c r="AX52" i="25"/>
  <c r="AX57" i="25"/>
  <c r="AX58" i="25"/>
  <c r="AX56" i="25"/>
  <c r="AX55" i="25"/>
  <c r="AX49" i="25"/>
  <c r="AX64" i="25"/>
  <c r="AX59" i="25"/>
  <c r="AX54" i="25"/>
  <c r="AX48" i="25"/>
  <c r="AX42" i="25"/>
  <c r="AX46" i="25"/>
  <c r="AX50" i="25"/>
  <c r="AX47" i="25"/>
  <c r="AX61" i="25"/>
  <c r="AX51" i="25"/>
  <c r="AX53" i="25"/>
  <c r="AX44" i="25"/>
  <c r="AX40" i="25"/>
  <c r="AX45" i="25"/>
  <c r="AX39" i="25"/>
  <c r="AX38" i="25"/>
  <c r="AX32" i="25"/>
  <c r="AX41" i="25"/>
  <c r="AX37" i="25"/>
  <c r="AX36" i="25"/>
  <c r="AX43" i="25"/>
  <c r="AX35" i="25"/>
  <c r="AX34" i="25"/>
  <c r="AX29" i="25"/>
  <c r="AX24" i="25"/>
  <c r="AX31" i="25"/>
  <c r="AX25" i="25"/>
  <c r="AX26" i="25"/>
  <c r="AX33" i="25"/>
  <c r="AX30" i="25"/>
  <c r="AX21" i="25"/>
  <c r="AX27" i="25"/>
  <c r="AX22" i="25"/>
  <c r="AX20" i="25"/>
  <c r="AX28" i="25"/>
  <c r="AX19" i="25"/>
  <c r="AX23" i="25"/>
  <c r="AX16" i="25"/>
  <c r="AX18" i="25"/>
  <c r="AY5" i="25"/>
  <c r="AX12" i="25"/>
  <c r="AX11" i="25"/>
  <c r="AX10" i="25"/>
  <c r="AX9" i="25"/>
  <c r="AX8" i="25"/>
  <c r="AX7" i="25"/>
  <c r="AX17" i="25"/>
  <c r="AX13" i="25"/>
  <c r="AX14" i="25"/>
  <c r="AX15" i="25"/>
  <c r="AY113" i="25" l="1"/>
  <c r="BM115" i="25"/>
  <c r="AY110" i="25"/>
  <c r="AY109" i="25"/>
  <c r="AY112" i="25"/>
  <c r="AY100" i="25"/>
  <c r="AY106" i="25"/>
  <c r="AY107" i="25"/>
  <c r="AY102" i="25"/>
  <c r="AY98" i="25"/>
  <c r="AY105" i="25"/>
  <c r="AY104" i="25"/>
  <c r="AY114" i="25"/>
  <c r="AY99" i="25"/>
  <c r="AY103" i="25"/>
  <c r="AY93" i="25"/>
  <c r="AY92" i="25"/>
  <c r="AY90" i="25"/>
  <c r="AY94" i="25"/>
  <c r="AY97" i="25"/>
  <c r="AY101" i="25"/>
  <c r="AY108" i="25"/>
  <c r="AY111" i="25"/>
  <c r="AY96" i="25"/>
  <c r="AY95" i="25"/>
  <c r="AY88" i="25"/>
  <c r="AY91" i="25"/>
  <c r="AY87" i="25"/>
  <c r="AY86" i="25"/>
  <c r="AY85" i="25"/>
  <c r="AY83" i="25"/>
  <c r="AY82" i="25"/>
  <c r="AY79" i="25"/>
  <c r="AY89" i="25"/>
  <c r="AY81" i="25"/>
  <c r="AY80" i="25"/>
  <c r="AY84" i="25"/>
  <c r="AY74" i="25"/>
  <c r="AY68" i="25"/>
  <c r="AY73" i="25"/>
  <c r="AY72" i="25"/>
  <c r="AY77" i="25"/>
  <c r="AY71" i="25"/>
  <c r="AY78" i="25"/>
  <c r="AY76" i="25"/>
  <c r="AY70" i="25"/>
  <c r="AY75" i="25"/>
  <c r="AY62" i="25"/>
  <c r="AY65" i="25"/>
  <c r="AY69" i="25"/>
  <c r="AY67" i="25"/>
  <c r="AY64" i="25"/>
  <c r="AY58" i="25"/>
  <c r="AY52" i="25"/>
  <c r="AY63" i="25"/>
  <c r="AY57" i="25"/>
  <c r="AY56" i="25"/>
  <c r="AY55" i="25"/>
  <c r="AY59" i="25"/>
  <c r="AY54" i="25"/>
  <c r="AY48" i="25"/>
  <c r="AY42" i="25"/>
  <c r="AY61" i="25"/>
  <c r="AY60" i="25"/>
  <c r="AY53" i="25"/>
  <c r="AY50" i="25"/>
  <c r="AY47" i="25"/>
  <c r="AY51" i="25"/>
  <c r="AY44" i="25"/>
  <c r="AY45" i="25"/>
  <c r="AY49" i="25"/>
  <c r="AY38" i="25"/>
  <c r="AY32" i="25"/>
  <c r="AY41" i="25"/>
  <c r="AY40" i="25"/>
  <c r="AY37" i="25"/>
  <c r="AY31" i="25"/>
  <c r="AY66" i="25"/>
  <c r="AY36" i="25"/>
  <c r="AY43" i="25"/>
  <c r="AY35" i="25"/>
  <c r="AY34" i="25"/>
  <c r="AY28" i="25"/>
  <c r="AY22" i="25"/>
  <c r="AY46" i="25"/>
  <c r="AY33" i="25"/>
  <c r="AY27" i="25"/>
  <c r="AY39" i="25"/>
  <c r="AY25" i="25"/>
  <c r="AY26" i="25"/>
  <c r="AY30" i="25"/>
  <c r="AY21" i="25"/>
  <c r="AY20" i="25"/>
  <c r="AY19" i="25"/>
  <c r="AY13" i="25"/>
  <c r="AY23" i="25"/>
  <c r="AY18" i="25"/>
  <c r="AY12" i="25"/>
  <c r="AY16" i="25"/>
  <c r="AY11" i="25"/>
  <c r="AY10" i="25"/>
  <c r="AY9" i="25"/>
  <c r="AY8" i="25"/>
  <c r="AY7" i="25"/>
  <c r="AZ5" i="25"/>
  <c r="AX4" i="25"/>
  <c r="AY17" i="25"/>
  <c r="AY29" i="25"/>
  <c r="AY14" i="25"/>
  <c r="AY15" i="25"/>
  <c r="AY24" i="25"/>
  <c r="BN115" i="25" l="1"/>
  <c r="AZ113" i="25"/>
  <c r="AZ112" i="25"/>
  <c r="AZ111" i="25"/>
  <c r="AZ110" i="25"/>
  <c r="AZ100" i="25"/>
  <c r="AZ106" i="25"/>
  <c r="AZ108" i="25"/>
  <c r="AZ105" i="25"/>
  <c r="AZ109" i="25"/>
  <c r="AZ107" i="25"/>
  <c r="AZ102" i="25"/>
  <c r="AZ103" i="25"/>
  <c r="AZ97" i="25"/>
  <c r="AZ98" i="25"/>
  <c r="AZ96" i="25"/>
  <c r="AZ114" i="25"/>
  <c r="AZ104" i="25"/>
  <c r="AZ89" i="25"/>
  <c r="AZ94" i="25"/>
  <c r="AZ101" i="25"/>
  <c r="AZ95" i="25"/>
  <c r="AZ92" i="25"/>
  <c r="AZ99" i="25"/>
  <c r="AZ90" i="25"/>
  <c r="AZ93" i="25"/>
  <c r="AZ91" i="25"/>
  <c r="AZ87" i="25"/>
  <c r="AZ86" i="25"/>
  <c r="AZ85" i="25"/>
  <c r="AZ88" i="25"/>
  <c r="AZ84" i="25"/>
  <c r="AZ83" i="25"/>
  <c r="AZ82" i="25"/>
  <c r="AZ81" i="25"/>
  <c r="AZ80" i="25"/>
  <c r="AZ74" i="25"/>
  <c r="AZ73" i="25"/>
  <c r="AZ72" i="25"/>
  <c r="AZ77" i="25"/>
  <c r="AZ71" i="25"/>
  <c r="AZ78" i="25"/>
  <c r="AZ76" i="25"/>
  <c r="AZ70" i="25"/>
  <c r="AZ75" i="25"/>
  <c r="AZ62" i="25"/>
  <c r="AZ68" i="25"/>
  <c r="AZ79" i="25"/>
  <c r="AZ65" i="25"/>
  <c r="AZ59" i="25"/>
  <c r="AZ69" i="25"/>
  <c r="AZ67" i="25"/>
  <c r="AZ64" i="25"/>
  <c r="AZ63" i="25"/>
  <c r="AZ57" i="25"/>
  <c r="AZ56" i="25"/>
  <c r="AZ58" i="25"/>
  <c r="AZ55" i="25"/>
  <c r="AZ54" i="25"/>
  <c r="AZ61" i="25"/>
  <c r="AZ60" i="25"/>
  <c r="AZ53" i="25"/>
  <c r="AZ47" i="25"/>
  <c r="AZ66" i="25"/>
  <c r="AZ50" i="25"/>
  <c r="AZ48" i="25"/>
  <c r="AZ51" i="25"/>
  <c r="AZ44" i="25"/>
  <c r="AZ45" i="25"/>
  <c r="AZ39" i="25"/>
  <c r="AZ49" i="25"/>
  <c r="AZ46" i="25"/>
  <c r="AZ41" i="25"/>
  <c r="AZ40" i="25"/>
  <c r="AZ37" i="25"/>
  <c r="AZ31" i="25"/>
  <c r="AZ42" i="25"/>
  <c r="AZ36" i="25"/>
  <c r="AZ52" i="25"/>
  <c r="AZ43" i="25"/>
  <c r="AZ35" i="25"/>
  <c r="AZ34" i="25"/>
  <c r="AZ33" i="25"/>
  <c r="AZ25" i="25"/>
  <c r="AZ38" i="25"/>
  <c r="AZ26" i="25"/>
  <c r="AZ30" i="25"/>
  <c r="AZ21" i="25"/>
  <c r="AZ27" i="25"/>
  <c r="AZ20" i="25"/>
  <c r="AZ22" i="25"/>
  <c r="AZ19" i="25"/>
  <c r="AZ32" i="25"/>
  <c r="AZ28" i="25"/>
  <c r="AZ23" i="25"/>
  <c r="AZ29" i="25"/>
  <c r="AZ24" i="25"/>
  <c r="AZ18" i="25"/>
  <c r="BA5" i="25"/>
  <c r="AZ11" i="25"/>
  <c r="AZ10" i="25"/>
  <c r="AZ9" i="25"/>
  <c r="AZ8" i="25"/>
  <c r="AZ7" i="25"/>
  <c r="AZ17" i="25"/>
  <c r="AZ12" i="25"/>
  <c r="AZ13" i="25"/>
  <c r="AZ14" i="25"/>
  <c r="AZ15" i="25"/>
  <c r="AZ16" i="25"/>
  <c r="BA113" i="25" l="1"/>
  <c r="BA109" i="25"/>
  <c r="BA112" i="25"/>
  <c r="BA111" i="25"/>
  <c r="BA108" i="25"/>
  <c r="BA106" i="25"/>
  <c r="BA105" i="25"/>
  <c r="BO115" i="25"/>
  <c r="BA103" i="25"/>
  <c r="BA104" i="25"/>
  <c r="BA98" i="25"/>
  <c r="BA96" i="25"/>
  <c r="BA95" i="25"/>
  <c r="BA94" i="25"/>
  <c r="BA97" i="25"/>
  <c r="BA89" i="25"/>
  <c r="BA107" i="25"/>
  <c r="BA101" i="25"/>
  <c r="BA100" i="25"/>
  <c r="BA114" i="25"/>
  <c r="BA99" i="25"/>
  <c r="BA90" i="25"/>
  <c r="BA102" i="25"/>
  <c r="BA93" i="25"/>
  <c r="BA87" i="25"/>
  <c r="BA110" i="25"/>
  <c r="BA91" i="25"/>
  <c r="BA86" i="25"/>
  <c r="BA85" i="25"/>
  <c r="BA88" i="25"/>
  <c r="BA84" i="25"/>
  <c r="BA92" i="25"/>
  <c r="BA82" i="25"/>
  <c r="BA79" i="25"/>
  <c r="BA81" i="25"/>
  <c r="BA80" i="25"/>
  <c r="BA83" i="25"/>
  <c r="BA73" i="25"/>
  <c r="BA72" i="25"/>
  <c r="BA77" i="25"/>
  <c r="BA71" i="25"/>
  <c r="BA78" i="25"/>
  <c r="BA76" i="25"/>
  <c r="BA70" i="25"/>
  <c r="BA75" i="25"/>
  <c r="BA69" i="25"/>
  <c r="BA61" i="25"/>
  <c r="BA68" i="25"/>
  <c r="BA65" i="25"/>
  <c r="BA74" i="25"/>
  <c r="BA67" i="25"/>
  <c r="BA64" i="25"/>
  <c r="BA66" i="25"/>
  <c r="BA63" i="25"/>
  <c r="BA57" i="25"/>
  <c r="BA51" i="25"/>
  <c r="BA56" i="25"/>
  <c r="BA58" i="25"/>
  <c r="BA55" i="25"/>
  <c r="BA59" i="25"/>
  <c r="BA54" i="25"/>
  <c r="BA62" i="25"/>
  <c r="BA60" i="25"/>
  <c r="BA53" i="25"/>
  <c r="BA47" i="25"/>
  <c r="BA48" i="25"/>
  <c r="BA44" i="25"/>
  <c r="BA45" i="25"/>
  <c r="BA49" i="25"/>
  <c r="BA46" i="25"/>
  <c r="BA52" i="25"/>
  <c r="BA41" i="25"/>
  <c r="BA40" i="25"/>
  <c r="BA37" i="25"/>
  <c r="BA31" i="25"/>
  <c r="BA42" i="25"/>
  <c r="BA36" i="25"/>
  <c r="BA43" i="25"/>
  <c r="BA35" i="25"/>
  <c r="BA34" i="25"/>
  <c r="BA50" i="25"/>
  <c r="BA33" i="25"/>
  <c r="BA27" i="25"/>
  <c r="BA39" i="25"/>
  <c r="BA38" i="25"/>
  <c r="BA32" i="25"/>
  <c r="BA26" i="25"/>
  <c r="BA30" i="25"/>
  <c r="BA21" i="25"/>
  <c r="BA20" i="25"/>
  <c r="BA22" i="25"/>
  <c r="BA28" i="25"/>
  <c r="BA23" i="25"/>
  <c r="BA18" i="25"/>
  <c r="BA29" i="25"/>
  <c r="BA24" i="25"/>
  <c r="BA17" i="25"/>
  <c r="BA11" i="25"/>
  <c r="BA10" i="25"/>
  <c r="BA9" i="25"/>
  <c r="BA8" i="25"/>
  <c r="BA7" i="25"/>
  <c r="BB5" i="25"/>
  <c r="BA12" i="25"/>
  <c r="BA13" i="25"/>
  <c r="BA14" i="25"/>
  <c r="BA15" i="25"/>
  <c r="BA19" i="25"/>
  <c r="BA16" i="25"/>
  <c r="BA25" i="25"/>
  <c r="BP115" i="25" l="1"/>
  <c r="BB113" i="25"/>
  <c r="BB112" i="25"/>
  <c r="BB111" i="25"/>
  <c r="BB114" i="25"/>
  <c r="BB105" i="25"/>
  <c r="BB108" i="25"/>
  <c r="BB104" i="25"/>
  <c r="BB103" i="25"/>
  <c r="BB109" i="25"/>
  <c r="BB96" i="25"/>
  <c r="BB107" i="25"/>
  <c r="BB95" i="25"/>
  <c r="BB94" i="25"/>
  <c r="BB97" i="25"/>
  <c r="BB93" i="25"/>
  <c r="BB101" i="25"/>
  <c r="BB100" i="25"/>
  <c r="BB110" i="25"/>
  <c r="BB102" i="25"/>
  <c r="BB98" i="25"/>
  <c r="BB90" i="25"/>
  <c r="BB91" i="25"/>
  <c r="BB106" i="25"/>
  <c r="BB86" i="25"/>
  <c r="BB85" i="25"/>
  <c r="BB88" i="25"/>
  <c r="BB87" i="25"/>
  <c r="BB84" i="25"/>
  <c r="BB99" i="25"/>
  <c r="BB92" i="25"/>
  <c r="BB82" i="25"/>
  <c r="BB89" i="25"/>
  <c r="BB79" i="25"/>
  <c r="BB81" i="25"/>
  <c r="BB80" i="25"/>
  <c r="BB83" i="25"/>
  <c r="BB73" i="25"/>
  <c r="BB72" i="25"/>
  <c r="BB77" i="25"/>
  <c r="BB71" i="25"/>
  <c r="BB78" i="25"/>
  <c r="BB76" i="25"/>
  <c r="BB70" i="25"/>
  <c r="BB75" i="25"/>
  <c r="BB69" i="25"/>
  <c r="BB68" i="25"/>
  <c r="BB65" i="25"/>
  <c r="BB74" i="25"/>
  <c r="BB67" i="25"/>
  <c r="BB64" i="25"/>
  <c r="BB58" i="25"/>
  <c r="BB66" i="25"/>
  <c r="BB63" i="25"/>
  <c r="BB56" i="25"/>
  <c r="BB55" i="25"/>
  <c r="BB59" i="25"/>
  <c r="BB54" i="25"/>
  <c r="BB62" i="25"/>
  <c r="BB60" i="25"/>
  <c r="BB53" i="25"/>
  <c r="BB61" i="25"/>
  <c r="BB52" i="25"/>
  <c r="BB46" i="25"/>
  <c r="BB47" i="25"/>
  <c r="BB48" i="25"/>
  <c r="BB51" i="25"/>
  <c r="BB45" i="25"/>
  <c r="BB49" i="25"/>
  <c r="BB57" i="25"/>
  <c r="BB50" i="25"/>
  <c r="BB42" i="25"/>
  <c r="BB36" i="25"/>
  <c r="BB43" i="25"/>
  <c r="BB35" i="25"/>
  <c r="BB44" i="25"/>
  <c r="BB34" i="25"/>
  <c r="BB33" i="25"/>
  <c r="BB39" i="25"/>
  <c r="BB38" i="25"/>
  <c r="BB32" i="25"/>
  <c r="BB41" i="25"/>
  <c r="BB40" i="25"/>
  <c r="BB31" i="25"/>
  <c r="BB30" i="25"/>
  <c r="BB26" i="25"/>
  <c r="BB21" i="25"/>
  <c r="BB20" i="25"/>
  <c r="BB27" i="25"/>
  <c r="BB22" i="25"/>
  <c r="BB37" i="25"/>
  <c r="BB19" i="25"/>
  <c r="BB28" i="25"/>
  <c r="BB23" i="25"/>
  <c r="BB29" i="25"/>
  <c r="BB24" i="25"/>
  <c r="BB25" i="25"/>
  <c r="BB10" i="25"/>
  <c r="BB9" i="25"/>
  <c r="BB8" i="25"/>
  <c r="BB7" i="25"/>
  <c r="BC5" i="25"/>
  <c r="BB12" i="25"/>
  <c r="BB11" i="25"/>
  <c r="BB17" i="25"/>
  <c r="BB13" i="25"/>
  <c r="BB14" i="25"/>
  <c r="BB15" i="25"/>
  <c r="BB16" i="25"/>
  <c r="BB18" i="25"/>
  <c r="BQ115" i="25" l="1"/>
  <c r="BC114" i="25"/>
  <c r="BC113" i="25"/>
  <c r="BC112" i="25"/>
  <c r="BC111" i="25"/>
  <c r="BC107" i="25"/>
  <c r="BC108" i="25"/>
  <c r="BC104" i="25"/>
  <c r="BC102" i="25"/>
  <c r="BC110" i="25"/>
  <c r="BC109" i="25"/>
  <c r="BC97" i="25"/>
  <c r="BC96" i="25"/>
  <c r="BC99" i="25"/>
  <c r="BC105" i="25"/>
  <c r="BC103" i="25"/>
  <c r="BC101" i="25"/>
  <c r="BC100" i="25"/>
  <c r="BC106" i="25"/>
  <c r="BC95" i="25"/>
  <c r="BC98" i="25"/>
  <c r="BC93" i="25"/>
  <c r="BC91" i="25"/>
  <c r="BC94" i="25"/>
  <c r="BC86" i="25"/>
  <c r="BC92" i="25"/>
  <c r="BC85" i="25"/>
  <c r="BC88" i="25"/>
  <c r="BC87" i="25"/>
  <c r="BC84" i="25"/>
  <c r="BC90" i="25"/>
  <c r="BC89" i="25"/>
  <c r="BC81" i="25"/>
  <c r="BC79" i="25"/>
  <c r="BC82" i="25"/>
  <c r="BC80" i="25"/>
  <c r="BC83" i="25"/>
  <c r="BC72" i="25"/>
  <c r="BC77" i="25"/>
  <c r="BC71" i="25"/>
  <c r="BC78" i="25"/>
  <c r="BC76" i="25"/>
  <c r="BC70" i="25"/>
  <c r="BC75" i="25"/>
  <c r="BC69" i="25"/>
  <c r="BC74" i="25"/>
  <c r="BC68" i="25"/>
  <c r="BC65" i="25"/>
  <c r="BC67" i="25"/>
  <c r="BC64" i="25"/>
  <c r="BC66" i="25"/>
  <c r="BC63" i="25"/>
  <c r="BC62" i="25"/>
  <c r="BC56" i="25"/>
  <c r="BC73" i="25"/>
  <c r="BC58" i="25"/>
  <c r="BC55" i="25"/>
  <c r="BC59" i="25"/>
  <c r="BC54" i="25"/>
  <c r="BC60" i="25"/>
  <c r="BC53" i="25"/>
  <c r="BC61" i="25"/>
  <c r="BC52" i="25"/>
  <c r="BC46" i="25"/>
  <c r="BC57" i="25"/>
  <c r="BC48" i="25"/>
  <c r="BC51" i="25"/>
  <c r="BC44" i="25"/>
  <c r="BC45" i="25"/>
  <c r="BC49" i="25"/>
  <c r="BC50" i="25"/>
  <c r="BC42" i="25"/>
  <c r="BC36" i="25"/>
  <c r="BC43" i="25"/>
  <c r="BC35" i="25"/>
  <c r="BC34" i="25"/>
  <c r="BC33" i="25"/>
  <c r="BC39" i="25"/>
  <c r="BC38" i="25"/>
  <c r="BC32" i="25"/>
  <c r="BC26" i="25"/>
  <c r="BC47" i="25"/>
  <c r="BC41" i="25"/>
  <c r="BC40" i="25"/>
  <c r="BC37" i="25"/>
  <c r="BC31" i="25"/>
  <c r="BC25" i="25"/>
  <c r="BC30" i="25"/>
  <c r="BC21" i="25"/>
  <c r="BC20" i="25"/>
  <c r="BC27" i="25"/>
  <c r="BC22" i="25"/>
  <c r="BC28" i="25"/>
  <c r="BC23" i="25"/>
  <c r="BC29" i="25"/>
  <c r="BC24" i="25"/>
  <c r="BC17" i="25"/>
  <c r="BC16" i="25"/>
  <c r="BC10" i="25"/>
  <c r="BC12" i="25"/>
  <c r="BC11" i="25"/>
  <c r="BC13" i="25"/>
  <c r="BB4" i="25"/>
  <c r="BC14" i="25"/>
  <c r="BD5" i="25"/>
  <c r="BC15" i="25"/>
  <c r="BC9" i="25"/>
  <c r="BC19" i="25"/>
  <c r="BC8" i="25"/>
  <c r="BC7" i="25"/>
  <c r="BC18" i="25"/>
  <c r="BD114" i="25" l="1"/>
  <c r="BD111" i="25"/>
  <c r="BD107" i="25"/>
  <c r="BD104" i="25"/>
  <c r="BR115" i="25"/>
  <c r="BD112" i="25"/>
  <c r="BD103" i="25"/>
  <c r="BD110" i="25"/>
  <c r="BD105" i="25"/>
  <c r="BD108" i="25"/>
  <c r="BD100" i="25"/>
  <c r="BD95" i="25"/>
  <c r="BD106" i="25"/>
  <c r="BD99" i="25"/>
  <c r="BD92" i="25"/>
  <c r="BD109" i="25"/>
  <c r="BD101" i="25"/>
  <c r="BD94" i="25"/>
  <c r="BD98" i="25"/>
  <c r="BD102" i="25"/>
  <c r="BD113" i="25"/>
  <c r="BD96" i="25"/>
  <c r="BD93" i="25"/>
  <c r="BD91" i="25"/>
  <c r="BD97" i="25"/>
  <c r="BD89" i="25"/>
  <c r="BD88" i="25"/>
  <c r="BD87" i="25"/>
  <c r="BD86" i="25"/>
  <c r="BD84" i="25"/>
  <c r="BD90" i="25"/>
  <c r="BD85" i="25"/>
  <c r="BD82" i="25"/>
  <c r="BD78" i="25"/>
  <c r="BD80" i="25"/>
  <c r="BD83" i="25"/>
  <c r="BD81" i="25"/>
  <c r="BD72" i="25"/>
  <c r="BD77" i="25"/>
  <c r="BD71" i="25"/>
  <c r="BD76" i="25"/>
  <c r="BD70" i="25"/>
  <c r="BD75" i="25"/>
  <c r="BD69" i="25"/>
  <c r="BD74" i="25"/>
  <c r="BD68" i="25"/>
  <c r="BD65" i="25"/>
  <c r="BD79" i="25"/>
  <c r="BD67" i="25"/>
  <c r="BD64" i="25"/>
  <c r="BD66" i="25"/>
  <c r="BD63" i="25"/>
  <c r="BD57" i="25"/>
  <c r="BD62" i="25"/>
  <c r="BD73" i="25"/>
  <c r="BD58" i="25"/>
  <c r="BD55" i="25"/>
  <c r="BD59" i="25"/>
  <c r="BD54" i="25"/>
  <c r="BD60" i="25"/>
  <c r="BD53" i="25"/>
  <c r="BD61" i="25"/>
  <c r="BD52" i="25"/>
  <c r="BD51" i="25"/>
  <c r="BD45" i="25"/>
  <c r="BD48" i="25"/>
  <c r="BD44" i="25"/>
  <c r="BD49" i="25"/>
  <c r="BD50" i="25"/>
  <c r="BD46" i="25"/>
  <c r="BD47" i="25"/>
  <c r="BD43" i="25"/>
  <c r="BD35" i="25"/>
  <c r="BD34" i="25"/>
  <c r="BD33" i="25"/>
  <c r="BD56" i="25"/>
  <c r="BD39" i="25"/>
  <c r="BD38" i="25"/>
  <c r="BD32" i="25"/>
  <c r="BD41" i="25"/>
  <c r="BD40" i="25"/>
  <c r="BD37" i="25"/>
  <c r="BD31" i="25"/>
  <c r="BD26" i="25"/>
  <c r="BD20" i="25"/>
  <c r="BD42" i="25"/>
  <c r="BD27" i="25"/>
  <c r="BD22" i="25"/>
  <c r="BD19" i="25"/>
  <c r="BD28" i="25"/>
  <c r="BD23" i="25"/>
  <c r="BD18" i="25"/>
  <c r="BD29" i="25"/>
  <c r="BD24" i="25"/>
  <c r="BD36" i="25"/>
  <c r="BD25" i="25"/>
  <c r="BD13" i="25"/>
  <c r="BD10" i="25"/>
  <c r="BD17" i="25"/>
  <c r="BD14" i="25"/>
  <c r="BD21" i="25"/>
  <c r="BD15" i="25"/>
  <c r="BD30" i="25"/>
  <c r="BD16" i="25"/>
  <c r="BD7" i="25"/>
  <c r="BD9" i="25"/>
  <c r="BD8" i="25"/>
  <c r="BE5" i="25"/>
  <c r="BD12" i="25"/>
  <c r="BD11" i="25"/>
  <c r="BE112" i="25" l="1"/>
  <c r="BE114" i="25"/>
  <c r="BE107" i="25"/>
  <c r="BS115" i="25"/>
  <c r="BE103" i="25"/>
  <c r="BE113" i="25"/>
  <c r="BE109" i="25"/>
  <c r="BE110" i="25"/>
  <c r="BE105" i="25"/>
  <c r="BE108" i="25"/>
  <c r="BE106" i="25"/>
  <c r="BE104" i="25"/>
  <c r="BE100" i="25"/>
  <c r="BE99" i="25"/>
  <c r="BE102" i="25"/>
  <c r="BE101" i="25"/>
  <c r="BE94" i="25"/>
  <c r="BE95" i="25"/>
  <c r="BE96" i="25"/>
  <c r="BE92" i="25"/>
  <c r="BE93" i="25"/>
  <c r="BE111" i="25"/>
  <c r="BE98" i="25"/>
  <c r="BE91" i="25"/>
  <c r="BE97" i="25"/>
  <c r="BE84" i="25"/>
  <c r="BE90" i="25"/>
  <c r="BE89" i="25"/>
  <c r="BE80" i="25"/>
  <c r="BE85" i="25"/>
  <c r="BE82" i="25"/>
  <c r="BE88" i="25"/>
  <c r="BE83" i="25"/>
  <c r="BE81" i="25"/>
  <c r="BE87" i="25"/>
  <c r="BE86" i="25"/>
  <c r="BE77" i="25"/>
  <c r="BE71" i="25"/>
  <c r="BE78" i="25"/>
  <c r="BE76" i="25"/>
  <c r="BE70" i="25"/>
  <c r="BE75" i="25"/>
  <c r="BE69" i="25"/>
  <c r="BE74" i="25"/>
  <c r="BE68" i="25"/>
  <c r="BE79" i="25"/>
  <c r="BE73" i="25"/>
  <c r="BE65" i="25"/>
  <c r="BE67" i="25"/>
  <c r="BE64" i="25"/>
  <c r="BE72" i="25"/>
  <c r="BE66" i="25"/>
  <c r="BE63" i="25"/>
  <c r="BE62" i="25"/>
  <c r="BE61" i="25"/>
  <c r="BE58" i="25"/>
  <c r="BE55" i="25"/>
  <c r="BE59" i="25"/>
  <c r="BE54" i="25"/>
  <c r="BE60" i="25"/>
  <c r="BE53" i="25"/>
  <c r="BE52" i="25"/>
  <c r="BE51" i="25"/>
  <c r="BE45" i="25"/>
  <c r="BE57" i="25"/>
  <c r="BE56" i="25"/>
  <c r="BE44" i="25"/>
  <c r="BE49" i="25"/>
  <c r="BE50" i="25"/>
  <c r="BE46" i="25"/>
  <c r="BE47" i="25"/>
  <c r="BE42" i="25"/>
  <c r="BE43" i="25"/>
  <c r="BE35" i="25"/>
  <c r="BE34" i="25"/>
  <c r="BE33" i="25"/>
  <c r="BE39" i="25"/>
  <c r="BE38" i="25"/>
  <c r="BE32" i="25"/>
  <c r="BE48" i="25"/>
  <c r="BE41" i="25"/>
  <c r="BE40" i="25"/>
  <c r="BE37" i="25"/>
  <c r="BE31" i="25"/>
  <c r="BE25" i="25"/>
  <c r="BE36" i="25"/>
  <c r="BE30" i="25"/>
  <c r="BE24" i="25"/>
  <c r="BE20" i="25"/>
  <c r="BE27" i="25"/>
  <c r="BE22" i="25"/>
  <c r="BE19" i="25"/>
  <c r="BE28" i="25"/>
  <c r="BE23" i="25"/>
  <c r="BE29" i="25"/>
  <c r="BE16" i="25"/>
  <c r="BE21" i="25"/>
  <c r="BE15" i="25"/>
  <c r="BE9" i="25"/>
  <c r="BE17" i="25"/>
  <c r="BE14" i="25"/>
  <c r="BE13" i="25"/>
  <c r="BE26" i="25"/>
  <c r="BE18" i="25"/>
  <c r="BE8" i="25"/>
  <c r="BE7" i="25"/>
  <c r="BF5" i="25"/>
  <c r="BE12" i="25"/>
  <c r="BE11" i="25"/>
  <c r="BE10" i="25"/>
  <c r="BF114" i="25" l="1"/>
  <c r="BF113" i="25"/>
  <c r="BT115" i="25"/>
  <c r="BF106" i="25"/>
  <c r="BF108" i="25"/>
  <c r="BF103" i="25"/>
  <c r="BF112" i="25"/>
  <c r="BF109" i="25"/>
  <c r="BF110" i="25"/>
  <c r="BF102" i="25"/>
  <c r="BF104" i="25"/>
  <c r="BF100" i="25"/>
  <c r="BF105" i="25"/>
  <c r="BF101" i="25"/>
  <c r="BF94" i="25"/>
  <c r="BF107" i="25"/>
  <c r="BF95" i="25"/>
  <c r="BF96" i="25"/>
  <c r="BF98" i="25"/>
  <c r="BF99" i="25"/>
  <c r="BF111" i="25"/>
  <c r="BF91" i="25"/>
  <c r="BF93" i="25"/>
  <c r="BF97" i="25"/>
  <c r="BF89" i="25"/>
  <c r="BF92" i="25"/>
  <c r="BF90" i="25"/>
  <c r="BF88" i="25"/>
  <c r="BF87" i="25"/>
  <c r="BF86" i="25"/>
  <c r="BF85" i="25"/>
  <c r="BF83" i="25"/>
  <c r="BF81" i="25"/>
  <c r="BF80" i="25"/>
  <c r="BF84" i="25"/>
  <c r="BF79" i="25"/>
  <c r="BF77" i="25"/>
  <c r="BF71" i="25"/>
  <c r="BF78" i="25"/>
  <c r="BF76" i="25"/>
  <c r="BF70" i="25"/>
  <c r="BF75" i="25"/>
  <c r="BF69" i="25"/>
  <c r="BF82" i="25"/>
  <c r="BF74" i="25"/>
  <c r="BF73" i="25"/>
  <c r="BF67" i="25"/>
  <c r="BF68" i="25"/>
  <c r="BF65" i="25"/>
  <c r="BF64" i="25"/>
  <c r="BF72" i="25"/>
  <c r="BF66" i="25"/>
  <c r="BF63" i="25"/>
  <c r="BF62" i="25"/>
  <c r="BF59" i="25"/>
  <c r="BF54" i="25"/>
  <c r="BF60" i="25"/>
  <c r="BF53" i="25"/>
  <c r="BF61" i="25"/>
  <c r="BF52" i="25"/>
  <c r="BF51" i="25"/>
  <c r="BF57" i="25"/>
  <c r="BF56" i="25"/>
  <c r="BF50" i="25"/>
  <c r="BF44" i="25"/>
  <c r="BF55" i="25"/>
  <c r="BF49" i="25"/>
  <c r="BF45" i="25"/>
  <c r="BF46" i="25"/>
  <c r="BF58" i="25"/>
  <c r="BF47" i="25"/>
  <c r="BF42" i="25"/>
  <c r="BF48" i="25"/>
  <c r="BF41" i="25"/>
  <c r="BF34" i="25"/>
  <c r="BF33" i="25"/>
  <c r="BF39" i="25"/>
  <c r="BF38" i="25"/>
  <c r="BF32" i="25"/>
  <c r="BF40" i="25"/>
  <c r="BF37" i="25"/>
  <c r="BF36" i="25"/>
  <c r="BF30" i="25"/>
  <c r="BF31" i="25"/>
  <c r="BF27" i="25"/>
  <c r="BF22" i="25"/>
  <c r="BF19" i="25"/>
  <c r="BF28" i="25"/>
  <c r="BF23" i="25"/>
  <c r="BF18" i="25"/>
  <c r="BF43" i="25"/>
  <c r="BF29" i="25"/>
  <c r="BF24" i="25"/>
  <c r="BF17" i="25"/>
  <c r="BF25" i="25"/>
  <c r="BF21" i="25"/>
  <c r="BF26" i="25"/>
  <c r="BF14" i="25"/>
  <c r="BF15" i="25"/>
  <c r="BF20" i="25"/>
  <c r="BF16" i="25"/>
  <c r="BF35" i="25"/>
  <c r="BF8" i="25"/>
  <c r="BF7" i="25"/>
  <c r="BG5" i="25"/>
  <c r="BF12" i="25"/>
  <c r="BF11" i="25"/>
  <c r="BF10" i="25"/>
  <c r="BF9" i="25"/>
  <c r="BF13" i="25"/>
  <c r="BU115" i="25" l="1"/>
  <c r="BG111" i="25"/>
  <c r="BG114" i="25"/>
  <c r="BG108" i="25"/>
  <c r="BG109" i="25"/>
  <c r="BG112" i="25"/>
  <c r="BG113" i="25"/>
  <c r="BG110" i="25"/>
  <c r="BG102" i="25"/>
  <c r="BG107" i="25"/>
  <c r="BG106" i="25"/>
  <c r="BG105" i="25"/>
  <c r="BG101" i="25"/>
  <c r="BG100" i="25"/>
  <c r="BG95" i="25"/>
  <c r="BG96" i="25"/>
  <c r="BG98" i="25"/>
  <c r="BG97" i="25"/>
  <c r="BG94" i="25"/>
  <c r="BG104" i="25"/>
  <c r="BG103" i="25"/>
  <c r="BG91" i="25"/>
  <c r="BG93" i="25"/>
  <c r="BG92" i="25"/>
  <c r="BG90" i="25"/>
  <c r="BG89" i="25"/>
  <c r="BG99" i="25"/>
  <c r="BG85" i="25"/>
  <c r="BG83" i="25"/>
  <c r="BG81" i="25"/>
  <c r="BG80" i="25"/>
  <c r="BG88" i="25"/>
  <c r="BG87" i="25"/>
  <c r="BG86" i="25"/>
  <c r="BG84" i="25"/>
  <c r="BG78" i="25"/>
  <c r="BG76" i="25"/>
  <c r="BG70" i="25"/>
  <c r="BG75" i="25"/>
  <c r="BG69" i="25"/>
  <c r="BG82" i="25"/>
  <c r="BG74" i="25"/>
  <c r="BG73" i="25"/>
  <c r="BG67" i="25"/>
  <c r="BG79" i="25"/>
  <c r="BG72" i="25"/>
  <c r="BG77" i="25"/>
  <c r="BG64" i="25"/>
  <c r="BG66" i="25"/>
  <c r="BG63" i="25"/>
  <c r="BG62" i="25"/>
  <c r="BG61" i="25"/>
  <c r="BG71" i="25"/>
  <c r="BG60" i="25"/>
  <c r="BG59" i="25"/>
  <c r="BG54" i="25"/>
  <c r="BG65" i="25"/>
  <c r="BG53" i="25"/>
  <c r="BG52" i="25"/>
  <c r="BG51" i="25"/>
  <c r="BG57" i="25"/>
  <c r="BG56" i="25"/>
  <c r="BG50" i="25"/>
  <c r="BG44" i="25"/>
  <c r="BG58" i="25"/>
  <c r="BG55" i="25"/>
  <c r="BG49" i="25"/>
  <c r="BG45" i="25"/>
  <c r="BG68" i="25"/>
  <c r="BG46" i="25"/>
  <c r="BG47" i="25"/>
  <c r="BG42" i="25"/>
  <c r="BG48" i="25"/>
  <c r="BG41" i="25"/>
  <c r="BG43" i="25"/>
  <c r="BG34" i="25"/>
  <c r="BG33" i="25"/>
  <c r="BG39" i="25"/>
  <c r="BG38" i="25"/>
  <c r="BG32" i="25"/>
  <c r="BG40" i="25"/>
  <c r="BG37" i="25"/>
  <c r="BG36" i="25"/>
  <c r="BG30" i="25"/>
  <c r="BG24" i="25"/>
  <c r="BG35" i="25"/>
  <c r="BG29" i="25"/>
  <c r="BG23" i="25"/>
  <c r="BG19" i="25"/>
  <c r="BG28" i="25"/>
  <c r="BG25" i="25"/>
  <c r="BG21" i="25"/>
  <c r="BG15" i="25"/>
  <c r="BG26" i="25"/>
  <c r="BG20" i="25"/>
  <c r="BG14" i="25"/>
  <c r="BG8" i="25"/>
  <c r="BG22" i="25"/>
  <c r="BG17" i="25"/>
  <c r="BF4" i="25"/>
  <c r="BG16" i="25"/>
  <c r="BH5" i="25"/>
  <c r="BG7" i="25"/>
  <c r="BG31" i="25"/>
  <c r="BG27" i="25"/>
  <c r="BG18" i="25"/>
  <c r="BG12" i="25"/>
  <c r="BG11" i="25"/>
  <c r="BG10" i="25"/>
  <c r="BG9" i="25"/>
  <c r="BG13" i="25"/>
  <c r="BV115" i="25" l="1"/>
  <c r="BH114" i="25"/>
  <c r="BH112" i="25"/>
  <c r="BH108" i="25"/>
  <c r="BH109" i="25"/>
  <c r="BH105" i="25"/>
  <c r="BH113" i="25"/>
  <c r="BH111" i="25"/>
  <c r="BH110" i="25"/>
  <c r="BH102" i="25"/>
  <c r="BH107" i="25"/>
  <c r="BH106" i="25"/>
  <c r="BH100" i="25"/>
  <c r="BH101" i="25"/>
  <c r="BH99" i="25"/>
  <c r="BH95" i="25"/>
  <c r="BH96" i="25"/>
  <c r="BH91" i="25"/>
  <c r="BH98" i="25"/>
  <c r="BH97" i="25"/>
  <c r="BH93" i="25"/>
  <c r="BH92" i="25"/>
  <c r="BH89" i="25"/>
  <c r="BH90" i="25"/>
  <c r="BH94" i="25"/>
  <c r="BH103" i="25"/>
  <c r="BH85" i="25"/>
  <c r="BH88" i="25"/>
  <c r="BH87" i="25"/>
  <c r="BH86" i="25"/>
  <c r="BH104" i="25"/>
  <c r="BH84" i="25"/>
  <c r="BH79" i="25"/>
  <c r="BH82" i="25"/>
  <c r="BH78" i="25"/>
  <c r="BH76" i="25"/>
  <c r="BH70" i="25"/>
  <c r="BH75" i="25"/>
  <c r="BH69" i="25"/>
  <c r="BH83" i="25"/>
  <c r="BH74" i="25"/>
  <c r="BH81" i="25"/>
  <c r="BH73" i="25"/>
  <c r="BH72" i="25"/>
  <c r="BH80" i="25"/>
  <c r="BH77" i="25"/>
  <c r="BH64" i="25"/>
  <c r="BH67" i="25"/>
  <c r="BH66" i="25"/>
  <c r="BH63" i="25"/>
  <c r="BH61" i="25"/>
  <c r="BH71" i="25"/>
  <c r="BH65" i="25"/>
  <c r="BH53" i="25"/>
  <c r="BH60" i="25"/>
  <c r="BH52" i="25"/>
  <c r="BH51" i="25"/>
  <c r="BH62" i="25"/>
  <c r="BH57" i="25"/>
  <c r="BH56" i="25"/>
  <c r="BH50" i="25"/>
  <c r="BH58" i="25"/>
  <c r="BH55" i="25"/>
  <c r="BH49" i="25"/>
  <c r="BH43" i="25"/>
  <c r="BH68" i="25"/>
  <c r="BH45" i="25"/>
  <c r="BH54" i="25"/>
  <c r="BH46" i="25"/>
  <c r="BH59" i="25"/>
  <c r="BH47" i="25"/>
  <c r="BH48" i="25"/>
  <c r="BH41" i="25"/>
  <c r="BH40" i="25"/>
  <c r="BH33" i="25"/>
  <c r="BH44" i="25"/>
  <c r="BH39" i="25"/>
  <c r="BH38" i="25"/>
  <c r="BH32" i="25"/>
  <c r="BH37" i="25"/>
  <c r="BH36" i="25"/>
  <c r="BH35" i="25"/>
  <c r="BH42" i="25"/>
  <c r="BH28" i="25"/>
  <c r="BH34" i="25"/>
  <c r="BH23" i="25"/>
  <c r="BH29" i="25"/>
  <c r="BH24" i="25"/>
  <c r="BH25" i="25"/>
  <c r="BH21" i="25"/>
  <c r="BH26" i="25"/>
  <c r="BH20" i="25"/>
  <c r="BH31" i="25"/>
  <c r="BH30" i="25"/>
  <c r="BH27" i="25"/>
  <c r="BH22" i="25"/>
  <c r="BH15" i="25"/>
  <c r="BH16" i="25"/>
  <c r="BH7" i="25"/>
  <c r="BI5" i="25"/>
  <c r="BH19" i="25"/>
  <c r="BH18" i="25"/>
  <c r="BH12" i="25"/>
  <c r="BH11" i="25"/>
  <c r="BH10" i="25"/>
  <c r="BH9" i="25"/>
  <c r="BH8" i="25"/>
  <c r="BH13" i="25"/>
  <c r="BH14" i="25"/>
  <c r="BH17" i="25"/>
  <c r="AX3" i="25"/>
  <c r="BI114" i="25" l="1"/>
  <c r="BW115" i="25"/>
  <c r="BI112" i="25"/>
  <c r="BI113" i="25"/>
  <c r="BI109" i="25"/>
  <c r="BI111" i="25"/>
  <c r="BI110" i="25"/>
  <c r="BI107" i="25"/>
  <c r="BI101" i="25"/>
  <c r="BI108" i="25"/>
  <c r="BI103" i="25"/>
  <c r="BI105" i="25"/>
  <c r="BI99" i="25"/>
  <c r="BI102" i="25"/>
  <c r="BI100" i="25"/>
  <c r="BI96" i="25"/>
  <c r="BI91" i="25"/>
  <c r="BI98" i="25"/>
  <c r="BI106" i="25"/>
  <c r="BI97" i="25"/>
  <c r="BI93" i="25"/>
  <c r="BI92" i="25"/>
  <c r="BI104" i="25"/>
  <c r="BI89" i="25"/>
  <c r="BI90" i="25"/>
  <c r="BI94" i="25"/>
  <c r="BI95" i="25"/>
  <c r="BI85" i="25"/>
  <c r="BI88" i="25"/>
  <c r="BI87" i="25"/>
  <c r="BI86" i="25"/>
  <c r="BI84" i="25"/>
  <c r="BI79" i="25"/>
  <c r="BI82" i="25"/>
  <c r="BI75" i="25"/>
  <c r="BI69" i="25"/>
  <c r="BI83" i="25"/>
  <c r="BI74" i="25"/>
  <c r="BI68" i="25"/>
  <c r="BI81" i="25"/>
  <c r="BI73" i="25"/>
  <c r="BI72" i="25"/>
  <c r="BI66" i="25"/>
  <c r="BI80" i="25"/>
  <c r="BI77" i="25"/>
  <c r="BI71" i="25"/>
  <c r="BI67" i="25"/>
  <c r="BI70" i="25"/>
  <c r="BI63" i="25"/>
  <c r="BI62" i="25"/>
  <c r="BI76" i="25"/>
  <c r="BI60" i="25"/>
  <c r="BI78" i="25"/>
  <c r="BI65" i="25"/>
  <c r="BI59" i="25"/>
  <c r="BI53" i="25"/>
  <c r="BI52" i="25"/>
  <c r="BI61" i="25"/>
  <c r="BI57" i="25"/>
  <c r="BI56" i="25"/>
  <c r="BI64" i="25"/>
  <c r="BI58" i="25"/>
  <c r="BI55" i="25"/>
  <c r="BI49" i="25"/>
  <c r="BI43" i="25"/>
  <c r="BI54" i="25"/>
  <c r="BI45" i="25"/>
  <c r="BI51" i="25"/>
  <c r="BI46" i="25"/>
  <c r="BI47" i="25"/>
  <c r="BI50" i="25"/>
  <c r="BI48" i="25"/>
  <c r="BI33" i="25"/>
  <c r="BI44" i="25"/>
  <c r="BI39" i="25"/>
  <c r="BI38" i="25"/>
  <c r="BI32" i="25"/>
  <c r="BI37" i="25"/>
  <c r="BI40" i="25"/>
  <c r="BI36" i="25"/>
  <c r="BI41" i="25"/>
  <c r="BI35" i="25"/>
  <c r="BI29" i="25"/>
  <c r="BI23" i="25"/>
  <c r="BI42" i="25"/>
  <c r="BI34" i="25"/>
  <c r="BI28" i="25"/>
  <c r="BI22" i="25"/>
  <c r="BI18" i="25"/>
  <c r="BI24" i="25"/>
  <c r="BI25" i="25"/>
  <c r="BI21" i="25"/>
  <c r="BI26" i="25"/>
  <c r="BI20" i="25"/>
  <c r="BI14" i="25"/>
  <c r="BI31" i="25"/>
  <c r="BI30" i="25"/>
  <c r="BI27" i="25"/>
  <c r="BI19" i="25"/>
  <c r="BI13" i="25"/>
  <c r="BI7" i="25"/>
  <c r="BI15" i="25"/>
  <c r="BI16" i="25"/>
  <c r="BJ5" i="25"/>
  <c r="BI12" i="25"/>
  <c r="BI11" i="25"/>
  <c r="BI10" i="25"/>
  <c r="BI9" i="25"/>
  <c r="BI8" i="25"/>
  <c r="BI17" i="25"/>
  <c r="BX115" i="25" l="1"/>
  <c r="BJ114" i="25"/>
  <c r="BJ113" i="25"/>
  <c r="BJ111" i="25"/>
  <c r="BJ110" i="25"/>
  <c r="BJ109" i="25"/>
  <c r="BJ101" i="25"/>
  <c r="BJ112" i="25"/>
  <c r="BJ99" i="25"/>
  <c r="BJ107" i="25"/>
  <c r="BJ106" i="25"/>
  <c r="BJ98" i="25"/>
  <c r="BJ108" i="25"/>
  <c r="BJ102" i="25"/>
  <c r="BJ100" i="25"/>
  <c r="BJ96" i="25"/>
  <c r="BJ90" i="25"/>
  <c r="BJ97" i="25"/>
  <c r="BJ103" i="25"/>
  <c r="BJ95" i="25"/>
  <c r="BJ91" i="25"/>
  <c r="BJ89" i="25"/>
  <c r="BJ93" i="25"/>
  <c r="BJ94" i="25"/>
  <c r="BJ92" i="25"/>
  <c r="BJ105" i="25"/>
  <c r="BJ104" i="25"/>
  <c r="BJ85" i="25"/>
  <c r="BJ88" i="25"/>
  <c r="BJ87" i="25"/>
  <c r="BJ86" i="25"/>
  <c r="BJ84" i="25"/>
  <c r="BJ82" i="25"/>
  <c r="BJ78" i="25"/>
  <c r="BJ83" i="25"/>
  <c r="BJ81" i="25"/>
  <c r="BJ80" i="25"/>
  <c r="BJ75" i="25"/>
  <c r="BJ69" i="25"/>
  <c r="BJ74" i="25"/>
  <c r="BJ73" i="25"/>
  <c r="BJ72" i="25"/>
  <c r="BJ79" i="25"/>
  <c r="BJ77" i="25"/>
  <c r="BJ71" i="25"/>
  <c r="BJ70" i="25"/>
  <c r="BJ63" i="25"/>
  <c r="BJ66" i="25"/>
  <c r="BJ62" i="25"/>
  <c r="BJ76" i="25"/>
  <c r="BJ60" i="25"/>
  <c r="BJ65" i="25"/>
  <c r="BJ68" i="25"/>
  <c r="BJ52" i="25"/>
  <c r="BJ61" i="25"/>
  <c r="BJ57" i="25"/>
  <c r="BJ56" i="25"/>
  <c r="BJ64" i="25"/>
  <c r="BJ58" i="25"/>
  <c r="BJ55" i="25"/>
  <c r="BJ49" i="25"/>
  <c r="BJ67" i="25"/>
  <c r="BJ54" i="25"/>
  <c r="BJ48" i="25"/>
  <c r="BJ42" i="25"/>
  <c r="BJ59" i="25"/>
  <c r="BJ45" i="25"/>
  <c r="BJ51" i="25"/>
  <c r="BJ46" i="25"/>
  <c r="BJ47" i="25"/>
  <c r="BJ50" i="25"/>
  <c r="BJ53" i="25"/>
  <c r="BJ40" i="25"/>
  <c r="BJ43" i="25"/>
  <c r="BJ44" i="25"/>
  <c r="BJ39" i="25"/>
  <c r="BJ38" i="25"/>
  <c r="BJ32" i="25"/>
  <c r="BJ37" i="25"/>
  <c r="BJ36" i="25"/>
  <c r="BJ41" i="25"/>
  <c r="BJ35" i="25"/>
  <c r="BJ34" i="25"/>
  <c r="BJ23" i="25"/>
  <c r="BJ29" i="25"/>
  <c r="BJ24" i="25"/>
  <c r="BJ33" i="25"/>
  <c r="BJ25" i="25"/>
  <c r="BJ21" i="25"/>
  <c r="BJ26" i="25"/>
  <c r="BJ20" i="25"/>
  <c r="BJ31" i="25"/>
  <c r="BJ30" i="25"/>
  <c r="BJ27" i="25"/>
  <c r="BJ22" i="25"/>
  <c r="BJ19" i="25"/>
  <c r="BJ15" i="25"/>
  <c r="BK5" i="25"/>
  <c r="BJ7" i="25"/>
  <c r="BJ16" i="25"/>
  <c r="BJ8" i="25"/>
  <c r="BJ12" i="25"/>
  <c r="BJ11" i="25"/>
  <c r="BJ10" i="25"/>
  <c r="BJ9" i="25"/>
  <c r="BJ18" i="25"/>
  <c r="BJ28" i="25"/>
  <c r="BJ13" i="25"/>
  <c r="BJ17" i="25"/>
  <c r="BJ14" i="25"/>
  <c r="BK113" i="25" l="1"/>
  <c r="BY115" i="25"/>
  <c r="BK114" i="25"/>
  <c r="BK110" i="25"/>
  <c r="BK100" i="25"/>
  <c r="BK112" i="25"/>
  <c r="BK107" i="25"/>
  <c r="BK106" i="25"/>
  <c r="BK98" i="25"/>
  <c r="BK111" i="25"/>
  <c r="BK101" i="25"/>
  <c r="BK104" i="25"/>
  <c r="BK109" i="25"/>
  <c r="BK90" i="25"/>
  <c r="BK97" i="25"/>
  <c r="BK93" i="25"/>
  <c r="BK92" i="25"/>
  <c r="BK108" i="25"/>
  <c r="BK96" i="25"/>
  <c r="BK94" i="25"/>
  <c r="BK105" i="25"/>
  <c r="BK91" i="25"/>
  <c r="BK102" i="25"/>
  <c r="BK89" i="25"/>
  <c r="BK95" i="25"/>
  <c r="BK88" i="25"/>
  <c r="BK99" i="25"/>
  <c r="BK103" i="25"/>
  <c r="BK85" i="25"/>
  <c r="BK87" i="25"/>
  <c r="BK86" i="25"/>
  <c r="BK84" i="25"/>
  <c r="BK83" i="25"/>
  <c r="BK79" i="25"/>
  <c r="BK82" i="25"/>
  <c r="BK81" i="25"/>
  <c r="BK80" i="25"/>
  <c r="BK74" i="25"/>
  <c r="BK68" i="25"/>
  <c r="BK73" i="25"/>
  <c r="BK72" i="25"/>
  <c r="BK77" i="25"/>
  <c r="BK71" i="25"/>
  <c r="BK76" i="25"/>
  <c r="BK70" i="25"/>
  <c r="BK66" i="25"/>
  <c r="BK62" i="25"/>
  <c r="BK69" i="25"/>
  <c r="BK65" i="25"/>
  <c r="BK78" i="25"/>
  <c r="BK64" i="25"/>
  <c r="BK58" i="25"/>
  <c r="BK63" i="25"/>
  <c r="BK52" i="25"/>
  <c r="BK60" i="25"/>
  <c r="BK75" i="25"/>
  <c r="BK61" i="25"/>
  <c r="BK57" i="25"/>
  <c r="BK56" i="25"/>
  <c r="BK55" i="25"/>
  <c r="BK67" i="25"/>
  <c r="BK54" i="25"/>
  <c r="BK48" i="25"/>
  <c r="BK42" i="25"/>
  <c r="BK59" i="25"/>
  <c r="BK53" i="25"/>
  <c r="BK51" i="25"/>
  <c r="BK49" i="25"/>
  <c r="BK46" i="25"/>
  <c r="BK47" i="25"/>
  <c r="BK50" i="25"/>
  <c r="BK43" i="25"/>
  <c r="BK44" i="25"/>
  <c r="BK38" i="25"/>
  <c r="BK32" i="25"/>
  <c r="BK39" i="25"/>
  <c r="BK37" i="25"/>
  <c r="BK31" i="25"/>
  <c r="BK40" i="25"/>
  <c r="BK36" i="25"/>
  <c r="BK41" i="25"/>
  <c r="BK35" i="25"/>
  <c r="BK34" i="25"/>
  <c r="BK28" i="25"/>
  <c r="BK22" i="25"/>
  <c r="BK45" i="25"/>
  <c r="BK33" i="25"/>
  <c r="BK27" i="25"/>
  <c r="BK29" i="25"/>
  <c r="BK24" i="25"/>
  <c r="BK25" i="25"/>
  <c r="BK21" i="25"/>
  <c r="BK26" i="25"/>
  <c r="BK20" i="25"/>
  <c r="BK30" i="25"/>
  <c r="BK19" i="25"/>
  <c r="BK13" i="25"/>
  <c r="BK18" i="25"/>
  <c r="BK12" i="25"/>
  <c r="BK16" i="25"/>
  <c r="BL5" i="25"/>
  <c r="BK7" i="25"/>
  <c r="BK11" i="25"/>
  <c r="BK10" i="25"/>
  <c r="BK9" i="25"/>
  <c r="BK8" i="25"/>
  <c r="BK17" i="25"/>
  <c r="BK14" i="25"/>
  <c r="BK23" i="25"/>
  <c r="BK15" i="25"/>
  <c r="BZ115" i="25" l="1"/>
  <c r="BL113" i="25"/>
  <c r="BL109" i="25"/>
  <c r="BL110" i="25"/>
  <c r="BL100" i="25"/>
  <c r="BL106" i="25"/>
  <c r="BL112" i="25"/>
  <c r="BL101" i="25"/>
  <c r="BL104" i="25"/>
  <c r="BL111" i="25"/>
  <c r="BL107" i="25"/>
  <c r="BL108" i="25"/>
  <c r="BL97" i="25"/>
  <c r="BL102" i="25"/>
  <c r="BL98" i="25"/>
  <c r="BL93" i="25"/>
  <c r="BL92" i="25"/>
  <c r="BL89" i="25"/>
  <c r="BL99" i="25"/>
  <c r="BL114" i="25"/>
  <c r="BL91" i="25"/>
  <c r="BL96" i="25"/>
  <c r="BL94" i="25"/>
  <c r="BL90" i="25"/>
  <c r="BL95" i="25"/>
  <c r="BL105" i="25"/>
  <c r="BL103" i="25"/>
  <c r="BL85" i="25"/>
  <c r="BL87" i="25"/>
  <c r="BL86" i="25"/>
  <c r="BL88" i="25"/>
  <c r="BL84" i="25"/>
  <c r="BL83" i="25"/>
  <c r="BL82" i="25"/>
  <c r="BL81" i="25"/>
  <c r="BL80" i="25"/>
  <c r="BL74" i="25"/>
  <c r="BL73" i="25"/>
  <c r="BL72" i="25"/>
  <c r="BL79" i="25"/>
  <c r="BL77" i="25"/>
  <c r="BL71" i="25"/>
  <c r="BL76" i="25"/>
  <c r="BL70" i="25"/>
  <c r="BL78" i="25"/>
  <c r="BL62" i="25"/>
  <c r="BL69" i="25"/>
  <c r="BL65" i="25"/>
  <c r="BL59" i="25"/>
  <c r="BL68" i="25"/>
  <c r="BL64" i="25"/>
  <c r="BL67" i="25"/>
  <c r="BL60" i="25"/>
  <c r="BL75" i="25"/>
  <c r="BL61" i="25"/>
  <c r="BL57" i="25"/>
  <c r="BL56" i="25"/>
  <c r="BL55" i="25"/>
  <c r="BL58" i="25"/>
  <c r="BL54" i="25"/>
  <c r="BL66" i="25"/>
  <c r="BL53" i="25"/>
  <c r="BL47" i="25"/>
  <c r="BL49" i="25"/>
  <c r="BL46" i="25"/>
  <c r="BL50" i="25"/>
  <c r="BL48" i="25"/>
  <c r="BL63" i="25"/>
  <c r="BL44" i="25"/>
  <c r="BL39" i="25"/>
  <c r="BL52" i="25"/>
  <c r="BL45" i="25"/>
  <c r="BL37" i="25"/>
  <c r="BL31" i="25"/>
  <c r="BL40" i="25"/>
  <c r="BL36" i="25"/>
  <c r="BL41" i="25"/>
  <c r="BL35" i="25"/>
  <c r="BL34" i="25"/>
  <c r="BL42" i="25"/>
  <c r="BL33" i="25"/>
  <c r="BL51" i="25"/>
  <c r="BL43" i="25"/>
  <c r="BL29" i="25"/>
  <c r="BL24" i="25"/>
  <c r="BL38" i="25"/>
  <c r="BL25" i="25"/>
  <c r="BL21" i="25"/>
  <c r="BL26" i="25"/>
  <c r="BL20" i="25"/>
  <c r="BL30" i="25"/>
  <c r="BL32" i="25"/>
  <c r="BL27" i="25"/>
  <c r="BL19" i="25"/>
  <c r="BL22" i="25"/>
  <c r="BL28" i="25"/>
  <c r="BL23" i="25"/>
  <c r="BL16" i="25"/>
  <c r="BK4" i="25"/>
  <c r="BM5" i="25"/>
  <c r="BL11" i="25"/>
  <c r="BL10" i="25"/>
  <c r="BL9" i="25"/>
  <c r="BL8" i="25"/>
  <c r="BL7" i="25"/>
  <c r="BL12" i="25"/>
  <c r="BL18" i="25"/>
  <c r="BL17" i="25"/>
  <c r="BL13" i="25"/>
  <c r="BL14" i="25"/>
  <c r="BK3" i="25"/>
  <c r="BL15" i="25"/>
  <c r="BM109" i="25" l="1"/>
  <c r="CA115" i="25"/>
  <c r="BM111" i="25"/>
  <c r="BM110" i="25"/>
  <c r="BM108" i="25"/>
  <c r="BM113" i="25"/>
  <c r="BM106" i="25"/>
  <c r="BM105" i="25"/>
  <c r="BM104" i="25"/>
  <c r="BM101" i="25"/>
  <c r="BM114" i="25"/>
  <c r="BM100" i="25"/>
  <c r="BM98" i="25"/>
  <c r="BM96" i="25"/>
  <c r="BM112" i="25"/>
  <c r="BM107" i="25"/>
  <c r="BM97" i="25"/>
  <c r="BM89" i="25"/>
  <c r="BM99" i="25"/>
  <c r="BM93" i="25"/>
  <c r="BM102" i="25"/>
  <c r="BM91" i="25"/>
  <c r="BM94" i="25"/>
  <c r="BM90" i="25"/>
  <c r="BM95" i="25"/>
  <c r="BM92" i="25"/>
  <c r="BM103" i="25"/>
  <c r="BM87" i="25"/>
  <c r="BM85" i="25"/>
  <c r="BM86" i="25"/>
  <c r="BM88" i="25"/>
  <c r="BM84" i="25"/>
  <c r="BM82" i="25"/>
  <c r="BM79" i="25"/>
  <c r="BM81" i="25"/>
  <c r="BM80" i="25"/>
  <c r="BM83" i="25"/>
  <c r="BM73" i="25"/>
  <c r="BM72" i="25"/>
  <c r="BM77" i="25"/>
  <c r="BM71" i="25"/>
  <c r="BM76" i="25"/>
  <c r="BM70" i="25"/>
  <c r="BM78" i="25"/>
  <c r="BM75" i="25"/>
  <c r="BM69" i="25"/>
  <c r="BM61" i="25"/>
  <c r="BM74" i="25"/>
  <c r="BM65" i="25"/>
  <c r="BM68" i="25"/>
  <c r="BM64" i="25"/>
  <c r="BM67" i="25"/>
  <c r="BM63" i="25"/>
  <c r="BM51" i="25"/>
  <c r="BM57" i="25"/>
  <c r="BM56" i="25"/>
  <c r="BM55" i="25"/>
  <c r="BM62" i="25"/>
  <c r="BM58" i="25"/>
  <c r="BM54" i="25"/>
  <c r="BM66" i="25"/>
  <c r="BM59" i="25"/>
  <c r="BM53" i="25"/>
  <c r="BM47" i="25"/>
  <c r="BM50" i="25"/>
  <c r="BM60" i="25"/>
  <c r="BM48" i="25"/>
  <c r="BM44" i="25"/>
  <c r="BM52" i="25"/>
  <c r="BM45" i="25"/>
  <c r="BM39" i="25"/>
  <c r="BM37" i="25"/>
  <c r="BM31" i="25"/>
  <c r="BM40" i="25"/>
  <c r="BM36" i="25"/>
  <c r="BM41" i="25"/>
  <c r="BM35" i="25"/>
  <c r="BM34" i="25"/>
  <c r="BM49" i="25"/>
  <c r="BM42" i="25"/>
  <c r="BM33" i="25"/>
  <c r="BM27" i="25"/>
  <c r="BM46" i="25"/>
  <c r="BM43" i="25"/>
  <c r="BM38" i="25"/>
  <c r="BM32" i="25"/>
  <c r="BM26" i="25"/>
  <c r="BM25" i="25"/>
  <c r="BM21" i="25"/>
  <c r="BM20" i="25"/>
  <c r="BM30" i="25"/>
  <c r="BM22" i="25"/>
  <c r="BM18" i="25"/>
  <c r="BM28" i="25"/>
  <c r="BM23" i="25"/>
  <c r="BM17" i="25"/>
  <c r="BM11" i="25"/>
  <c r="BN5" i="25"/>
  <c r="BM10" i="25"/>
  <c r="BM9" i="25"/>
  <c r="BM8" i="25"/>
  <c r="BM7" i="25"/>
  <c r="BM12" i="25"/>
  <c r="BM13" i="25"/>
  <c r="BM29" i="25"/>
  <c r="BM19" i="25"/>
  <c r="BM14" i="25"/>
  <c r="BM15" i="25"/>
  <c r="BM16" i="25"/>
  <c r="BM24" i="25"/>
  <c r="CB115" i="25" l="1"/>
  <c r="BN111" i="25"/>
  <c r="BN113" i="25"/>
  <c r="BN114" i="25"/>
  <c r="BN106" i="25"/>
  <c r="BN105" i="25"/>
  <c r="BN104" i="25"/>
  <c r="BN108" i="25"/>
  <c r="BN112" i="25"/>
  <c r="BN102" i="25"/>
  <c r="BN96" i="25"/>
  <c r="BN103" i="25"/>
  <c r="BN101" i="25"/>
  <c r="BN100" i="25"/>
  <c r="BN98" i="25"/>
  <c r="BN95" i="25"/>
  <c r="BN94" i="25"/>
  <c r="BN93" i="25"/>
  <c r="BN109" i="25"/>
  <c r="BN97" i="25"/>
  <c r="BN107" i="25"/>
  <c r="BN99" i="25"/>
  <c r="BN89" i="25"/>
  <c r="BN90" i="25"/>
  <c r="BN92" i="25"/>
  <c r="BN110" i="25"/>
  <c r="BN91" i="25"/>
  <c r="BN85" i="25"/>
  <c r="BN86" i="25"/>
  <c r="BN88" i="25"/>
  <c r="BN87" i="25"/>
  <c r="BN84" i="25"/>
  <c r="BN82" i="25"/>
  <c r="BN79" i="25"/>
  <c r="BN81" i="25"/>
  <c r="BN80" i="25"/>
  <c r="BN83" i="25"/>
  <c r="BN73" i="25"/>
  <c r="BN72" i="25"/>
  <c r="BN77" i="25"/>
  <c r="BN71" i="25"/>
  <c r="BN76" i="25"/>
  <c r="BN70" i="25"/>
  <c r="BN78" i="25"/>
  <c r="BN75" i="25"/>
  <c r="BN69" i="25"/>
  <c r="BN74" i="25"/>
  <c r="BN65" i="25"/>
  <c r="BN68" i="25"/>
  <c r="BN64" i="25"/>
  <c r="BN58" i="25"/>
  <c r="BN67" i="25"/>
  <c r="BN63" i="25"/>
  <c r="BN66" i="25"/>
  <c r="BN61" i="25"/>
  <c r="BN57" i="25"/>
  <c r="BN56" i="25"/>
  <c r="BN55" i="25"/>
  <c r="BN62" i="25"/>
  <c r="BN54" i="25"/>
  <c r="BN59" i="25"/>
  <c r="BN53" i="25"/>
  <c r="BN52" i="25"/>
  <c r="BN46" i="25"/>
  <c r="BN60" i="25"/>
  <c r="BN50" i="25"/>
  <c r="BN47" i="25"/>
  <c r="BN48" i="25"/>
  <c r="BN44" i="25"/>
  <c r="BN45" i="25"/>
  <c r="BN51" i="25"/>
  <c r="BN49" i="25"/>
  <c r="BN40" i="25"/>
  <c r="BN36" i="25"/>
  <c r="BN41" i="25"/>
  <c r="BN35" i="25"/>
  <c r="BN34" i="25"/>
  <c r="BN42" i="25"/>
  <c r="BN33" i="25"/>
  <c r="BN43" i="25"/>
  <c r="BN38" i="25"/>
  <c r="BN32" i="25"/>
  <c r="BN39" i="25"/>
  <c r="BN25" i="25"/>
  <c r="BN21" i="25"/>
  <c r="BN26" i="25"/>
  <c r="BN20" i="25"/>
  <c r="BN37" i="25"/>
  <c r="BN30" i="25"/>
  <c r="BN19" i="25"/>
  <c r="BN27" i="25"/>
  <c r="BN22" i="25"/>
  <c r="BN31" i="25"/>
  <c r="BN28" i="25"/>
  <c r="BN23" i="25"/>
  <c r="BN29" i="25"/>
  <c r="BN24" i="25"/>
  <c r="BO5" i="25"/>
  <c r="BN10" i="25"/>
  <c r="BN9" i="25"/>
  <c r="BN8" i="25"/>
  <c r="BN7" i="25"/>
  <c r="BN12" i="25"/>
  <c r="BN11" i="25"/>
  <c r="BN18" i="25"/>
  <c r="BN13" i="25"/>
  <c r="BN17" i="25"/>
  <c r="BN14" i="25"/>
  <c r="BN15" i="25"/>
  <c r="BN16" i="25"/>
  <c r="BO113" i="25" l="1"/>
  <c r="BO111" i="25"/>
  <c r="CC115" i="25"/>
  <c r="BO112" i="25"/>
  <c r="BO114" i="25"/>
  <c r="BO107" i="25"/>
  <c r="BO105" i="25"/>
  <c r="BO104" i="25"/>
  <c r="BO108" i="25"/>
  <c r="BO106" i="25"/>
  <c r="BO102" i="25"/>
  <c r="BO100" i="25"/>
  <c r="BO98" i="25"/>
  <c r="BO95" i="25"/>
  <c r="BO94" i="25"/>
  <c r="BO109" i="25"/>
  <c r="BO97" i="25"/>
  <c r="BO96" i="25"/>
  <c r="BO103" i="25"/>
  <c r="BO99" i="25"/>
  <c r="BO101" i="25"/>
  <c r="BO90" i="25"/>
  <c r="BO93" i="25"/>
  <c r="BO92" i="25"/>
  <c r="BO110" i="25"/>
  <c r="BO86" i="25"/>
  <c r="BO91" i="25"/>
  <c r="BO85" i="25"/>
  <c r="BO88" i="25"/>
  <c r="BO87" i="25"/>
  <c r="BO84" i="25"/>
  <c r="BO89" i="25"/>
  <c r="BO81" i="25"/>
  <c r="BO79" i="25"/>
  <c r="BO82" i="25"/>
  <c r="BO80" i="25"/>
  <c r="BO83" i="25"/>
  <c r="BO72" i="25"/>
  <c r="BO77" i="25"/>
  <c r="BO71" i="25"/>
  <c r="BO76" i="25"/>
  <c r="BO70" i="25"/>
  <c r="BO78" i="25"/>
  <c r="BO75" i="25"/>
  <c r="BO69" i="25"/>
  <c r="BO74" i="25"/>
  <c r="BO68" i="25"/>
  <c r="BO65" i="25"/>
  <c r="BO64" i="25"/>
  <c r="BO67" i="25"/>
  <c r="BO63" i="25"/>
  <c r="BO66" i="25"/>
  <c r="BO73" i="25"/>
  <c r="BO62" i="25"/>
  <c r="BO56" i="25"/>
  <c r="BO50" i="25"/>
  <c r="BO55" i="25"/>
  <c r="BO58" i="25"/>
  <c r="BO54" i="25"/>
  <c r="BO59" i="25"/>
  <c r="BO53" i="25"/>
  <c r="BO52" i="25"/>
  <c r="BO46" i="25"/>
  <c r="BO60" i="25"/>
  <c r="BO47" i="25"/>
  <c r="BO48" i="25"/>
  <c r="BO44" i="25"/>
  <c r="BO61" i="25"/>
  <c r="BO45" i="25"/>
  <c r="BO57" i="25"/>
  <c r="BO51" i="25"/>
  <c r="BO49" i="25"/>
  <c r="BO40" i="25"/>
  <c r="BO36" i="25"/>
  <c r="BO41" i="25"/>
  <c r="BO35" i="25"/>
  <c r="BO34" i="25"/>
  <c r="BO42" i="25"/>
  <c r="BO33" i="25"/>
  <c r="BO43" i="25"/>
  <c r="BO38" i="25"/>
  <c r="BO32" i="25"/>
  <c r="BO26" i="25"/>
  <c r="BO39" i="25"/>
  <c r="BO37" i="25"/>
  <c r="BO31" i="25"/>
  <c r="BO25" i="25"/>
  <c r="BO21" i="25"/>
  <c r="BO20" i="25"/>
  <c r="BO30" i="25"/>
  <c r="BO27" i="25"/>
  <c r="BO22" i="25"/>
  <c r="BO28" i="25"/>
  <c r="BO23" i="25"/>
  <c r="BO17" i="25"/>
  <c r="BO29" i="25"/>
  <c r="BO24" i="25"/>
  <c r="BO16" i="25"/>
  <c r="BO10" i="25"/>
  <c r="BO9" i="25"/>
  <c r="BO8" i="25"/>
  <c r="BO7" i="25"/>
  <c r="BP5" i="25"/>
  <c r="BO12" i="25"/>
  <c r="BO11" i="25"/>
  <c r="BO18" i="25"/>
  <c r="BO13" i="25"/>
  <c r="BO19" i="25"/>
  <c r="BO14" i="25"/>
  <c r="BO15" i="25"/>
  <c r="BP114" i="25" l="1"/>
  <c r="BP113" i="25"/>
  <c r="CD115" i="25"/>
  <c r="BP112" i="25"/>
  <c r="BP107" i="25"/>
  <c r="BP104" i="25"/>
  <c r="BP103" i="25"/>
  <c r="BP111" i="25"/>
  <c r="BP102" i="25"/>
  <c r="BP95" i="25"/>
  <c r="BP109" i="25"/>
  <c r="BP97" i="25"/>
  <c r="BP96" i="25"/>
  <c r="BP92" i="25"/>
  <c r="BP106" i="25"/>
  <c r="BP98" i="25"/>
  <c r="BP99" i="25"/>
  <c r="BP108" i="25"/>
  <c r="BP94" i="25"/>
  <c r="BP101" i="25"/>
  <c r="BP100" i="25"/>
  <c r="BP110" i="25"/>
  <c r="BP90" i="25"/>
  <c r="BP93" i="25"/>
  <c r="BP105" i="25"/>
  <c r="BP91" i="25"/>
  <c r="BP88" i="25"/>
  <c r="BP87" i="25"/>
  <c r="BP86" i="25"/>
  <c r="BP84" i="25"/>
  <c r="BP89" i="25"/>
  <c r="BP78" i="25"/>
  <c r="BP82" i="25"/>
  <c r="BP80" i="25"/>
  <c r="BP81" i="25"/>
  <c r="BP83" i="25"/>
  <c r="BP72" i="25"/>
  <c r="BP77" i="25"/>
  <c r="BP71" i="25"/>
  <c r="BP85" i="25"/>
  <c r="BP76" i="25"/>
  <c r="BP70" i="25"/>
  <c r="BP79" i="25"/>
  <c r="BP75" i="25"/>
  <c r="BP69" i="25"/>
  <c r="BP74" i="25"/>
  <c r="BP68" i="25"/>
  <c r="BP65" i="25"/>
  <c r="BP64" i="25"/>
  <c r="BP67" i="25"/>
  <c r="BP63" i="25"/>
  <c r="BP57" i="25"/>
  <c r="BP66" i="25"/>
  <c r="BP73" i="25"/>
  <c r="BP62" i="25"/>
  <c r="BP55" i="25"/>
  <c r="BP58" i="25"/>
  <c r="BP54" i="25"/>
  <c r="BP59" i="25"/>
  <c r="BP53" i="25"/>
  <c r="BP52" i="25"/>
  <c r="BP60" i="25"/>
  <c r="BP51" i="25"/>
  <c r="BP45" i="25"/>
  <c r="BP61" i="25"/>
  <c r="BP50" i="25"/>
  <c r="BP47" i="25"/>
  <c r="BP48" i="25"/>
  <c r="BP49" i="25"/>
  <c r="BP56" i="25"/>
  <c r="BP46" i="25"/>
  <c r="BP41" i="25"/>
  <c r="BP44" i="25"/>
  <c r="BP35" i="25"/>
  <c r="BP34" i="25"/>
  <c r="BP42" i="25"/>
  <c r="BP33" i="25"/>
  <c r="BP43" i="25"/>
  <c r="BP38" i="25"/>
  <c r="BP32" i="25"/>
  <c r="BP39" i="25"/>
  <c r="BP37" i="25"/>
  <c r="BP31" i="25"/>
  <c r="BP40" i="25"/>
  <c r="BP20" i="25"/>
  <c r="BP30" i="25"/>
  <c r="BP26" i="25"/>
  <c r="BP19" i="25"/>
  <c r="BP27" i="25"/>
  <c r="BP22" i="25"/>
  <c r="BP18" i="25"/>
  <c r="BP28" i="25"/>
  <c r="BP23" i="25"/>
  <c r="BP36" i="25"/>
  <c r="BP29" i="25"/>
  <c r="BP24" i="25"/>
  <c r="BP12" i="25"/>
  <c r="BP11" i="25"/>
  <c r="BP10" i="25"/>
  <c r="BO4" i="25"/>
  <c r="BP21" i="25"/>
  <c r="BP13" i="25"/>
  <c r="BP17" i="25"/>
  <c r="BP14" i="25"/>
  <c r="BP9" i="25"/>
  <c r="BP15" i="25"/>
  <c r="BP8" i="25"/>
  <c r="BP7" i="25"/>
  <c r="BP25" i="25"/>
  <c r="BP16" i="25"/>
  <c r="BQ5" i="25"/>
  <c r="BQ112" i="25" l="1"/>
  <c r="BQ113" i="25"/>
  <c r="BQ114" i="25"/>
  <c r="CE115" i="25"/>
  <c r="BQ107" i="25"/>
  <c r="BQ103" i="25"/>
  <c r="BQ108" i="25"/>
  <c r="BQ111" i="25"/>
  <c r="BQ105" i="25"/>
  <c r="BQ99" i="25"/>
  <c r="BQ97" i="25"/>
  <c r="BQ106" i="25"/>
  <c r="BQ94" i="25"/>
  <c r="BQ95" i="25"/>
  <c r="BQ98" i="25"/>
  <c r="BQ101" i="25"/>
  <c r="BQ100" i="25"/>
  <c r="BQ110" i="25"/>
  <c r="BQ102" i="25"/>
  <c r="BQ93" i="25"/>
  <c r="BQ92" i="25"/>
  <c r="BQ96" i="25"/>
  <c r="BQ109" i="25"/>
  <c r="BQ104" i="25"/>
  <c r="BQ91" i="25"/>
  <c r="BQ88" i="25"/>
  <c r="BQ87" i="25"/>
  <c r="BQ86" i="25"/>
  <c r="BQ84" i="25"/>
  <c r="BQ89" i="25"/>
  <c r="BQ90" i="25"/>
  <c r="BQ80" i="25"/>
  <c r="BQ85" i="25"/>
  <c r="BQ82" i="25"/>
  <c r="BQ81" i="25"/>
  <c r="BQ83" i="25"/>
  <c r="BQ77" i="25"/>
  <c r="BQ71" i="25"/>
  <c r="BQ76" i="25"/>
  <c r="BQ70" i="25"/>
  <c r="BQ79" i="25"/>
  <c r="BQ78" i="25"/>
  <c r="BQ75" i="25"/>
  <c r="BQ69" i="25"/>
  <c r="BQ74" i="25"/>
  <c r="BQ68" i="25"/>
  <c r="BQ73" i="25"/>
  <c r="BQ65" i="25"/>
  <c r="BQ72" i="25"/>
  <c r="BQ64" i="25"/>
  <c r="BQ67" i="25"/>
  <c r="BQ63" i="25"/>
  <c r="BQ66" i="25"/>
  <c r="BQ62" i="25"/>
  <c r="BQ61" i="25"/>
  <c r="BQ55" i="25"/>
  <c r="BQ58" i="25"/>
  <c r="BQ54" i="25"/>
  <c r="BQ59" i="25"/>
  <c r="BQ53" i="25"/>
  <c r="BQ52" i="25"/>
  <c r="BQ60" i="25"/>
  <c r="BQ51" i="25"/>
  <c r="BQ45" i="25"/>
  <c r="BQ57" i="25"/>
  <c r="BQ56" i="25"/>
  <c r="BQ48" i="25"/>
  <c r="BQ44" i="25"/>
  <c r="BQ49" i="25"/>
  <c r="BQ46" i="25"/>
  <c r="BQ35" i="25"/>
  <c r="BQ34" i="25"/>
  <c r="BQ42" i="25"/>
  <c r="BQ33" i="25"/>
  <c r="BQ43" i="25"/>
  <c r="BQ38" i="25"/>
  <c r="BQ32" i="25"/>
  <c r="BQ50" i="25"/>
  <c r="BQ47" i="25"/>
  <c r="BQ39" i="25"/>
  <c r="BQ37" i="25"/>
  <c r="BQ31" i="25"/>
  <c r="BQ25" i="25"/>
  <c r="BQ40" i="25"/>
  <c r="BQ36" i="25"/>
  <c r="BQ30" i="25"/>
  <c r="BQ24" i="25"/>
  <c r="BQ41" i="25"/>
  <c r="BQ20" i="25"/>
  <c r="BQ26" i="25"/>
  <c r="BQ19" i="25"/>
  <c r="BQ27" i="25"/>
  <c r="BQ22" i="25"/>
  <c r="BQ28" i="25"/>
  <c r="BQ23" i="25"/>
  <c r="BQ29" i="25"/>
  <c r="BQ16" i="25"/>
  <c r="BQ21" i="25"/>
  <c r="BQ15" i="25"/>
  <c r="BQ9" i="25"/>
  <c r="BQ12" i="25"/>
  <c r="BQ13" i="25"/>
  <c r="BQ18" i="25"/>
  <c r="BQ17" i="25"/>
  <c r="BQ14" i="25"/>
  <c r="BQ11" i="25"/>
  <c r="BR5" i="25"/>
  <c r="BQ8" i="25"/>
  <c r="BQ10" i="25"/>
  <c r="BQ7" i="25"/>
  <c r="BR114" i="25" l="1"/>
  <c r="BR113" i="25"/>
  <c r="BR112" i="25"/>
  <c r="CF115" i="25"/>
  <c r="BR106" i="25"/>
  <c r="BR103" i="25"/>
  <c r="BR108" i="25"/>
  <c r="BR111" i="25"/>
  <c r="BR102" i="25"/>
  <c r="BR94" i="25"/>
  <c r="BR99" i="25"/>
  <c r="BR110" i="25"/>
  <c r="BR100" i="25"/>
  <c r="BR92" i="25"/>
  <c r="BR107" i="25"/>
  <c r="BR96" i="25"/>
  <c r="BR98" i="25"/>
  <c r="BR109" i="25"/>
  <c r="BR95" i="25"/>
  <c r="BR97" i="25"/>
  <c r="BR105" i="25"/>
  <c r="BR101" i="25"/>
  <c r="BR104" i="25"/>
  <c r="BR91" i="25"/>
  <c r="BR89" i="25"/>
  <c r="BR90" i="25"/>
  <c r="BR93" i="25"/>
  <c r="BR88" i="25"/>
  <c r="BR82" i="25"/>
  <c r="BR81" i="25"/>
  <c r="BR80" i="25"/>
  <c r="BR87" i="25"/>
  <c r="BR83" i="25"/>
  <c r="BR84" i="25"/>
  <c r="BR86" i="25"/>
  <c r="BR79" i="25"/>
  <c r="BR77" i="25"/>
  <c r="BR71" i="25"/>
  <c r="BR76" i="25"/>
  <c r="BR70" i="25"/>
  <c r="BR85" i="25"/>
  <c r="BR78" i="25"/>
  <c r="BR75" i="25"/>
  <c r="BR69" i="25"/>
  <c r="BR74" i="25"/>
  <c r="BR73" i="25"/>
  <c r="BR67" i="25"/>
  <c r="BR65" i="25"/>
  <c r="BR72" i="25"/>
  <c r="BR64" i="25"/>
  <c r="BR63" i="25"/>
  <c r="BR68" i="25"/>
  <c r="BR66" i="25"/>
  <c r="BR62" i="25"/>
  <c r="BR58" i="25"/>
  <c r="BR54" i="25"/>
  <c r="BR59" i="25"/>
  <c r="BR53" i="25"/>
  <c r="BR52" i="25"/>
  <c r="BR60" i="25"/>
  <c r="BR51" i="25"/>
  <c r="BR61" i="25"/>
  <c r="BR57" i="25"/>
  <c r="BR56" i="25"/>
  <c r="BR50" i="25"/>
  <c r="BR44" i="25"/>
  <c r="BR48" i="25"/>
  <c r="BR55" i="25"/>
  <c r="BR49" i="25"/>
  <c r="BR45" i="25"/>
  <c r="BR46" i="25"/>
  <c r="BR47" i="25"/>
  <c r="BR41" i="25"/>
  <c r="BR34" i="25"/>
  <c r="BR42" i="25"/>
  <c r="BR33" i="25"/>
  <c r="BR43" i="25"/>
  <c r="BR38" i="25"/>
  <c r="BR32" i="25"/>
  <c r="BR39" i="25"/>
  <c r="BR37" i="25"/>
  <c r="BR40" i="25"/>
  <c r="BR36" i="25"/>
  <c r="BR30" i="25"/>
  <c r="BR26" i="25"/>
  <c r="BR19" i="25"/>
  <c r="BR27" i="25"/>
  <c r="BR22" i="25"/>
  <c r="BR18" i="25"/>
  <c r="BR28" i="25"/>
  <c r="BR23" i="25"/>
  <c r="BR17" i="25"/>
  <c r="BR31" i="25"/>
  <c r="BR29" i="25"/>
  <c r="BR24" i="25"/>
  <c r="BR21" i="25"/>
  <c r="BR35" i="25"/>
  <c r="BR25" i="25"/>
  <c r="BR13" i="25"/>
  <c r="BR14" i="25"/>
  <c r="BR20" i="25"/>
  <c r="BR15" i="25"/>
  <c r="BR16" i="25"/>
  <c r="BS5" i="25"/>
  <c r="BR8" i="25"/>
  <c r="BR7" i="25"/>
  <c r="BR12" i="25"/>
  <c r="BR11" i="25"/>
  <c r="BR10" i="25"/>
  <c r="BR9" i="25"/>
  <c r="CG115" i="25" l="1"/>
  <c r="BS111" i="25"/>
  <c r="BS114" i="25"/>
  <c r="BS112" i="25"/>
  <c r="BS108" i="25"/>
  <c r="BS113" i="25"/>
  <c r="BS102" i="25"/>
  <c r="BS109" i="25"/>
  <c r="BS107" i="25"/>
  <c r="BS103" i="25"/>
  <c r="BS100" i="25"/>
  <c r="BS110" i="25"/>
  <c r="BS104" i="25"/>
  <c r="BS99" i="25"/>
  <c r="BS106" i="25"/>
  <c r="BS95" i="25"/>
  <c r="BS105" i="25"/>
  <c r="BS101" i="25"/>
  <c r="BS96" i="25"/>
  <c r="BS94" i="25"/>
  <c r="BS98" i="25"/>
  <c r="BS92" i="25"/>
  <c r="BS97" i="25"/>
  <c r="BS91" i="25"/>
  <c r="BS89" i="25"/>
  <c r="BS90" i="25"/>
  <c r="BS93" i="25"/>
  <c r="BS85" i="25"/>
  <c r="BS88" i="25"/>
  <c r="BS87" i="25"/>
  <c r="BS86" i="25"/>
  <c r="BS82" i="25"/>
  <c r="BS81" i="25"/>
  <c r="BS80" i="25"/>
  <c r="BS83" i="25"/>
  <c r="BS84" i="25"/>
  <c r="BS76" i="25"/>
  <c r="BS70" i="25"/>
  <c r="BS79" i="25"/>
  <c r="BS78" i="25"/>
  <c r="BS75" i="25"/>
  <c r="BS69" i="25"/>
  <c r="BS74" i="25"/>
  <c r="BS73" i="25"/>
  <c r="BS67" i="25"/>
  <c r="BS72" i="25"/>
  <c r="BS64" i="25"/>
  <c r="BS63" i="25"/>
  <c r="BS68" i="25"/>
  <c r="BS66" i="25"/>
  <c r="BS62" i="25"/>
  <c r="BS71" i="25"/>
  <c r="BS61" i="25"/>
  <c r="BS60" i="25"/>
  <c r="BS65" i="25"/>
  <c r="BS58" i="25"/>
  <c r="BS54" i="25"/>
  <c r="BS59" i="25"/>
  <c r="BS53" i="25"/>
  <c r="BS77" i="25"/>
  <c r="BS52" i="25"/>
  <c r="BS51" i="25"/>
  <c r="BS57" i="25"/>
  <c r="BS56" i="25"/>
  <c r="BS50" i="25"/>
  <c r="BS44" i="25"/>
  <c r="BS55" i="25"/>
  <c r="BS49" i="25"/>
  <c r="BS45" i="25"/>
  <c r="BS46" i="25"/>
  <c r="BS47" i="25"/>
  <c r="BS41" i="25"/>
  <c r="BS42" i="25"/>
  <c r="BS34" i="25"/>
  <c r="BS33" i="25"/>
  <c r="BS43" i="25"/>
  <c r="BS38" i="25"/>
  <c r="BS32" i="25"/>
  <c r="BS39" i="25"/>
  <c r="BS37" i="25"/>
  <c r="BS48" i="25"/>
  <c r="BS40" i="25"/>
  <c r="BS36" i="25"/>
  <c r="BS30" i="25"/>
  <c r="BS24" i="25"/>
  <c r="BS35" i="25"/>
  <c r="BS29" i="25"/>
  <c r="BS23" i="25"/>
  <c r="BS19" i="25"/>
  <c r="BS27" i="25"/>
  <c r="BS22" i="25"/>
  <c r="BS28" i="25"/>
  <c r="BS31" i="25"/>
  <c r="BS21" i="25"/>
  <c r="BS15" i="25"/>
  <c r="BS25" i="25"/>
  <c r="BS20" i="25"/>
  <c r="BS14" i="25"/>
  <c r="BS8" i="25"/>
  <c r="BS18" i="25"/>
  <c r="BS17" i="25"/>
  <c r="BT5" i="25"/>
  <c r="BS16" i="25"/>
  <c r="BS26" i="25"/>
  <c r="BS7" i="25"/>
  <c r="BS12" i="25"/>
  <c r="BS11" i="25"/>
  <c r="BS10" i="25"/>
  <c r="BS9" i="25"/>
  <c r="BS13" i="25"/>
  <c r="BT114" i="25" l="1"/>
  <c r="BT112" i="25"/>
  <c r="BT113" i="25"/>
  <c r="CH115" i="25"/>
  <c r="BT111" i="25"/>
  <c r="BT108" i="25"/>
  <c r="BT105" i="25"/>
  <c r="BT102" i="25"/>
  <c r="BT109" i="25"/>
  <c r="BT107" i="25"/>
  <c r="BT103" i="25"/>
  <c r="BT100" i="25"/>
  <c r="BT99" i="25"/>
  <c r="BT106" i="25"/>
  <c r="BT104" i="25"/>
  <c r="BT94" i="25"/>
  <c r="BT91" i="25"/>
  <c r="BT95" i="25"/>
  <c r="BT110" i="25"/>
  <c r="BT97" i="25"/>
  <c r="BT98" i="25"/>
  <c r="BT92" i="25"/>
  <c r="BT96" i="25"/>
  <c r="BT101" i="25"/>
  <c r="BT89" i="25"/>
  <c r="BT90" i="25"/>
  <c r="BT93" i="25"/>
  <c r="BT85" i="25"/>
  <c r="BT81" i="25"/>
  <c r="BT80" i="25"/>
  <c r="BT83" i="25"/>
  <c r="BT87" i="25"/>
  <c r="BT84" i="25"/>
  <c r="BT86" i="25"/>
  <c r="BT79" i="25"/>
  <c r="BT76" i="25"/>
  <c r="BT70" i="25"/>
  <c r="BT78" i="25"/>
  <c r="BT75" i="25"/>
  <c r="BT69" i="25"/>
  <c r="BT82" i="25"/>
  <c r="BT74" i="25"/>
  <c r="BT73" i="25"/>
  <c r="BT72" i="25"/>
  <c r="BT64" i="25"/>
  <c r="BT63" i="25"/>
  <c r="BT68" i="25"/>
  <c r="BT67" i="25"/>
  <c r="BT66" i="25"/>
  <c r="BT62" i="25"/>
  <c r="BT71" i="25"/>
  <c r="BT88" i="25"/>
  <c r="BT61" i="25"/>
  <c r="BT59" i="25"/>
  <c r="BT53" i="25"/>
  <c r="BT77" i="25"/>
  <c r="BT52" i="25"/>
  <c r="BT60" i="25"/>
  <c r="BT51" i="25"/>
  <c r="BT57" i="25"/>
  <c r="BT56" i="25"/>
  <c r="BT50" i="25"/>
  <c r="BT55" i="25"/>
  <c r="BT49" i="25"/>
  <c r="BT43" i="25"/>
  <c r="BT65" i="25"/>
  <c r="BT44" i="25"/>
  <c r="BT54" i="25"/>
  <c r="BT45" i="25"/>
  <c r="BT58" i="25"/>
  <c r="BT46" i="25"/>
  <c r="BT47" i="25"/>
  <c r="BT41" i="25"/>
  <c r="BT42" i="25"/>
  <c r="BT48" i="25"/>
  <c r="BT40" i="25"/>
  <c r="BT33" i="25"/>
  <c r="BT38" i="25"/>
  <c r="BT32" i="25"/>
  <c r="BT39" i="25"/>
  <c r="BT37" i="25"/>
  <c r="BT36" i="25"/>
  <c r="BT35" i="25"/>
  <c r="BT34" i="25"/>
  <c r="BT27" i="25"/>
  <c r="BT22" i="25"/>
  <c r="BT30" i="25"/>
  <c r="BT28" i="25"/>
  <c r="BT23" i="25"/>
  <c r="BT31" i="25"/>
  <c r="BT29" i="25"/>
  <c r="BT24" i="25"/>
  <c r="BT21" i="25"/>
  <c r="BT25" i="25"/>
  <c r="BT20" i="25"/>
  <c r="BT26" i="25"/>
  <c r="BT18" i="25"/>
  <c r="BT17" i="25"/>
  <c r="BT14" i="25"/>
  <c r="BT19" i="25"/>
  <c r="BT15" i="25"/>
  <c r="BT16" i="25"/>
  <c r="BU5" i="25"/>
  <c r="BT7" i="25"/>
  <c r="BT12" i="25"/>
  <c r="BT11" i="25"/>
  <c r="BT10" i="25"/>
  <c r="BT9" i="25"/>
  <c r="BT8" i="25"/>
  <c r="BT13" i="25"/>
  <c r="BS4" i="25"/>
  <c r="BU114" i="25" l="1"/>
  <c r="CI115" i="25"/>
  <c r="BU112" i="25"/>
  <c r="BU113" i="25"/>
  <c r="BU111" i="25"/>
  <c r="BU108" i="25"/>
  <c r="BU109" i="25"/>
  <c r="BU101" i="25"/>
  <c r="BU107" i="25"/>
  <c r="BU102" i="25"/>
  <c r="BU105" i="25"/>
  <c r="BU103" i="25"/>
  <c r="BU100" i="25"/>
  <c r="BU99" i="25"/>
  <c r="BU110" i="25"/>
  <c r="BU104" i="25"/>
  <c r="BU106" i="25"/>
  <c r="BU94" i="25"/>
  <c r="BU91" i="25"/>
  <c r="BU95" i="25"/>
  <c r="BU96" i="25"/>
  <c r="BU93" i="25"/>
  <c r="BU92" i="25"/>
  <c r="BU98" i="25"/>
  <c r="BU97" i="25"/>
  <c r="BU89" i="25"/>
  <c r="BU90" i="25"/>
  <c r="BU85" i="25"/>
  <c r="BU88" i="25"/>
  <c r="BU87" i="25"/>
  <c r="BU86" i="25"/>
  <c r="BU84" i="25"/>
  <c r="BU83" i="25"/>
  <c r="BU79" i="25"/>
  <c r="BU78" i="25"/>
  <c r="BU75" i="25"/>
  <c r="BU69" i="25"/>
  <c r="BU82" i="25"/>
  <c r="BU74" i="25"/>
  <c r="BU68" i="25"/>
  <c r="BU81" i="25"/>
  <c r="BU73" i="25"/>
  <c r="BU80" i="25"/>
  <c r="BU72" i="25"/>
  <c r="BU66" i="25"/>
  <c r="BU77" i="25"/>
  <c r="BU71" i="25"/>
  <c r="BU63" i="25"/>
  <c r="BU67" i="25"/>
  <c r="BU62" i="25"/>
  <c r="BU76" i="25"/>
  <c r="BU60" i="25"/>
  <c r="BU65" i="25"/>
  <c r="BU59" i="25"/>
  <c r="BU53" i="25"/>
  <c r="BU52" i="25"/>
  <c r="BU64" i="25"/>
  <c r="BU70" i="25"/>
  <c r="BU57" i="25"/>
  <c r="BU56" i="25"/>
  <c r="BU61" i="25"/>
  <c r="BU55" i="25"/>
  <c r="BU49" i="25"/>
  <c r="BU43" i="25"/>
  <c r="BU58" i="25"/>
  <c r="BU54" i="25"/>
  <c r="BU44" i="25"/>
  <c r="BU45" i="25"/>
  <c r="BU46" i="25"/>
  <c r="BU47" i="25"/>
  <c r="BU51" i="25"/>
  <c r="BU42" i="25"/>
  <c r="BU48" i="25"/>
  <c r="BU50" i="25"/>
  <c r="BU33" i="25"/>
  <c r="BU38" i="25"/>
  <c r="BU32" i="25"/>
  <c r="BU39" i="25"/>
  <c r="BU37" i="25"/>
  <c r="BU36" i="25"/>
  <c r="BU40" i="25"/>
  <c r="BU35" i="25"/>
  <c r="BU29" i="25"/>
  <c r="BU23" i="25"/>
  <c r="BU41" i="25"/>
  <c r="BU34" i="25"/>
  <c r="BU28" i="25"/>
  <c r="BU22" i="25"/>
  <c r="BU30" i="25"/>
  <c r="BU18" i="25"/>
  <c r="BU31" i="25"/>
  <c r="BU24" i="25"/>
  <c r="BU21" i="25"/>
  <c r="BU25" i="25"/>
  <c r="BU20" i="25"/>
  <c r="BU14" i="25"/>
  <c r="BU26" i="25"/>
  <c r="BU19" i="25"/>
  <c r="BU13" i="25"/>
  <c r="BU7" i="25"/>
  <c r="BU17" i="25"/>
  <c r="BU15" i="25"/>
  <c r="BV5" i="25"/>
  <c r="BU16" i="25"/>
  <c r="BU27" i="25"/>
  <c r="BU12" i="25"/>
  <c r="BU11" i="25"/>
  <c r="BU10" i="25"/>
  <c r="BU9" i="25"/>
  <c r="BU8" i="25"/>
  <c r="CJ115" i="25" l="1"/>
  <c r="BV113" i="25"/>
  <c r="BV114" i="25"/>
  <c r="BV112" i="25"/>
  <c r="BV109" i="25"/>
  <c r="BV110" i="25"/>
  <c r="BV108" i="25"/>
  <c r="BV101" i="25"/>
  <c r="BV111" i="25"/>
  <c r="BV107" i="25"/>
  <c r="BV105" i="25"/>
  <c r="BV100" i="25"/>
  <c r="BV106" i="25"/>
  <c r="BV99" i="25"/>
  <c r="BV104" i="25"/>
  <c r="BV98" i="25"/>
  <c r="BV103" i="25"/>
  <c r="BV95" i="25"/>
  <c r="BV90" i="25"/>
  <c r="BV96" i="25"/>
  <c r="BV93" i="25"/>
  <c r="BV92" i="25"/>
  <c r="BV102" i="25"/>
  <c r="BV97" i="25"/>
  <c r="BV94" i="25"/>
  <c r="BV89" i="25"/>
  <c r="BV91" i="25"/>
  <c r="BV85" i="25"/>
  <c r="BV88" i="25"/>
  <c r="BV87" i="25"/>
  <c r="BV86" i="25"/>
  <c r="BV84" i="25"/>
  <c r="BV79" i="25"/>
  <c r="BV78" i="25"/>
  <c r="BV82" i="25"/>
  <c r="BV75" i="25"/>
  <c r="BV69" i="25"/>
  <c r="BV83" i="25"/>
  <c r="BV74" i="25"/>
  <c r="BV81" i="25"/>
  <c r="BV73" i="25"/>
  <c r="BV80" i="25"/>
  <c r="BV72" i="25"/>
  <c r="BV77" i="25"/>
  <c r="BV71" i="25"/>
  <c r="BV63" i="25"/>
  <c r="BV67" i="25"/>
  <c r="BV68" i="25"/>
  <c r="BV66" i="25"/>
  <c r="BV62" i="25"/>
  <c r="BV76" i="25"/>
  <c r="BV60" i="25"/>
  <c r="BV65" i="25"/>
  <c r="BV59" i="25"/>
  <c r="BV52" i="25"/>
  <c r="BV64" i="25"/>
  <c r="BV70" i="25"/>
  <c r="BV57" i="25"/>
  <c r="BV56" i="25"/>
  <c r="BV61" i="25"/>
  <c r="BV55" i="25"/>
  <c r="BV49" i="25"/>
  <c r="BV58" i="25"/>
  <c r="BV54" i="25"/>
  <c r="BV48" i="25"/>
  <c r="BV42" i="25"/>
  <c r="BV45" i="25"/>
  <c r="BV46" i="25"/>
  <c r="BV53" i="25"/>
  <c r="BV47" i="25"/>
  <c r="BV51" i="25"/>
  <c r="BV40" i="25"/>
  <c r="BV50" i="25"/>
  <c r="BV39" i="25"/>
  <c r="BV44" i="25"/>
  <c r="BV38" i="25"/>
  <c r="BV32" i="25"/>
  <c r="BV43" i="25"/>
  <c r="BV37" i="25"/>
  <c r="BV36" i="25"/>
  <c r="BV35" i="25"/>
  <c r="BV41" i="25"/>
  <c r="BV34" i="25"/>
  <c r="BV28" i="25"/>
  <c r="BV31" i="25"/>
  <c r="BV23" i="25"/>
  <c r="BV33" i="25"/>
  <c r="BV29" i="25"/>
  <c r="BV24" i="25"/>
  <c r="BV21" i="25"/>
  <c r="BV25" i="25"/>
  <c r="BV20" i="25"/>
  <c r="BV26" i="25"/>
  <c r="BV19" i="25"/>
  <c r="BV27" i="25"/>
  <c r="BV14" i="25"/>
  <c r="BV18" i="25"/>
  <c r="BV15" i="25"/>
  <c r="BV16" i="25"/>
  <c r="BW5" i="25"/>
  <c r="BV30" i="25"/>
  <c r="BV12" i="25"/>
  <c r="BV11" i="25"/>
  <c r="BV10" i="25"/>
  <c r="BV9" i="25"/>
  <c r="BV8" i="25"/>
  <c r="BV7" i="25"/>
  <c r="BV17" i="25"/>
  <c r="BV13" i="25"/>
  <c r="BV22" i="25"/>
  <c r="BW113" i="25" l="1"/>
  <c r="CK115" i="25"/>
  <c r="BW110" i="25"/>
  <c r="BW112" i="25"/>
  <c r="BW109" i="25"/>
  <c r="BW111" i="25"/>
  <c r="BW107" i="25"/>
  <c r="BW100" i="25"/>
  <c r="BW106" i="25"/>
  <c r="BW103" i="25"/>
  <c r="BW104" i="25"/>
  <c r="BW98" i="25"/>
  <c r="BW101" i="25"/>
  <c r="BW114" i="25"/>
  <c r="BW105" i="25"/>
  <c r="BW99" i="25"/>
  <c r="BW95" i="25"/>
  <c r="BW90" i="25"/>
  <c r="BW108" i="25"/>
  <c r="BW96" i="25"/>
  <c r="BW102" i="25"/>
  <c r="BW97" i="25"/>
  <c r="BW94" i="25"/>
  <c r="BW89" i="25"/>
  <c r="BW91" i="25"/>
  <c r="BW93" i="25"/>
  <c r="BW88" i="25"/>
  <c r="BW85" i="25"/>
  <c r="BW92" i="25"/>
  <c r="BW87" i="25"/>
  <c r="BW86" i="25"/>
  <c r="BW84" i="25"/>
  <c r="BW83" i="25"/>
  <c r="BW79" i="25"/>
  <c r="BW82" i="25"/>
  <c r="BW81" i="25"/>
  <c r="BW80" i="25"/>
  <c r="BW78" i="25"/>
  <c r="BW74" i="25"/>
  <c r="BW68" i="25"/>
  <c r="BW73" i="25"/>
  <c r="BW72" i="25"/>
  <c r="BW77" i="25"/>
  <c r="BW71" i="25"/>
  <c r="BW76" i="25"/>
  <c r="BW70" i="25"/>
  <c r="BW67" i="25"/>
  <c r="BW66" i="25"/>
  <c r="BW62" i="25"/>
  <c r="BW69" i="25"/>
  <c r="BW65" i="25"/>
  <c r="BW75" i="25"/>
  <c r="BW64" i="25"/>
  <c r="BW58" i="25"/>
  <c r="BW52" i="25"/>
  <c r="BW51" i="25"/>
  <c r="BW60" i="25"/>
  <c r="BW57" i="25"/>
  <c r="BW56" i="25"/>
  <c r="BW61" i="25"/>
  <c r="BW55" i="25"/>
  <c r="BW54" i="25"/>
  <c r="BW48" i="25"/>
  <c r="BW42" i="25"/>
  <c r="BW63" i="25"/>
  <c r="BW53" i="25"/>
  <c r="BW45" i="25"/>
  <c r="BW46" i="25"/>
  <c r="BW49" i="25"/>
  <c r="BW59" i="25"/>
  <c r="BW47" i="25"/>
  <c r="BW50" i="25"/>
  <c r="BW43" i="25"/>
  <c r="BW38" i="25"/>
  <c r="BW32" i="25"/>
  <c r="BW37" i="25"/>
  <c r="BW31" i="25"/>
  <c r="BW39" i="25"/>
  <c r="BW36" i="25"/>
  <c r="BW40" i="25"/>
  <c r="BW35" i="25"/>
  <c r="BW41" i="25"/>
  <c r="BW34" i="25"/>
  <c r="BW28" i="25"/>
  <c r="BW22" i="25"/>
  <c r="BW33" i="25"/>
  <c r="BW27" i="25"/>
  <c r="BW17" i="25"/>
  <c r="BW23" i="25"/>
  <c r="BW29" i="25"/>
  <c r="BW24" i="25"/>
  <c r="BW21" i="25"/>
  <c r="BW25" i="25"/>
  <c r="BW20" i="25"/>
  <c r="BW26" i="25"/>
  <c r="BW44" i="25"/>
  <c r="BW19" i="25"/>
  <c r="BW13" i="25"/>
  <c r="BW30" i="25"/>
  <c r="BW18" i="25"/>
  <c r="BW12" i="25"/>
  <c r="BW8" i="25"/>
  <c r="BW15" i="25"/>
  <c r="BW7" i="25"/>
  <c r="BW16" i="25"/>
  <c r="BX5" i="25"/>
  <c r="BW11" i="25"/>
  <c r="BW10" i="25"/>
  <c r="BW9" i="25"/>
  <c r="BW14" i="25"/>
  <c r="CL115" i="25" l="1"/>
  <c r="BX114" i="25"/>
  <c r="BX112" i="25"/>
  <c r="BX110" i="25"/>
  <c r="BX107" i="25"/>
  <c r="BX100" i="25"/>
  <c r="BX109" i="25"/>
  <c r="BX106" i="25"/>
  <c r="BX103" i="25"/>
  <c r="BX101" i="25"/>
  <c r="BX97" i="25"/>
  <c r="BX104" i="25"/>
  <c r="BX105" i="25"/>
  <c r="BX108" i="25"/>
  <c r="BX96" i="25"/>
  <c r="BX93" i="25"/>
  <c r="BX92" i="25"/>
  <c r="BX89" i="25"/>
  <c r="BX102" i="25"/>
  <c r="BX113" i="25"/>
  <c r="BX94" i="25"/>
  <c r="BX111" i="25"/>
  <c r="BX99" i="25"/>
  <c r="BX95" i="25"/>
  <c r="BX91" i="25"/>
  <c r="BX90" i="25"/>
  <c r="BX98" i="25"/>
  <c r="BX85" i="25"/>
  <c r="BX87" i="25"/>
  <c r="BX86" i="25"/>
  <c r="BX84" i="25"/>
  <c r="BX88" i="25"/>
  <c r="BX83" i="25"/>
  <c r="BX79" i="25"/>
  <c r="BX82" i="25"/>
  <c r="BX81" i="25"/>
  <c r="BX80" i="25"/>
  <c r="BX74" i="25"/>
  <c r="BX73" i="25"/>
  <c r="BX72" i="25"/>
  <c r="BX77" i="25"/>
  <c r="BX71" i="25"/>
  <c r="BX76" i="25"/>
  <c r="BX70" i="25"/>
  <c r="BX66" i="25"/>
  <c r="BX62" i="25"/>
  <c r="BX68" i="25"/>
  <c r="BX69" i="25"/>
  <c r="BX65" i="25"/>
  <c r="BX59" i="25"/>
  <c r="BX78" i="25"/>
  <c r="BX75" i="25"/>
  <c r="BX64" i="25"/>
  <c r="BX60" i="25"/>
  <c r="BX57" i="25"/>
  <c r="BX56" i="25"/>
  <c r="BX61" i="25"/>
  <c r="BX55" i="25"/>
  <c r="BX67" i="25"/>
  <c r="BX54" i="25"/>
  <c r="BX58" i="25"/>
  <c r="BX63" i="25"/>
  <c r="BX53" i="25"/>
  <c r="BX47" i="25"/>
  <c r="BX45" i="25"/>
  <c r="BX46" i="25"/>
  <c r="BX49" i="25"/>
  <c r="BX51" i="25"/>
  <c r="BX52" i="25"/>
  <c r="BX50" i="25"/>
  <c r="BX48" i="25"/>
  <c r="BX39" i="25"/>
  <c r="BX43" i="25"/>
  <c r="BX44" i="25"/>
  <c r="BX38" i="25"/>
  <c r="BX42" i="25"/>
  <c r="BX37" i="25"/>
  <c r="BX31" i="25"/>
  <c r="BX36" i="25"/>
  <c r="BX40" i="25"/>
  <c r="BX35" i="25"/>
  <c r="BX41" i="25"/>
  <c r="BX34" i="25"/>
  <c r="BX33" i="25"/>
  <c r="BX28" i="25"/>
  <c r="BX23" i="25"/>
  <c r="BX29" i="25"/>
  <c r="BX24" i="25"/>
  <c r="BX21" i="25"/>
  <c r="BX25" i="25"/>
  <c r="BX20" i="25"/>
  <c r="BX32" i="25"/>
  <c r="BX26" i="25"/>
  <c r="BX19" i="25"/>
  <c r="BX30" i="25"/>
  <c r="BX27" i="25"/>
  <c r="BX18" i="25"/>
  <c r="BX22" i="25"/>
  <c r="BX15" i="25"/>
  <c r="BX16" i="25"/>
  <c r="BY5" i="25"/>
  <c r="BX11" i="25"/>
  <c r="BX10" i="25"/>
  <c r="BX9" i="25"/>
  <c r="BX8" i="25"/>
  <c r="BX7" i="25"/>
  <c r="BX12" i="25"/>
  <c r="BX13" i="25"/>
  <c r="BX17" i="25"/>
  <c r="BX14" i="25"/>
  <c r="BY114" i="25" l="1"/>
  <c r="BY109" i="25"/>
  <c r="BY108" i="25"/>
  <c r="BY112" i="25"/>
  <c r="BY110" i="25"/>
  <c r="BY106" i="25"/>
  <c r="BY101" i="25"/>
  <c r="BY111" i="25"/>
  <c r="BY105" i="25"/>
  <c r="BY104" i="25"/>
  <c r="BY103" i="25"/>
  <c r="CM115" i="25"/>
  <c r="BY107" i="25"/>
  <c r="BY96" i="25"/>
  <c r="BY93" i="25"/>
  <c r="BY92" i="25"/>
  <c r="BY89" i="25"/>
  <c r="BY102" i="25"/>
  <c r="BY98" i="25"/>
  <c r="BY97" i="25"/>
  <c r="BY91" i="25"/>
  <c r="BY99" i="25"/>
  <c r="BY95" i="25"/>
  <c r="BY100" i="25"/>
  <c r="BY94" i="25"/>
  <c r="BY113" i="25"/>
  <c r="BY90" i="25"/>
  <c r="BY87" i="25"/>
  <c r="BY85" i="25"/>
  <c r="BY86" i="25"/>
  <c r="BY84" i="25"/>
  <c r="BY88" i="25"/>
  <c r="BY82" i="25"/>
  <c r="BY79" i="25"/>
  <c r="BY81" i="25"/>
  <c r="BY80" i="25"/>
  <c r="BY83" i="25"/>
  <c r="BY73" i="25"/>
  <c r="BY72" i="25"/>
  <c r="BY77" i="25"/>
  <c r="BY71" i="25"/>
  <c r="BY76" i="25"/>
  <c r="BY70" i="25"/>
  <c r="BY75" i="25"/>
  <c r="BY69" i="25"/>
  <c r="BY68" i="25"/>
  <c r="BY61" i="25"/>
  <c r="BY74" i="25"/>
  <c r="BY65" i="25"/>
  <c r="BY78" i="25"/>
  <c r="BY64" i="25"/>
  <c r="BY63" i="25"/>
  <c r="BY51" i="25"/>
  <c r="BY60" i="25"/>
  <c r="BY57" i="25"/>
  <c r="BY56" i="25"/>
  <c r="BY62" i="25"/>
  <c r="BY55" i="25"/>
  <c r="BY67" i="25"/>
  <c r="BY54" i="25"/>
  <c r="BY66" i="25"/>
  <c r="BY58" i="25"/>
  <c r="BY53" i="25"/>
  <c r="BY47" i="25"/>
  <c r="BY59" i="25"/>
  <c r="BY46" i="25"/>
  <c r="BY49" i="25"/>
  <c r="BY52" i="25"/>
  <c r="BY50" i="25"/>
  <c r="BY48" i="25"/>
  <c r="BY43" i="25"/>
  <c r="BY44" i="25"/>
  <c r="BY42" i="25"/>
  <c r="BY37" i="25"/>
  <c r="BY31" i="25"/>
  <c r="BY39" i="25"/>
  <c r="BY36" i="25"/>
  <c r="BY40" i="25"/>
  <c r="BY35" i="25"/>
  <c r="BY41" i="25"/>
  <c r="BY34" i="25"/>
  <c r="BY33" i="25"/>
  <c r="BY27" i="25"/>
  <c r="BY45" i="25"/>
  <c r="BY32" i="25"/>
  <c r="BY26" i="25"/>
  <c r="BY38" i="25"/>
  <c r="BY29" i="25"/>
  <c r="BY24" i="25"/>
  <c r="BY21" i="25"/>
  <c r="BY25" i="25"/>
  <c r="BY20" i="25"/>
  <c r="BY30" i="25"/>
  <c r="BY18" i="25"/>
  <c r="BY12" i="25"/>
  <c r="BY22" i="25"/>
  <c r="BY17" i="25"/>
  <c r="BY11" i="25"/>
  <c r="BY15" i="25"/>
  <c r="BY16" i="25"/>
  <c r="BZ5" i="25"/>
  <c r="BY19" i="25"/>
  <c r="BY10" i="25"/>
  <c r="BY9" i="25"/>
  <c r="BY8" i="25"/>
  <c r="BY7" i="25"/>
  <c r="BY28" i="25"/>
  <c r="BY13" i="25"/>
  <c r="BY14" i="25"/>
  <c r="BX4" i="25"/>
  <c r="BY23" i="25"/>
  <c r="CN115" i="25" l="1"/>
  <c r="BZ113" i="25"/>
  <c r="BZ114" i="25"/>
  <c r="BZ111" i="25"/>
  <c r="BZ110" i="25"/>
  <c r="BZ109" i="25"/>
  <c r="BZ106" i="25"/>
  <c r="BZ105" i="25"/>
  <c r="BZ104" i="25"/>
  <c r="BZ101" i="25"/>
  <c r="BZ112" i="25"/>
  <c r="BZ96" i="25"/>
  <c r="BZ93" i="25"/>
  <c r="BZ108" i="25"/>
  <c r="BZ102" i="25"/>
  <c r="BZ98" i="25"/>
  <c r="BZ97" i="25"/>
  <c r="BZ103" i="25"/>
  <c r="BZ100" i="25"/>
  <c r="BZ94" i="25"/>
  <c r="BZ92" i="25"/>
  <c r="BZ99" i="25"/>
  <c r="BZ107" i="25"/>
  <c r="BZ95" i="25"/>
  <c r="BZ91" i="25"/>
  <c r="BZ89" i="25"/>
  <c r="BZ90" i="25"/>
  <c r="BZ85" i="25"/>
  <c r="BZ86" i="25"/>
  <c r="BZ84" i="25"/>
  <c r="BZ88" i="25"/>
  <c r="BZ87" i="25"/>
  <c r="BZ82" i="25"/>
  <c r="BZ79" i="25"/>
  <c r="BZ81" i="25"/>
  <c r="BZ80" i="25"/>
  <c r="BZ83" i="25"/>
  <c r="BZ73" i="25"/>
  <c r="BZ72" i="25"/>
  <c r="BZ77" i="25"/>
  <c r="BZ71" i="25"/>
  <c r="BZ76" i="25"/>
  <c r="BZ70" i="25"/>
  <c r="BZ75" i="25"/>
  <c r="BZ69" i="25"/>
  <c r="BZ78" i="25"/>
  <c r="BZ74" i="25"/>
  <c r="BZ65" i="25"/>
  <c r="BZ64" i="25"/>
  <c r="BZ58" i="25"/>
  <c r="BZ63" i="25"/>
  <c r="BZ67" i="25"/>
  <c r="BZ60" i="25"/>
  <c r="BZ57" i="25"/>
  <c r="BZ56" i="25"/>
  <c r="BZ62" i="25"/>
  <c r="BZ55" i="25"/>
  <c r="BZ61" i="25"/>
  <c r="BZ54" i="25"/>
  <c r="BZ66" i="25"/>
  <c r="BZ53" i="25"/>
  <c r="BZ68" i="25"/>
  <c r="BZ59" i="25"/>
  <c r="BZ52" i="25"/>
  <c r="BZ46" i="25"/>
  <c r="BZ49" i="25"/>
  <c r="BZ47" i="25"/>
  <c r="BZ51" i="25"/>
  <c r="BZ50" i="25"/>
  <c r="BZ48" i="25"/>
  <c r="BZ44" i="25"/>
  <c r="BZ38" i="25"/>
  <c r="BZ45" i="25"/>
  <c r="BZ43" i="25"/>
  <c r="BZ39" i="25"/>
  <c r="BZ36" i="25"/>
  <c r="BZ40" i="25"/>
  <c r="BZ35" i="25"/>
  <c r="BZ41" i="25"/>
  <c r="BZ34" i="25"/>
  <c r="BZ33" i="25"/>
  <c r="BZ32" i="25"/>
  <c r="BZ29" i="25"/>
  <c r="BZ24" i="25"/>
  <c r="BZ42" i="25"/>
  <c r="BZ31" i="25"/>
  <c r="BZ21" i="25"/>
  <c r="BZ25" i="25"/>
  <c r="BZ37" i="25"/>
  <c r="BZ20" i="25"/>
  <c r="BZ26" i="25"/>
  <c r="BZ19" i="25"/>
  <c r="BZ30" i="25"/>
  <c r="BZ27" i="25"/>
  <c r="BZ22" i="25"/>
  <c r="BZ28" i="25"/>
  <c r="BZ23" i="25"/>
  <c r="BZ16" i="25"/>
  <c r="CA5" i="25"/>
  <c r="BZ10" i="25"/>
  <c r="BZ9" i="25"/>
  <c r="BZ8" i="25"/>
  <c r="BZ7" i="25"/>
  <c r="BZ11" i="25"/>
  <c r="BZ12" i="25"/>
  <c r="BZ13" i="25"/>
  <c r="BZ14" i="25"/>
  <c r="BZ17" i="25"/>
  <c r="BZ18" i="25"/>
  <c r="BZ15" i="25"/>
  <c r="CA111" i="25" l="1"/>
  <c r="CA107" i="25"/>
  <c r="CA106" i="25"/>
  <c r="CA105" i="25"/>
  <c r="CA104" i="25"/>
  <c r="CA114" i="25"/>
  <c r="CA109" i="25"/>
  <c r="CA108" i="25"/>
  <c r="CA112" i="25"/>
  <c r="CA110" i="25"/>
  <c r="CA113" i="25"/>
  <c r="CO115" i="25"/>
  <c r="CA95" i="25"/>
  <c r="CA94" i="25"/>
  <c r="CA98" i="25"/>
  <c r="CA97" i="25"/>
  <c r="CA96" i="25"/>
  <c r="CA102" i="25"/>
  <c r="CA103" i="25"/>
  <c r="CA101" i="25"/>
  <c r="CA99" i="25"/>
  <c r="CA93" i="25"/>
  <c r="CA100" i="25"/>
  <c r="CA91" i="25"/>
  <c r="CA89" i="25"/>
  <c r="CA90" i="25"/>
  <c r="CA86" i="25"/>
  <c r="CA85" i="25"/>
  <c r="CA84" i="25"/>
  <c r="CA88" i="25"/>
  <c r="CA87" i="25"/>
  <c r="CA92" i="25"/>
  <c r="CA81" i="25"/>
  <c r="CA79" i="25"/>
  <c r="CA80" i="25"/>
  <c r="CA82" i="25"/>
  <c r="CA83" i="25"/>
  <c r="CA72" i="25"/>
  <c r="CA77" i="25"/>
  <c r="CA71" i="25"/>
  <c r="CA76" i="25"/>
  <c r="CA70" i="25"/>
  <c r="CA75" i="25"/>
  <c r="CA69" i="25"/>
  <c r="CA78" i="25"/>
  <c r="CA74" i="25"/>
  <c r="CA68" i="25"/>
  <c r="CA65" i="25"/>
  <c r="CA64" i="25"/>
  <c r="CA73" i="25"/>
  <c r="CA63" i="25"/>
  <c r="CA67" i="25"/>
  <c r="CA66" i="25"/>
  <c r="CA62" i="25"/>
  <c r="CA60" i="25"/>
  <c r="CA57" i="25"/>
  <c r="CA56" i="25"/>
  <c r="CA50" i="25"/>
  <c r="CA55" i="25"/>
  <c r="CA61" i="25"/>
  <c r="CA54" i="25"/>
  <c r="CA58" i="25"/>
  <c r="CA53" i="25"/>
  <c r="CA59" i="25"/>
  <c r="CA52" i="25"/>
  <c r="CA46" i="25"/>
  <c r="CA49" i="25"/>
  <c r="CA47" i="25"/>
  <c r="CA51" i="25"/>
  <c r="CA48" i="25"/>
  <c r="CA44" i="25"/>
  <c r="CA45" i="25"/>
  <c r="CA43" i="25"/>
  <c r="CA39" i="25"/>
  <c r="CA36" i="25"/>
  <c r="CA40" i="25"/>
  <c r="CA35" i="25"/>
  <c r="CA41" i="25"/>
  <c r="CA34" i="25"/>
  <c r="CA33" i="25"/>
  <c r="CA32" i="25"/>
  <c r="CA26" i="25"/>
  <c r="CA42" i="25"/>
  <c r="CA38" i="25"/>
  <c r="CA37" i="25"/>
  <c r="CA31" i="25"/>
  <c r="CA25" i="25"/>
  <c r="CA21" i="25"/>
  <c r="CA20" i="25"/>
  <c r="CA30" i="25"/>
  <c r="CA27" i="25"/>
  <c r="CA22" i="25"/>
  <c r="CA17" i="25"/>
  <c r="CA28" i="25"/>
  <c r="CA23" i="25"/>
  <c r="CA16" i="25"/>
  <c r="CA10" i="25"/>
  <c r="CA9" i="25"/>
  <c r="CA8" i="25"/>
  <c r="CA7" i="25"/>
  <c r="CA19" i="25"/>
  <c r="CA11" i="25"/>
  <c r="CA12" i="25"/>
  <c r="CA29" i="25"/>
  <c r="CA13" i="25"/>
  <c r="CA14" i="25"/>
  <c r="CB5" i="25"/>
  <c r="CA24" i="25"/>
  <c r="CA18" i="25"/>
  <c r="CA15" i="25"/>
  <c r="CB114" i="25" l="1"/>
  <c r="CP115" i="25"/>
  <c r="CB111" i="25"/>
  <c r="CB107" i="25"/>
  <c r="CB105" i="25"/>
  <c r="CB104" i="25"/>
  <c r="CB109" i="25"/>
  <c r="CB110" i="25"/>
  <c r="CB103" i="25"/>
  <c r="CB108" i="25"/>
  <c r="CB113" i="25"/>
  <c r="CB95" i="25"/>
  <c r="CB102" i="25"/>
  <c r="CB106" i="25"/>
  <c r="CB94" i="25"/>
  <c r="CB98" i="25"/>
  <c r="CB97" i="25"/>
  <c r="CB96" i="25"/>
  <c r="CB92" i="25"/>
  <c r="CB112" i="25"/>
  <c r="CB101" i="25"/>
  <c r="CB100" i="25"/>
  <c r="CB91" i="25"/>
  <c r="CB89" i="25"/>
  <c r="CB90" i="25"/>
  <c r="CB93" i="25"/>
  <c r="CB99" i="25"/>
  <c r="CB84" i="25"/>
  <c r="CB88" i="25"/>
  <c r="CB87" i="25"/>
  <c r="CB86" i="25"/>
  <c r="CB78" i="25"/>
  <c r="CB80" i="25"/>
  <c r="CB82" i="25"/>
  <c r="CB81" i="25"/>
  <c r="CB83" i="25"/>
  <c r="CB85" i="25"/>
  <c r="CB72" i="25"/>
  <c r="CB79" i="25"/>
  <c r="CB77" i="25"/>
  <c r="CB71" i="25"/>
  <c r="CB76" i="25"/>
  <c r="CB70" i="25"/>
  <c r="CB75" i="25"/>
  <c r="CB69" i="25"/>
  <c r="CB74" i="25"/>
  <c r="CB68" i="25"/>
  <c r="CB65" i="25"/>
  <c r="CB64" i="25"/>
  <c r="CB73" i="25"/>
  <c r="CB63" i="25"/>
  <c r="CB57" i="25"/>
  <c r="CB67" i="25"/>
  <c r="CB66" i="25"/>
  <c r="CB62" i="25"/>
  <c r="CB55" i="25"/>
  <c r="CB61" i="25"/>
  <c r="CB54" i="25"/>
  <c r="CB58" i="25"/>
  <c r="CB53" i="25"/>
  <c r="CB59" i="25"/>
  <c r="CB52" i="25"/>
  <c r="CB51" i="25"/>
  <c r="CB45" i="25"/>
  <c r="CB46" i="25"/>
  <c r="CB47" i="25"/>
  <c r="CB60" i="25"/>
  <c r="CB50" i="25"/>
  <c r="CB48" i="25"/>
  <c r="CB44" i="25"/>
  <c r="CB56" i="25"/>
  <c r="CB40" i="25"/>
  <c r="CB35" i="25"/>
  <c r="CB41" i="25"/>
  <c r="CB34" i="25"/>
  <c r="CB33" i="25"/>
  <c r="CB49" i="25"/>
  <c r="CB32" i="25"/>
  <c r="CB42" i="25"/>
  <c r="CB38" i="25"/>
  <c r="CB37" i="25"/>
  <c r="CB31" i="25"/>
  <c r="CB25" i="25"/>
  <c r="CB20" i="25"/>
  <c r="CB43" i="25"/>
  <c r="CB19" i="25"/>
  <c r="CB26" i="25"/>
  <c r="CB30" i="25"/>
  <c r="CB18" i="25"/>
  <c r="CB36" i="25"/>
  <c r="CB27" i="25"/>
  <c r="CB22" i="25"/>
  <c r="CB28" i="25"/>
  <c r="CB23" i="25"/>
  <c r="CB29" i="25"/>
  <c r="CB24" i="25"/>
  <c r="CB9" i="25"/>
  <c r="CB8" i="25"/>
  <c r="CB7" i="25"/>
  <c r="CB21" i="25"/>
  <c r="CB11" i="25"/>
  <c r="CB10" i="25"/>
  <c r="CB12" i="25"/>
  <c r="CB13" i="25"/>
  <c r="CB14" i="25"/>
  <c r="CB16" i="25"/>
  <c r="CB17" i="25"/>
  <c r="CB15" i="25"/>
  <c r="CB39" i="25"/>
  <c r="CC5" i="25"/>
  <c r="CC112" i="25" l="1"/>
  <c r="CQ115" i="25"/>
  <c r="CC113" i="25"/>
  <c r="CC114" i="25"/>
  <c r="CC107" i="25"/>
  <c r="CC111" i="25"/>
  <c r="CC109" i="25"/>
  <c r="CC110" i="25"/>
  <c r="CC103" i="25"/>
  <c r="CC108" i="25"/>
  <c r="CC105" i="25"/>
  <c r="CC98" i="25"/>
  <c r="CC97" i="25"/>
  <c r="CC96" i="25"/>
  <c r="CC95" i="25"/>
  <c r="CC102" i="25"/>
  <c r="CC106" i="25"/>
  <c r="CC101" i="25"/>
  <c r="CC100" i="25"/>
  <c r="CC104" i="25"/>
  <c r="CC99" i="25"/>
  <c r="CC94" i="25"/>
  <c r="CC90" i="25"/>
  <c r="CC93" i="25"/>
  <c r="CC92" i="25"/>
  <c r="CC84" i="25"/>
  <c r="CC89" i="25"/>
  <c r="CC88" i="25"/>
  <c r="CC87" i="25"/>
  <c r="CC86" i="25"/>
  <c r="CC80" i="25"/>
  <c r="CC85" i="25"/>
  <c r="CC78" i="25"/>
  <c r="CC82" i="25"/>
  <c r="CC81" i="25"/>
  <c r="CC91" i="25"/>
  <c r="CC83" i="25"/>
  <c r="CC79" i="25"/>
  <c r="CC77" i="25"/>
  <c r="CC71" i="25"/>
  <c r="CC76" i="25"/>
  <c r="CC70" i="25"/>
  <c r="CC75" i="25"/>
  <c r="CC69" i="25"/>
  <c r="CC74" i="25"/>
  <c r="CC68" i="25"/>
  <c r="CC73" i="25"/>
  <c r="CC72" i="25"/>
  <c r="CC65" i="25"/>
  <c r="CC64" i="25"/>
  <c r="CC63" i="25"/>
  <c r="CC67" i="25"/>
  <c r="CC66" i="25"/>
  <c r="CC62" i="25"/>
  <c r="CC61" i="25"/>
  <c r="CC55" i="25"/>
  <c r="CC54" i="25"/>
  <c r="CC58" i="25"/>
  <c r="CC53" i="25"/>
  <c r="CC59" i="25"/>
  <c r="CC52" i="25"/>
  <c r="CC51" i="25"/>
  <c r="CC45" i="25"/>
  <c r="CC60" i="25"/>
  <c r="CC56" i="25"/>
  <c r="CC47" i="25"/>
  <c r="CC50" i="25"/>
  <c r="CC48" i="25"/>
  <c r="CC44" i="25"/>
  <c r="CC57" i="25"/>
  <c r="CC49" i="25"/>
  <c r="CC40" i="25"/>
  <c r="CC35" i="25"/>
  <c r="CC41" i="25"/>
  <c r="CC34" i="25"/>
  <c r="CC33" i="25"/>
  <c r="CC32" i="25"/>
  <c r="CC46" i="25"/>
  <c r="CC42" i="25"/>
  <c r="CC38" i="25"/>
  <c r="CC37" i="25"/>
  <c r="CC31" i="25"/>
  <c r="CC25" i="25"/>
  <c r="CC43" i="25"/>
  <c r="CC39" i="25"/>
  <c r="CC36" i="25"/>
  <c r="CC30" i="25"/>
  <c r="CC24" i="25"/>
  <c r="CC20" i="25"/>
  <c r="CC19" i="25"/>
  <c r="CC26" i="25"/>
  <c r="CC27" i="25"/>
  <c r="CC22" i="25"/>
  <c r="CC28" i="25"/>
  <c r="CC23" i="25"/>
  <c r="CC16" i="25"/>
  <c r="CC29" i="25"/>
  <c r="CC21" i="25"/>
  <c r="CC15" i="25"/>
  <c r="CC9" i="25"/>
  <c r="CC11" i="25"/>
  <c r="CC10" i="25"/>
  <c r="CC7" i="25"/>
  <c r="CC12" i="25"/>
  <c r="CC13" i="25"/>
  <c r="CC14" i="25"/>
  <c r="CB4" i="25"/>
  <c r="CC17" i="25"/>
  <c r="CC18" i="25"/>
  <c r="CD5" i="25"/>
  <c r="CC8" i="25"/>
  <c r="CD114" i="25" l="1"/>
  <c r="CD113" i="25"/>
  <c r="CR115" i="25"/>
  <c r="CD111" i="25"/>
  <c r="CD106" i="25"/>
  <c r="CD110" i="25"/>
  <c r="CD103" i="25"/>
  <c r="CD102" i="25"/>
  <c r="CD104" i="25"/>
  <c r="CD105" i="25"/>
  <c r="CD94" i="25"/>
  <c r="CD109" i="25"/>
  <c r="CD101" i="25"/>
  <c r="CD112" i="25"/>
  <c r="CD96" i="25"/>
  <c r="CD108" i="25"/>
  <c r="CD100" i="25"/>
  <c r="CD98" i="25"/>
  <c r="CD97" i="25"/>
  <c r="CD99" i="25"/>
  <c r="CD107" i="25"/>
  <c r="CD90" i="25"/>
  <c r="CD95" i="25"/>
  <c r="CD93" i="25"/>
  <c r="CD92" i="25"/>
  <c r="CD89" i="25"/>
  <c r="CD88" i="25"/>
  <c r="CD87" i="25"/>
  <c r="CD86" i="25"/>
  <c r="CD91" i="25"/>
  <c r="CD84" i="25"/>
  <c r="CD82" i="25"/>
  <c r="CD81" i="25"/>
  <c r="CD80" i="25"/>
  <c r="CD83" i="25"/>
  <c r="CD85" i="25"/>
  <c r="CD79" i="25"/>
  <c r="CD77" i="25"/>
  <c r="CD71" i="25"/>
  <c r="CD76" i="25"/>
  <c r="CD70" i="25"/>
  <c r="CD75" i="25"/>
  <c r="CD69" i="25"/>
  <c r="CD74" i="25"/>
  <c r="CD78" i="25"/>
  <c r="CD73" i="25"/>
  <c r="CD67" i="25"/>
  <c r="CD65" i="25"/>
  <c r="CD64" i="25"/>
  <c r="CD63" i="25"/>
  <c r="CD66" i="25"/>
  <c r="CD62" i="25"/>
  <c r="CD56" i="25"/>
  <c r="CD61" i="25"/>
  <c r="CD54" i="25"/>
  <c r="CD58" i="25"/>
  <c r="CD53" i="25"/>
  <c r="CD59" i="25"/>
  <c r="CD52" i="25"/>
  <c r="CD72" i="25"/>
  <c r="CD51" i="25"/>
  <c r="CD68" i="25"/>
  <c r="CD60" i="25"/>
  <c r="CD50" i="25"/>
  <c r="CD44" i="25"/>
  <c r="CD57" i="25"/>
  <c r="CD55" i="25"/>
  <c r="CD47" i="25"/>
  <c r="CD48" i="25"/>
  <c r="CD45" i="25"/>
  <c r="CD49" i="25"/>
  <c r="CD46" i="25"/>
  <c r="CD41" i="25"/>
  <c r="CD34" i="25"/>
  <c r="CD33" i="25"/>
  <c r="CD32" i="25"/>
  <c r="CD42" i="25"/>
  <c r="CD38" i="25"/>
  <c r="CD37" i="25"/>
  <c r="CD43" i="25"/>
  <c r="CD39" i="25"/>
  <c r="CD36" i="25"/>
  <c r="CD30" i="25"/>
  <c r="CD31" i="25"/>
  <c r="CD25" i="25"/>
  <c r="CD19" i="25"/>
  <c r="CD26" i="25"/>
  <c r="CD18" i="25"/>
  <c r="CD27" i="25"/>
  <c r="CD22" i="25"/>
  <c r="CD17" i="25"/>
  <c r="CD28" i="25"/>
  <c r="CD23" i="25"/>
  <c r="CD29" i="25"/>
  <c r="CD35" i="25"/>
  <c r="CD24" i="25"/>
  <c r="CD21" i="25"/>
  <c r="CD12" i="25"/>
  <c r="CD9" i="25"/>
  <c r="CD13" i="25"/>
  <c r="CD20" i="25"/>
  <c r="CD14" i="25"/>
  <c r="CD15" i="25"/>
  <c r="CD40" i="25"/>
  <c r="CE5" i="25"/>
  <c r="CD7" i="25"/>
  <c r="CD11" i="25"/>
  <c r="CD16" i="25"/>
  <c r="CD8" i="25"/>
  <c r="CD10" i="25"/>
  <c r="CS115" i="25" l="1"/>
  <c r="CE111" i="25"/>
  <c r="CE113" i="25"/>
  <c r="CE114" i="25"/>
  <c r="CE112" i="25"/>
  <c r="CE102" i="25"/>
  <c r="CE104" i="25"/>
  <c r="CE110" i="25"/>
  <c r="CE106" i="25"/>
  <c r="CE105" i="25"/>
  <c r="CE101" i="25"/>
  <c r="CE107" i="25"/>
  <c r="CE100" i="25"/>
  <c r="CE108" i="25"/>
  <c r="CE98" i="25"/>
  <c r="CE97" i="25"/>
  <c r="CE103" i="25"/>
  <c r="CE99" i="25"/>
  <c r="CE109" i="25"/>
  <c r="CE93" i="25"/>
  <c r="CE96" i="25"/>
  <c r="CE95" i="25"/>
  <c r="CE92" i="25"/>
  <c r="CE91" i="25"/>
  <c r="CE90" i="25"/>
  <c r="CE94" i="25"/>
  <c r="CE85" i="25"/>
  <c r="CE87" i="25"/>
  <c r="CE84" i="25"/>
  <c r="CE82" i="25"/>
  <c r="CE81" i="25"/>
  <c r="CE80" i="25"/>
  <c r="CE86" i="25"/>
  <c r="CE83" i="25"/>
  <c r="CE89" i="25"/>
  <c r="CE79" i="25"/>
  <c r="CE76" i="25"/>
  <c r="CE70" i="25"/>
  <c r="CE75" i="25"/>
  <c r="CE69" i="25"/>
  <c r="CE74" i="25"/>
  <c r="CE78" i="25"/>
  <c r="CE73" i="25"/>
  <c r="CE67" i="25"/>
  <c r="CE72" i="25"/>
  <c r="CE64" i="25"/>
  <c r="CE63" i="25"/>
  <c r="CE71" i="25"/>
  <c r="CE88" i="25"/>
  <c r="CE66" i="25"/>
  <c r="CE62" i="25"/>
  <c r="CE61" i="25"/>
  <c r="CE77" i="25"/>
  <c r="CE68" i="25"/>
  <c r="CE60" i="25"/>
  <c r="CE54" i="25"/>
  <c r="CE58" i="25"/>
  <c r="CE53" i="25"/>
  <c r="CE59" i="25"/>
  <c r="CE52" i="25"/>
  <c r="CE51" i="25"/>
  <c r="CE50" i="25"/>
  <c r="CE44" i="25"/>
  <c r="CE57" i="25"/>
  <c r="CE56" i="25"/>
  <c r="CE65" i="25"/>
  <c r="CE55" i="25"/>
  <c r="CE48" i="25"/>
  <c r="CE45" i="25"/>
  <c r="CE49" i="25"/>
  <c r="CE46" i="25"/>
  <c r="CE41" i="25"/>
  <c r="CE34" i="25"/>
  <c r="CE33" i="25"/>
  <c r="CE32" i="25"/>
  <c r="CE42" i="25"/>
  <c r="CE38" i="25"/>
  <c r="CE37" i="25"/>
  <c r="CE47" i="25"/>
  <c r="CE43" i="25"/>
  <c r="CE39" i="25"/>
  <c r="CE36" i="25"/>
  <c r="CE30" i="25"/>
  <c r="CE24" i="25"/>
  <c r="CE40" i="25"/>
  <c r="CE35" i="25"/>
  <c r="CE29" i="25"/>
  <c r="CE23" i="25"/>
  <c r="CE19" i="25"/>
  <c r="CE26" i="25"/>
  <c r="CE27" i="25"/>
  <c r="CE22" i="25"/>
  <c r="CE28" i="25"/>
  <c r="CE21" i="25"/>
  <c r="CE15" i="25"/>
  <c r="CE20" i="25"/>
  <c r="CE14" i="25"/>
  <c r="CE8" i="25"/>
  <c r="CE12" i="25"/>
  <c r="CE13" i="25"/>
  <c r="CE17" i="25"/>
  <c r="CF5" i="25"/>
  <c r="CE31" i="25"/>
  <c r="CE18" i="25"/>
  <c r="CE25" i="25"/>
  <c r="CE16" i="25"/>
  <c r="CE7" i="25"/>
  <c r="CE11" i="25"/>
  <c r="CE10" i="25"/>
  <c r="CE9" i="25"/>
  <c r="CF113" i="25" l="1"/>
  <c r="CF112" i="25"/>
  <c r="CF114" i="25"/>
  <c r="CF111" i="25"/>
  <c r="CF105" i="25"/>
  <c r="CF108" i="25"/>
  <c r="CF102" i="25"/>
  <c r="CF110" i="25"/>
  <c r="CF109" i="25"/>
  <c r="CF99" i="25"/>
  <c r="CT115" i="25"/>
  <c r="CF107" i="25"/>
  <c r="CF101" i="25"/>
  <c r="CF100" i="25"/>
  <c r="CF106" i="25"/>
  <c r="CF98" i="25"/>
  <c r="CF97" i="25"/>
  <c r="CF103" i="25"/>
  <c r="CF91" i="25"/>
  <c r="CF104" i="25"/>
  <c r="CF94" i="25"/>
  <c r="CF95" i="25"/>
  <c r="CF96" i="25"/>
  <c r="CF93" i="25"/>
  <c r="CF92" i="25"/>
  <c r="CF89" i="25"/>
  <c r="CF85" i="25"/>
  <c r="CF88" i="25"/>
  <c r="CF87" i="25"/>
  <c r="CF86" i="25"/>
  <c r="CF84" i="25"/>
  <c r="CF82" i="25"/>
  <c r="CF81" i="25"/>
  <c r="CF80" i="25"/>
  <c r="CF83" i="25"/>
  <c r="CF79" i="25"/>
  <c r="CF76" i="25"/>
  <c r="CF70" i="25"/>
  <c r="CF75" i="25"/>
  <c r="CF69" i="25"/>
  <c r="CF74" i="25"/>
  <c r="CF90" i="25"/>
  <c r="CF78" i="25"/>
  <c r="CF73" i="25"/>
  <c r="CF72" i="25"/>
  <c r="CF64" i="25"/>
  <c r="CF63" i="25"/>
  <c r="CF71" i="25"/>
  <c r="CF66" i="25"/>
  <c r="CF62" i="25"/>
  <c r="CF67" i="25"/>
  <c r="CF61" i="25"/>
  <c r="CF77" i="25"/>
  <c r="CF68" i="25"/>
  <c r="CF58" i="25"/>
  <c r="CF53" i="25"/>
  <c r="CF59" i="25"/>
  <c r="CF52" i="25"/>
  <c r="CF51" i="25"/>
  <c r="CF50" i="25"/>
  <c r="CF60" i="25"/>
  <c r="CF57" i="25"/>
  <c r="CF56" i="25"/>
  <c r="CF65" i="25"/>
  <c r="CF55" i="25"/>
  <c r="CF49" i="25"/>
  <c r="CF43" i="25"/>
  <c r="CF48" i="25"/>
  <c r="CF54" i="25"/>
  <c r="CF45" i="25"/>
  <c r="CF46" i="25"/>
  <c r="CF41" i="25"/>
  <c r="CF47" i="25"/>
  <c r="CF40" i="25"/>
  <c r="CF33" i="25"/>
  <c r="CF32" i="25"/>
  <c r="CF42" i="25"/>
  <c r="CF38" i="25"/>
  <c r="CF37" i="25"/>
  <c r="CF39" i="25"/>
  <c r="CF36" i="25"/>
  <c r="CF35" i="25"/>
  <c r="CF44" i="25"/>
  <c r="CF26" i="25"/>
  <c r="CF27" i="25"/>
  <c r="CF22" i="25"/>
  <c r="CF30" i="25"/>
  <c r="CF28" i="25"/>
  <c r="CF23" i="25"/>
  <c r="CF29" i="25"/>
  <c r="CF21" i="25"/>
  <c r="CF24" i="25"/>
  <c r="CF20" i="25"/>
  <c r="CF31" i="25"/>
  <c r="CF25" i="25"/>
  <c r="CF13" i="25"/>
  <c r="CF19" i="25"/>
  <c r="CF14" i="25"/>
  <c r="CF17" i="25"/>
  <c r="CF18" i="25"/>
  <c r="CF15" i="25"/>
  <c r="CG5" i="25"/>
  <c r="CF16" i="25"/>
  <c r="CF7" i="25"/>
  <c r="CF34" i="25"/>
  <c r="CF11" i="25"/>
  <c r="CF10" i="25"/>
  <c r="CF9" i="25"/>
  <c r="CF8" i="25"/>
  <c r="CF12" i="25"/>
  <c r="CG114" i="25" l="1"/>
  <c r="CU115" i="25"/>
  <c r="CG112" i="25"/>
  <c r="CG108" i="25"/>
  <c r="CG101" i="25"/>
  <c r="CG110" i="25"/>
  <c r="CG113" i="25"/>
  <c r="CG111" i="25"/>
  <c r="CG109" i="25"/>
  <c r="CG99" i="25"/>
  <c r="CG106" i="25"/>
  <c r="CG102" i="25"/>
  <c r="CG105" i="25"/>
  <c r="CG100" i="25"/>
  <c r="CG107" i="25"/>
  <c r="CG98" i="25"/>
  <c r="CG97" i="25"/>
  <c r="CG103" i="25"/>
  <c r="CG91" i="25"/>
  <c r="CG104" i="25"/>
  <c r="CG94" i="25"/>
  <c r="CG96" i="25"/>
  <c r="CG95" i="25"/>
  <c r="CG93" i="25"/>
  <c r="CG92" i="25"/>
  <c r="CG89" i="25"/>
  <c r="CG85" i="25"/>
  <c r="CG84" i="25"/>
  <c r="CG90" i="25"/>
  <c r="CG87" i="25"/>
  <c r="CG82" i="25"/>
  <c r="CG81" i="25"/>
  <c r="CG80" i="25"/>
  <c r="CG83" i="25"/>
  <c r="CG86" i="25"/>
  <c r="CG79" i="25"/>
  <c r="CG88" i="25"/>
  <c r="CG75" i="25"/>
  <c r="CG69" i="25"/>
  <c r="CG74" i="25"/>
  <c r="CG68" i="25"/>
  <c r="CG78" i="25"/>
  <c r="CG73" i="25"/>
  <c r="CG72" i="25"/>
  <c r="CG66" i="25"/>
  <c r="CG77" i="25"/>
  <c r="CG71" i="25"/>
  <c r="CG63" i="25"/>
  <c r="CG76" i="25"/>
  <c r="CG62" i="25"/>
  <c r="CG67" i="25"/>
  <c r="CG60" i="25"/>
  <c r="CG70" i="25"/>
  <c r="CG65" i="25"/>
  <c r="CG59" i="25"/>
  <c r="CG61" i="25"/>
  <c r="CG58" i="25"/>
  <c r="CG53" i="25"/>
  <c r="CG52" i="25"/>
  <c r="CG64" i="25"/>
  <c r="CG50" i="25"/>
  <c r="CG57" i="25"/>
  <c r="CG56" i="25"/>
  <c r="CG55" i="25"/>
  <c r="CG49" i="25"/>
  <c r="CG43" i="25"/>
  <c r="CG54" i="25"/>
  <c r="CG51" i="25"/>
  <c r="CG44" i="25"/>
  <c r="CG45" i="25"/>
  <c r="CG46" i="25"/>
  <c r="CG47" i="25"/>
  <c r="CG42" i="25"/>
  <c r="CG33" i="25"/>
  <c r="CG41" i="25"/>
  <c r="CG32" i="25"/>
  <c r="CG38" i="25"/>
  <c r="CG37" i="25"/>
  <c r="CG48" i="25"/>
  <c r="CG39" i="25"/>
  <c r="CG36" i="25"/>
  <c r="CG35" i="25"/>
  <c r="CG29" i="25"/>
  <c r="CG23" i="25"/>
  <c r="CG40" i="25"/>
  <c r="CG34" i="25"/>
  <c r="CG28" i="25"/>
  <c r="CG22" i="25"/>
  <c r="CG18" i="25"/>
  <c r="CG27" i="25"/>
  <c r="CG30" i="25"/>
  <c r="CG21" i="25"/>
  <c r="CG24" i="25"/>
  <c r="CG20" i="25"/>
  <c r="CG14" i="25"/>
  <c r="CG31" i="25"/>
  <c r="CG25" i="25"/>
  <c r="CG19" i="25"/>
  <c r="CG13" i="25"/>
  <c r="CG7" i="25"/>
  <c r="CH5" i="25"/>
  <c r="CG17" i="25"/>
  <c r="CG15" i="25"/>
  <c r="CF4" i="25"/>
  <c r="CG26" i="25"/>
  <c r="CG16" i="25"/>
  <c r="CG11" i="25"/>
  <c r="CG10" i="25"/>
  <c r="CG9" i="25"/>
  <c r="CG8" i="25"/>
  <c r="CG12" i="25"/>
  <c r="CH111" i="25" l="1"/>
  <c r="CH112" i="25"/>
  <c r="CH108" i="25"/>
  <c r="CV115" i="25"/>
  <c r="CH101" i="25"/>
  <c r="CH114" i="25"/>
  <c r="CH113" i="25"/>
  <c r="CH99" i="25"/>
  <c r="CH110" i="25"/>
  <c r="CH109" i="25"/>
  <c r="CH106" i="25"/>
  <c r="CH102" i="25"/>
  <c r="CH107" i="25"/>
  <c r="CH100" i="25"/>
  <c r="CH98" i="25"/>
  <c r="CH103" i="25"/>
  <c r="CH104" i="25"/>
  <c r="CH90" i="25"/>
  <c r="CH105" i="25"/>
  <c r="CH95" i="25"/>
  <c r="CH93" i="25"/>
  <c r="CH92" i="25"/>
  <c r="CH96" i="25"/>
  <c r="CH97" i="25"/>
  <c r="CH89" i="25"/>
  <c r="CH91" i="25"/>
  <c r="CH94" i="25"/>
  <c r="CH85" i="25"/>
  <c r="CH84" i="25"/>
  <c r="CH88" i="25"/>
  <c r="CH87" i="25"/>
  <c r="CH86" i="25"/>
  <c r="CH83" i="25"/>
  <c r="CH79" i="25"/>
  <c r="CH78" i="25"/>
  <c r="CH75" i="25"/>
  <c r="CH69" i="25"/>
  <c r="CH82" i="25"/>
  <c r="CH81" i="25"/>
  <c r="CH74" i="25"/>
  <c r="CH73" i="25"/>
  <c r="CH80" i="25"/>
  <c r="CH72" i="25"/>
  <c r="CH77" i="25"/>
  <c r="CH71" i="25"/>
  <c r="CH63" i="25"/>
  <c r="CH76" i="25"/>
  <c r="CH62" i="25"/>
  <c r="CH67" i="25"/>
  <c r="CH66" i="25"/>
  <c r="CH60" i="25"/>
  <c r="CH68" i="25"/>
  <c r="CH70" i="25"/>
  <c r="CH65" i="25"/>
  <c r="CH52" i="25"/>
  <c r="CH64" i="25"/>
  <c r="CH59" i="25"/>
  <c r="CH57" i="25"/>
  <c r="CH56" i="25"/>
  <c r="CH55" i="25"/>
  <c r="CH49" i="25"/>
  <c r="CH54" i="25"/>
  <c r="CH48" i="25"/>
  <c r="CH42" i="25"/>
  <c r="CH51" i="25"/>
  <c r="CH50" i="25"/>
  <c r="CH44" i="25"/>
  <c r="CH45" i="25"/>
  <c r="CH61" i="25"/>
  <c r="CH58" i="25"/>
  <c r="CH53" i="25"/>
  <c r="CH46" i="25"/>
  <c r="CH47" i="25"/>
  <c r="CH40" i="25"/>
  <c r="CH39" i="25"/>
  <c r="CH41" i="25"/>
  <c r="CH32" i="25"/>
  <c r="CH38" i="25"/>
  <c r="CH37" i="25"/>
  <c r="CH36" i="25"/>
  <c r="CH43" i="25"/>
  <c r="CH35" i="25"/>
  <c r="CH34" i="25"/>
  <c r="CH27" i="25"/>
  <c r="CH22" i="25"/>
  <c r="CH33" i="25"/>
  <c r="CH30" i="25"/>
  <c r="CH28" i="25"/>
  <c r="CH23" i="25"/>
  <c r="CH21" i="25"/>
  <c r="CH29" i="25"/>
  <c r="CH24" i="25"/>
  <c r="CH20" i="25"/>
  <c r="CH31" i="25"/>
  <c r="CH25" i="25"/>
  <c r="CH19" i="25"/>
  <c r="CH26" i="25"/>
  <c r="CH13" i="25"/>
  <c r="CH14" i="25"/>
  <c r="CI5" i="25"/>
  <c r="CH17" i="25"/>
  <c r="CH15" i="25"/>
  <c r="CH18" i="25"/>
  <c r="CH16" i="25"/>
  <c r="CH7" i="25"/>
  <c r="BX3" i="25"/>
  <c r="CH11" i="25"/>
  <c r="CH10" i="25"/>
  <c r="CH9" i="25"/>
  <c r="CH8" i="25"/>
  <c r="CH12" i="25"/>
  <c r="CI113" i="25" l="1"/>
  <c r="CW115" i="25"/>
  <c r="CI112" i="25"/>
  <c r="CI110" i="25"/>
  <c r="CI109" i="25"/>
  <c r="CI114" i="25"/>
  <c r="CI100" i="25"/>
  <c r="CI111" i="25"/>
  <c r="CI106" i="25"/>
  <c r="CI102" i="25"/>
  <c r="CI99" i="25"/>
  <c r="CI107" i="25"/>
  <c r="CI98" i="25"/>
  <c r="CI108" i="25"/>
  <c r="CI103" i="25"/>
  <c r="CI104" i="25"/>
  <c r="CI90" i="25"/>
  <c r="CI101" i="25"/>
  <c r="CI94" i="25"/>
  <c r="CI105" i="25"/>
  <c r="CI95" i="25"/>
  <c r="CI93" i="25"/>
  <c r="CI92" i="25"/>
  <c r="CI97" i="25"/>
  <c r="CI91" i="25"/>
  <c r="CI89" i="25"/>
  <c r="CI88" i="25"/>
  <c r="CI85" i="25"/>
  <c r="CI84" i="25"/>
  <c r="CI87" i="25"/>
  <c r="CI86" i="25"/>
  <c r="CI83" i="25"/>
  <c r="CI96" i="25"/>
  <c r="CI79" i="25"/>
  <c r="CI82" i="25"/>
  <c r="CI81" i="25"/>
  <c r="CI74" i="25"/>
  <c r="CI68" i="25"/>
  <c r="CI78" i="25"/>
  <c r="CI73" i="25"/>
  <c r="CI80" i="25"/>
  <c r="CI72" i="25"/>
  <c r="CI77" i="25"/>
  <c r="CI71" i="25"/>
  <c r="CI76" i="25"/>
  <c r="CI70" i="25"/>
  <c r="CI62" i="25"/>
  <c r="CI69" i="25"/>
  <c r="CI67" i="25"/>
  <c r="CI66" i="25"/>
  <c r="CI75" i="25"/>
  <c r="CI65" i="25"/>
  <c r="CI64" i="25"/>
  <c r="CI58" i="25"/>
  <c r="CI52" i="25"/>
  <c r="CI59" i="25"/>
  <c r="CI51" i="25"/>
  <c r="CI57" i="25"/>
  <c r="CI56" i="25"/>
  <c r="CI55" i="25"/>
  <c r="CI60" i="25"/>
  <c r="CI63" i="25"/>
  <c r="CI54" i="25"/>
  <c r="CI48" i="25"/>
  <c r="CI42" i="25"/>
  <c r="CI61" i="25"/>
  <c r="CI53" i="25"/>
  <c r="CI50" i="25"/>
  <c r="CI44" i="25"/>
  <c r="CI45" i="25"/>
  <c r="CI46" i="25"/>
  <c r="CI49" i="25"/>
  <c r="CI47" i="25"/>
  <c r="CI32" i="25"/>
  <c r="CI38" i="25"/>
  <c r="CI37" i="25"/>
  <c r="CI31" i="25"/>
  <c r="CI36" i="25"/>
  <c r="CI39" i="25"/>
  <c r="CI43" i="25"/>
  <c r="CI35" i="25"/>
  <c r="CI40" i="25"/>
  <c r="CI34" i="25"/>
  <c r="CI28" i="25"/>
  <c r="CI22" i="25"/>
  <c r="CI33" i="25"/>
  <c r="CI27" i="25"/>
  <c r="CI17" i="25"/>
  <c r="CI30" i="25"/>
  <c r="CI23" i="25"/>
  <c r="CI21" i="25"/>
  <c r="CI29" i="25"/>
  <c r="CI24" i="25"/>
  <c r="CI20" i="25"/>
  <c r="CI25" i="25"/>
  <c r="CI19" i="25"/>
  <c r="CI13" i="25"/>
  <c r="CI26" i="25"/>
  <c r="CI18" i="25"/>
  <c r="CI12" i="25"/>
  <c r="CI14" i="25"/>
  <c r="CI15" i="25"/>
  <c r="CJ5" i="25"/>
  <c r="CI16" i="25"/>
  <c r="CI41" i="25"/>
  <c r="CI11" i="25"/>
  <c r="CI10" i="25"/>
  <c r="CI9" i="25"/>
  <c r="CI8" i="25"/>
  <c r="CI7" i="25"/>
  <c r="CX115" i="25" l="1"/>
  <c r="CJ114" i="25"/>
  <c r="CJ109" i="25"/>
  <c r="CJ100" i="25"/>
  <c r="CJ112" i="25"/>
  <c r="CJ108" i="25"/>
  <c r="CJ102" i="25"/>
  <c r="CJ107" i="25"/>
  <c r="CJ103" i="25"/>
  <c r="CJ97" i="25"/>
  <c r="CJ104" i="25"/>
  <c r="CJ101" i="25"/>
  <c r="CJ94" i="25"/>
  <c r="CJ89" i="25"/>
  <c r="CJ105" i="25"/>
  <c r="CJ99" i="25"/>
  <c r="CJ95" i="25"/>
  <c r="CJ110" i="25"/>
  <c r="CJ106" i="25"/>
  <c r="CJ111" i="25"/>
  <c r="CJ93" i="25"/>
  <c r="CJ113" i="25"/>
  <c r="CJ92" i="25"/>
  <c r="CJ91" i="25"/>
  <c r="CJ90" i="25"/>
  <c r="CJ85" i="25"/>
  <c r="CJ84" i="25"/>
  <c r="CJ87" i="25"/>
  <c r="CJ86" i="25"/>
  <c r="CJ88" i="25"/>
  <c r="CJ83" i="25"/>
  <c r="CJ96" i="25"/>
  <c r="CJ98" i="25"/>
  <c r="CJ79" i="25"/>
  <c r="CJ82" i="25"/>
  <c r="CJ81" i="25"/>
  <c r="CJ80" i="25"/>
  <c r="CJ74" i="25"/>
  <c r="CJ78" i="25"/>
  <c r="CJ73" i="25"/>
  <c r="CJ72" i="25"/>
  <c r="CJ77" i="25"/>
  <c r="CJ71" i="25"/>
  <c r="CJ76" i="25"/>
  <c r="CJ70" i="25"/>
  <c r="CJ62" i="25"/>
  <c r="CJ69" i="25"/>
  <c r="CJ67" i="25"/>
  <c r="CJ66" i="25"/>
  <c r="CJ75" i="25"/>
  <c r="CJ68" i="25"/>
  <c r="CJ65" i="25"/>
  <c r="CJ59" i="25"/>
  <c r="CJ64" i="25"/>
  <c r="CJ57" i="25"/>
  <c r="CJ56" i="25"/>
  <c r="CJ55" i="25"/>
  <c r="CJ60" i="25"/>
  <c r="CJ63" i="25"/>
  <c r="CJ54" i="25"/>
  <c r="CJ61" i="25"/>
  <c r="CJ53" i="25"/>
  <c r="CJ47" i="25"/>
  <c r="CJ58" i="25"/>
  <c r="CJ50" i="25"/>
  <c r="CJ44" i="25"/>
  <c r="CJ51" i="25"/>
  <c r="CJ45" i="25"/>
  <c r="CJ46" i="25"/>
  <c r="CJ52" i="25"/>
  <c r="CJ49" i="25"/>
  <c r="CJ39" i="25"/>
  <c r="CJ42" i="25"/>
  <c r="CJ48" i="25"/>
  <c r="CJ38" i="25"/>
  <c r="CJ37" i="25"/>
  <c r="CJ31" i="25"/>
  <c r="CJ36" i="25"/>
  <c r="CJ43" i="25"/>
  <c r="CJ35" i="25"/>
  <c r="CJ40" i="25"/>
  <c r="CJ34" i="25"/>
  <c r="CJ33" i="25"/>
  <c r="CJ41" i="25"/>
  <c r="CJ30" i="25"/>
  <c r="CJ22" i="25"/>
  <c r="CJ28" i="25"/>
  <c r="CJ23" i="25"/>
  <c r="CJ21" i="25"/>
  <c r="CJ29" i="25"/>
  <c r="CJ24" i="25"/>
  <c r="CJ32" i="25"/>
  <c r="CJ20" i="25"/>
  <c r="CJ25" i="25"/>
  <c r="CJ19" i="25"/>
  <c r="CJ26" i="25"/>
  <c r="CJ18" i="25"/>
  <c r="CJ14" i="25"/>
  <c r="CJ7" i="25"/>
  <c r="CK5" i="25"/>
  <c r="CJ17" i="25"/>
  <c r="CJ15" i="25"/>
  <c r="CJ8" i="25"/>
  <c r="CJ16" i="25"/>
  <c r="CJ11" i="25"/>
  <c r="CJ10" i="25"/>
  <c r="CJ9" i="25"/>
  <c r="CJ27" i="25"/>
  <c r="CJ12" i="25"/>
  <c r="CJ13" i="25"/>
  <c r="CK109" i="25" l="1"/>
  <c r="CK108" i="25"/>
  <c r="CK113" i="25"/>
  <c r="CK111" i="25"/>
  <c r="CY115" i="25"/>
  <c r="CK110" i="25"/>
  <c r="CK112" i="25"/>
  <c r="CK99" i="25"/>
  <c r="CK107" i="25"/>
  <c r="CK105" i="25"/>
  <c r="CK103" i="25"/>
  <c r="CK100" i="25"/>
  <c r="CK114" i="25"/>
  <c r="CK102" i="25"/>
  <c r="CK104" i="25"/>
  <c r="CK101" i="25"/>
  <c r="CK89" i="25"/>
  <c r="CK95" i="25"/>
  <c r="CK93" i="25"/>
  <c r="CK92" i="25"/>
  <c r="CK96" i="25"/>
  <c r="CK94" i="25"/>
  <c r="CK98" i="25"/>
  <c r="CK97" i="25"/>
  <c r="CK91" i="25"/>
  <c r="CK90" i="25"/>
  <c r="CK106" i="25"/>
  <c r="CK87" i="25"/>
  <c r="CK85" i="25"/>
  <c r="CK84" i="25"/>
  <c r="CK86" i="25"/>
  <c r="CK88" i="25"/>
  <c r="CK82" i="25"/>
  <c r="CK83" i="25"/>
  <c r="CK79" i="25"/>
  <c r="CK81" i="25"/>
  <c r="CK80" i="25"/>
  <c r="CK78" i="25"/>
  <c r="CK73" i="25"/>
  <c r="CK72" i="25"/>
  <c r="CK77" i="25"/>
  <c r="CK71" i="25"/>
  <c r="CK76" i="25"/>
  <c r="CK70" i="25"/>
  <c r="CK75" i="25"/>
  <c r="CK69" i="25"/>
  <c r="CK74" i="25"/>
  <c r="CK67" i="25"/>
  <c r="CK66" i="25"/>
  <c r="CK61" i="25"/>
  <c r="CK68" i="25"/>
  <c r="CK65" i="25"/>
  <c r="CK64" i="25"/>
  <c r="CK63" i="25"/>
  <c r="CK59" i="25"/>
  <c r="CK51" i="25"/>
  <c r="CK62" i="25"/>
  <c r="CK57" i="25"/>
  <c r="CK56" i="25"/>
  <c r="CK55" i="25"/>
  <c r="CK60" i="25"/>
  <c r="CK54" i="25"/>
  <c r="CK53" i="25"/>
  <c r="CK47" i="25"/>
  <c r="CK41" i="25"/>
  <c r="CK58" i="25"/>
  <c r="CK45" i="25"/>
  <c r="CK46" i="25"/>
  <c r="CK52" i="25"/>
  <c r="CK49" i="25"/>
  <c r="CK42" i="25"/>
  <c r="CK48" i="25"/>
  <c r="CK43" i="25"/>
  <c r="CK37" i="25"/>
  <c r="CK31" i="25"/>
  <c r="CK38" i="25"/>
  <c r="CK36" i="25"/>
  <c r="CK39" i="25"/>
  <c r="CK35" i="25"/>
  <c r="CK50" i="25"/>
  <c r="CK40" i="25"/>
  <c r="CK34" i="25"/>
  <c r="CK33" i="25"/>
  <c r="CK27" i="25"/>
  <c r="CK44" i="25"/>
  <c r="CK32" i="25"/>
  <c r="CK26" i="25"/>
  <c r="CK28" i="25"/>
  <c r="CK23" i="25"/>
  <c r="CK21" i="25"/>
  <c r="CK29" i="25"/>
  <c r="CK24" i="25"/>
  <c r="CK20" i="25"/>
  <c r="CK25" i="25"/>
  <c r="CK18" i="25"/>
  <c r="CK12" i="25"/>
  <c r="CK17" i="25"/>
  <c r="CK11" i="25"/>
  <c r="CK19" i="25"/>
  <c r="CK14" i="25"/>
  <c r="CK15" i="25"/>
  <c r="CL5" i="25"/>
  <c r="CK16" i="25"/>
  <c r="CK7" i="25"/>
  <c r="CK10" i="25"/>
  <c r="CK9" i="25"/>
  <c r="CK8" i="25"/>
  <c r="CK30" i="25"/>
  <c r="CK13" i="25"/>
  <c r="CK22" i="25"/>
  <c r="CZ115" i="25" l="1"/>
  <c r="CL113" i="25"/>
  <c r="CL111" i="25"/>
  <c r="CL109" i="25"/>
  <c r="CL110" i="25"/>
  <c r="CL112" i="25"/>
  <c r="CL99" i="25"/>
  <c r="CL108" i="25"/>
  <c r="CL107" i="25"/>
  <c r="CL106" i="25"/>
  <c r="CL104" i="25"/>
  <c r="CL105" i="25"/>
  <c r="CL100" i="25"/>
  <c r="CL103" i="25"/>
  <c r="CL114" i="25"/>
  <c r="CL101" i="25"/>
  <c r="CL96" i="25"/>
  <c r="CL102" i="25"/>
  <c r="CL93" i="25"/>
  <c r="CL95" i="25"/>
  <c r="CL92" i="25"/>
  <c r="CL98" i="25"/>
  <c r="CL97" i="25"/>
  <c r="CL89" i="25"/>
  <c r="CL91" i="25"/>
  <c r="CL90" i="25"/>
  <c r="CL94" i="25"/>
  <c r="CL85" i="25"/>
  <c r="CL84" i="25"/>
  <c r="CL86" i="25"/>
  <c r="CL88" i="25"/>
  <c r="CL87" i="25"/>
  <c r="CL82" i="25"/>
  <c r="CL79" i="25"/>
  <c r="CL81" i="25"/>
  <c r="CL80" i="25"/>
  <c r="CL83" i="25"/>
  <c r="CL78" i="25"/>
  <c r="CL73" i="25"/>
  <c r="CL72" i="25"/>
  <c r="CL77" i="25"/>
  <c r="CL71" i="25"/>
  <c r="CL76" i="25"/>
  <c r="CL70" i="25"/>
  <c r="CL75" i="25"/>
  <c r="CL69" i="25"/>
  <c r="CL68" i="25"/>
  <c r="CL65" i="25"/>
  <c r="CL64" i="25"/>
  <c r="CL58" i="25"/>
  <c r="CL63" i="25"/>
  <c r="CL62" i="25"/>
  <c r="CL57" i="25"/>
  <c r="CL56" i="25"/>
  <c r="CL55" i="25"/>
  <c r="CL67" i="25"/>
  <c r="CL60" i="25"/>
  <c r="CL66" i="25"/>
  <c r="CL54" i="25"/>
  <c r="CL74" i="25"/>
  <c r="CL53" i="25"/>
  <c r="CL61" i="25"/>
  <c r="CL52" i="25"/>
  <c r="CL46" i="25"/>
  <c r="CL51" i="25"/>
  <c r="CL45" i="25"/>
  <c r="CL59" i="25"/>
  <c r="CL49" i="25"/>
  <c r="CL47" i="25"/>
  <c r="CL48" i="25"/>
  <c r="CL38" i="25"/>
  <c r="CL43" i="25"/>
  <c r="CL50" i="25"/>
  <c r="CL44" i="25"/>
  <c r="CL36" i="25"/>
  <c r="CL39" i="25"/>
  <c r="CL35" i="25"/>
  <c r="CL42" i="25"/>
  <c r="CL40" i="25"/>
  <c r="CL34" i="25"/>
  <c r="CL33" i="25"/>
  <c r="CL41" i="25"/>
  <c r="CL32" i="25"/>
  <c r="CL28" i="25"/>
  <c r="CL23" i="25"/>
  <c r="CL21" i="25"/>
  <c r="CL37" i="25"/>
  <c r="CL29" i="25"/>
  <c r="CL24" i="25"/>
  <c r="CL20" i="25"/>
  <c r="CL25" i="25"/>
  <c r="CL19" i="25"/>
  <c r="CL31" i="25"/>
  <c r="CL26" i="25"/>
  <c r="CL30" i="25"/>
  <c r="CL27" i="25"/>
  <c r="CL22" i="25"/>
  <c r="CL15" i="25"/>
  <c r="CM5" i="25"/>
  <c r="CL17" i="25"/>
  <c r="CL16" i="25"/>
  <c r="CL10" i="25"/>
  <c r="CL9" i="25"/>
  <c r="CL8" i="25"/>
  <c r="CL7" i="25"/>
  <c r="CL18" i="25"/>
  <c r="CL11" i="25"/>
  <c r="CL12" i="25"/>
  <c r="CK4" i="25"/>
  <c r="CK3" i="25"/>
  <c r="CL13" i="25"/>
  <c r="CL14" i="25"/>
  <c r="CM114" i="25" l="1"/>
  <c r="CM113" i="25"/>
  <c r="CM110" i="25"/>
  <c r="CM109" i="25"/>
  <c r="DA115" i="25"/>
  <c r="CM107" i="25"/>
  <c r="CM108" i="25"/>
  <c r="CM106" i="25"/>
  <c r="CM104" i="25"/>
  <c r="CM105" i="25"/>
  <c r="CM103" i="25"/>
  <c r="CM100" i="25"/>
  <c r="CM101" i="25"/>
  <c r="CM99" i="25"/>
  <c r="CM95" i="25"/>
  <c r="CM111" i="25"/>
  <c r="CM93" i="25"/>
  <c r="CM96" i="25"/>
  <c r="CM112" i="25"/>
  <c r="CM91" i="25"/>
  <c r="CM102" i="25"/>
  <c r="CM98" i="25"/>
  <c r="CM92" i="25"/>
  <c r="CM97" i="25"/>
  <c r="CM89" i="25"/>
  <c r="CM90" i="25"/>
  <c r="CM94" i="25"/>
  <c r="CM86" i="25"/>
  <c r="CM85" i="25"/>
  <c r="CM84" i="25"/>
  <c r="CM88" i="25"/>
  <c r="CM87" i="25"/>
  <c r="CM81" i="25"/>
  <c r="CM79" i="25"/>
  <c r="CM78" i="25"/>
  <c r="CM80" i="25"/>
  <c r="CM82" i="25"/>
  <c r="CM72" i="25"/>
  <c r="CM77" i="25"/>
  <c r="CM71" i="25"/>
  <c r="CM76" i="25"/>
  <c r="CM70" i="25"/>
  <c r="CM75" i="25"/>
  <c r="CM69" i="25"/>
  <c r="CM74" i="25"/>
  <c r="CM68" i="25"/>
  <c r="CM65" i="25"/>
  <c r="CM83" i="25"/>
  <c r="CM73" i="25"/>
  <c r="CM64" i="25"/>
  <c r="CM63" i="25"/>
  <c r="CM62" i="25"/>
  <c r="CM50" i="25"/>
  <c r="CM57" i="25"/>
  <c r="CM56" i="25"/>
  <c r="CM55" i="25"/>
  <c r="CM67" i="25"/>
  <c r="CM60" i="25"/>
  <c r="CM66" i="25"/>
  <c r="CM54" i="25"/>
  <c r="CM53" i="25"/>
  <c r="CM61" i="25"/>
  <c r="CM58" i="25"/>
  <c r="CM52" i="25"/>
  <c r="CM46" i="25"/>
  <c r="CM59" i="25"/>
  <c r="CM49" i="25"/>
  <c r="CM47" i="25"/>
  <c r="CM48" i="25"/>
  <c r="CM43" i="25"/>
  <c r="CM44" i="25"/>
  <c r="CM38" i="25"/>
  <c r="CM36" i="25"/>
  <c r="CM39" i="25"/>
  <c r="CM35" i="25"/>
  <c r="CM42" i="25"/>
  <c r="CM40" i="25"/>
  <c r="CM34" i="25"/>
  <c r="CM33" i="25"/>
  <c r="CM45" i="25"/>
  <c r="CM41" i="25"/>
  <c r="CM32" i="25"/>
  <c r="CM26" i="25"/>
  <c r="CM51" i="25"/>
  <c r="CM37" i="25"/>
  <c r="CM31" i="25"/>
  <c r="CM25" i="25"/>
  <c r="CM21" i="25"/>
  <c r="CM29" i="25"/>
  <c r="CM24" i="25"/>
  <c r="CM20" i="25"/>
  <c r="CM17" i="25"/>
  <c r="CM30" i="25"/>
  <c r="CM27" i="25"/>
  <c r="CM22" i="25"/>
  <c r="CM16" i="25"/>
  <c r="CM10" i="25"/>
  <c r="CM19" i="25"/>
  <c r="CM9" i="25"/>
  <c r="CM8" i="25"/>
  <c r="CM7" i="25"/>
  <c r="CM18" i="25"/>
  <c r="CM11" i="25"/>
  <c r="CN5" i="25"/>
  <c r="CM28" i="25"/>
  <c r="CM12" i="25"/>
  <c r="CM15" i="25"/>
  <c r="CM13" i="25"/>
  <c r="CM23" i="25"/>
  <c r="CM14" i="25"/>
  <c r="CN114" i="25" l="1"/>
  <c r="CN113" i="25"/>
  <c r="DB115" i="25"/>
  <c r="CN111" i="25"/>
  <c r="CN110" i="25"/>
  <c r="CN107" i="25"/>
  <c r="CN106" i="25"/>
  <c r="CN104" i="25"/>
  <c r="CN105" i="25"/>
  <c r="CN103" i="25"/>
  <c r="CN101" i="25"/>
  <c r="CN95" i="25"/>
  <c r="CN108" i="25"/>
  <c r="CN99" i="25"/>
  <c r="CN94" i="25"/>
  <c r="CN92" i="25"/>
  <c r="CN112" i="25"/>
  <c r="CN97" i="25"/>
  <c r="CN96" i="25"/>
  <c r="CN100" i="25"/>
  <c r="CN102" i="25"/>
  <c r="CN98" i="25"/>
  <c r="CN93" i="25"/>
  <c r="CN109" i="25"/>
  <c r="CN89" i="25"/>
  <c r="CN88" i="25"/>
  <c r="CN91" i="25"/>
  <c r="CN90" i="25"/>
  <c r="CN84" i="25"/>
  <c r="CN87" i="25"/>
  <c r="CN86" i="25"/>
  <c r="CN78" i="25"/>
  <c r="CN80" i="25"/>
  <c r="CN81" i="25"/>
  <c r="CN85" i="25"/>
  <c r="CN82" i="25"/>
  <c r="CN83" i="25"/>
  <c r="CN72" i="25"/>
  <c r="CN77" i="25"/>
  <c r="CN71" i="25"/>
  <c r="CN76" i="25"/>
  <c r="CN70" i="25"/>
  <c r="CN75" i="25"/>
  <c r="CN69" i="25"/>
  <c r="CN74" i="25"/>
  <c r="CN68" i="25"/>
  <c r="CN79" i="25"/>
  <c r="CN65" i="25"/>
  <c r="CN73" i="25"/>
  <c r="CN64" i="25"/>
  <c r="CN63" i="25"/>
  <c r="CN57" i="25"/>
  <c r="CN62" i="25"/>
  <c r="CN67" i="25"/>
  <c r="CN66" i="25"/>
  <c r="CN56" i="25"/>
  <c r="CN55" i="25"/>
  <c r="CN60" i="25"/>
  <c r="CN54" i="25"/>
  <c r="CN53" i="25"/>
  <c r="CN61" i="25"/>
  <c r="CN58" i="25"/>
  <c r="CN52" i="25"/>
  <c r="CN59" i="25"/>
  <c r="CN51" i="25"/>
  <c r="CN45" i="25"/>
  <c r="CN49" i="25"/>
  <c r="CN46" i="25"/>
  <c r="CN47" i="25"/>
  <c r="CN48" i="25"/>
  <c r="CN44" i="25"/>
  <c r="CN50" i="25"/>
  <c r="CN39" i="25"/>
  <c r="CN35" i="25"/>
  <c r="CN42" i="25"/>
  <c r="CN40" i="25"/>
  <c r="CN34" i="25"/>
  <c r="CN43" i="25"/>
  <c r="CN33" i="25"/>
  <c r="CN41" i="25"/>
  <c r="CN32" i="25"/>
  <c r="CN37" i="25"/>
  <c r="CN31" i="25"/>
  <c r="CN29" i="25"/>
  <c r="CN24" i="25"/>
  <c r="CN20" i="25"/>
  <c r="CN25" i="25"/>
  <c r="CN19" i="25"/>
  <c r="CN36" i="25"/>
  <c r="CN18" i="25"/>
  <c r="CN26" i="25"/>
  <c r="CN30" i="25"/>
  <c r="CN27" i="25"/>
  <c r="CN22" i="25"/>
  <c r="CN28" i="25"/>
  <c r="CN23" i="25"/>
  <c r="CN38" i="25"/>
  <c r="CN21" i="25"/>
  <c r="CN17" i="25"/>
  <c r="CN16" i="25"/>
  <c r="CN9" i="25"/>
  <c r="CN8" i="25"/>
  <c r="CN7" i="25"/>
  <c r="CN11" i="25"/>
  <c r="CN10" i="25"/>
  <c r="CN12" i="25"/>
  <c r="CN13" i="25"/>
  <c r="CN14" i="25"/>
  <c r="CO5" i="25"/>
  <c r="CN15" i="25"/>
  <c r="CO112" i="25" l="1"/>
  <c r="CO114" i="25"/>
  <c r="DC115" i="25"/>
  <c r="CO113" i="25"/>
  <c r="CO111" i="25"/>
  <c r="CO107" i="25"/>
  <c r="CO105" i="25"/>
  <c r="CO103" i="25"/>
  <c r="CO106" i="25"/>
  <c r="CO101" i="25"/>
  <c r="CO104" i="25"/>
  <c r="CO99" i="25"/>
  <c r="CO94" i="25"/>
  <c r="CO108" i="25"/>
  <c r="CO97" i="25"/>
  <c r="CO96" i="25"/>
  <c r="CO95" i="25"/>
  <c r="CO110" i="25"/>
  <c r="CO98" i="25"/>
  <c r="CO100" i="25"/>
  <c r="CO93" i="25"/>
  <c r="CO109" i="25"/>
  <c r="CO89" i="25"/>
  <c r="CO92" i="25"/>
  <c r="CO91" i="25"/>
  <c r="CO90" i="25"/>
  <c r="CO84" i="25"/>
  <c r="CO87" i="25"/>
  <c r="CO86" i="25"/>
  <c r="CO88" i="25"/>
  <c r="CO102" i="25"/>
  <c r="CO80" i="25"/>
  <c r="CO85" i="25"/>
  <c r="CO78" i="25"/>
  <c r="CO81" i="25"/>
  <c r="CO82" i="25"/>
  <c r="CO83" i="25"/>
  <c r="CO77" i="25"/>
  <c r="CO71" i="25"/>
  <c r="CO76" i="25"/>
  <c r="CO70" i="25"/>
  <c r="CO75" i="25"/>
  <c r="CO69" i="25"/>
  <c r="CO74" i="25"/>
  <c r="CO68" i="25"/>
  <c r="CO73" i="25"/>
  <c r="CO79" i="25"/>
  <c r="CO65" i="25"/>
  <c r="CO64" i="25"/>
  <c r="CO63" i="25"/>
  <c r="CO62" i="25"/>
  <c r="CO67" i="25"/>
  <c r="CO66" i="25"/>
  <c r="CO61" i="25"/>
  <c r="CO57" i="25"/>
  <c r="CO55" i="25"/>
  <c r="CO60" i="25"/>
  <c r="CO54" i="25"/>
  <c r="CO53" i="25"/>
  <c r="CO72" i="25"/>
  <c r="CO58" i="25"/>
  <c r="CO52" i="25"/>
  <c r="CO59" i="25"/>
  <c r="CO51" i="25"/>
  <c r="CO45" i="25"/>
  <c r="CO49" i="25"/>
  <c r="CO46" i="25"/>
  <c r="CO47" i="25"/>
  <c r="CO48" i="25"/>
  <c r="CO44" i="25"/>
  <c r="CO56" i="25"/>
  <c r="CO50" i="25"/>
  <c r="CO39" i="25"/>
  <c r="CO35" i="25"/>
  <c r="CO42" i="25"/>
  <c r="CO40" i="25"/>
  <c r="CO34" i="25"/>
  <c r="CO43" i="25"/>
  <c r="CO33" i="25"/>
  <c r="CO41" i="25"/>
  <c r="CO32" i="25"/>
  <c r="CO37" i="25"/>
  <c r="CO31" i="25"/>
  <c r="CO25" i="25"/>
  <c r="CO38" i="25"/>
  <c r="CO36" i="25"/>
  <c r="CO30" i="25"/>
  <c r="CO24" i="25"/>
  <c r="CO20" i="25"/>
  <c r="CO19" i="25"/>
  <c r="CO26" i="25"/>
  <c r="CO27" i="25"/>
  <c r="CO22" i="25"/>
  <c r="CO16" i="25"/>
  <c r="CO28" i="25"/>
  <c r="CO23" i="25"/>
  <c r="CO21" i="25"/>
  <c r="CO15" i="25"/>
  <c r="CO9" i="25"/>
  <c r="CO8" i="25"/>
  <c r="CO7" i="25"/>
  <c r="CO17" i="25"/>
  <c r="CO11" i="25"/>
  <c r="CO10" i="25"/>
  <c r="CO18" i="25"/>
  <c r="CO12" i="25"/>
  <c r="CO29" i="25"/>
  <c r="CO13" i="25"/>
  <c r="CO14" i="25"/>
  <c r="CP5" i="25"/>
  <c r="CP114" i="25" l="1"/>
  <c r="CP113" i="25"/>
  <c r="DD115" i="25"/>
  <c r="CP111" i="25"/>
  <c r="CP112" i="25"/>
  <c r="CP106" i="25"/>
  <c r="CP107" i="25"/>
  <c r="CP103" i="25"/>
  <c r="CP102" i="25"/>
  <c r="CP104" i="25"/>
  <c r="CP108" i="25"/>
  <c r="CP94" i="25"/>
  <c r="CP97" i="25"/>
  <c r="CP96" i="25"/>
  <c r="CP95" i="25"/>
  <c r="CP110" i="25"/>
  <c r="CP98" i="25"/>
  <c r="CP101" i="25"/>
  <c r="CP100" i="25"/>
  <c r="CP105" i="25"/>
  <c r="CP99" i="25"/>
  <c r="CP91" i="25"/>
  <c r="CP109" i="25"/>
  <c r="CP89" i="25"/>
  <c r="CP92" i="25"/>
  <c r="CP90" i="25"/>
  <c r="CP93" i="25"/>
  <c r="CP87" i="25"/>
  <c r="CP86" i="25"/>
  <c r="CP88" i="25"/>
  <c r="CP81" i="25"/>
  <c r="CP80" i="25"/>
  <c r="CP82" i="25"/>
  <c r="CP85" i="25"/>
  <c r="CP83" i="25"/>
  <c r="CP79" i="25"/>
  <c r="CP77" i="25"/>
  <c r="CP71" i="25"/>
  <c r="CP76" i="25"/>
  <c r="CP70" i="25"/>
  <c r="CP75" i="25"/>
  <c r="CP69" i="25"/>
  <c r="CP74" i="25"/>
  <c r="CP73" i="25"/>
  <c r="CP67" i="25"/>
  <c r="CP84" i="25"/>
  <c r="CP65" i="25"/>
  <c r="CP64" i="25"/>
  <c r="CP68" i="25"/>
  <c r="CP63" i="25"/>
  <c r="CP78" i="25"/>
  <c r="CP62" i="25"/>
  <c r="CP56" i="25"/>
  <c r="CP66" i="25"/>
  <c r="CP72" i="25"/>
  <c r="CP60" i="25"/>
  <c r="CP54" i="25"/>
  <c r="CP53" i="25"/>
  <c r="CP61" i="25"/>
  <c r="CP58" i="25"/>
  <c r="CP52" i="25"/>
  <c r="CP59" i="25"/>
  <c r="CP51" i="25"/>
  <c r="CP50" i="25"/>
  <c r="CP44" i="25"/>
  <c r="CP49" i="25"/>
  <c r="CP46" i="25"/>
  <c r="CP47" i="25"/>
  <c r="CP48" i="25"/>
  <c r="CP57" i="25"/>
  <c r="CP45" i="25"/>
  <c r="CP42" i="25"/>
  <c r="CP40" i="25"/>
  <c r="CP34" i="25"/>
  <c r="CP43" i="25"/>
  <c r="CP33" i="25"/>
  <c r="CP41" i="25"/>
  <c r="CP32" i="25"/>
  <c r="CP37" i="25"/>
  <c r="CP55" i="25"/>
  <c r="CP38" i="25"/>
  <c r="CP36" i="25"/>
  <c r="CP30" i="25"/>
  <c r="CP19" i="25"/>
  <c r="CP25" i="25"/>
  <c r="CP18" i="25"/>
  <c r="CP26" i="25"/>
  <c r="CP17" i="25"/>
  <c r="CP31" i="25"/>
  <c r="CP27" i="25"/>
  <c r="CP22" i="25"/>
  <c r="CP35" i="25"/>
  <c r="CP28" i="25"/>
  <c r="CP23" i="25"/>
  <c r="CP21" i="25"/>
  <c r="CP39" i="25"/>
  <c r="CP29" i="25"/>
  <c r="CP16" i="25"/>
  <c r="CP11" i="25"/>
  <c r="CP10" i="25"/>
  <c r="CP9" i="25"/>
  <c r="CP8" i="25"/>
  <c r="CP12" i="25"/>
  <c r="CP20" i="25"/>
  <c r="CO4" i="25"/>
  <c r="CP13" i="25"/>
  <c r="CP14" i="25"/>
  <c r="CP24" i="25"/>
  <c r="CQ5" i="25"/>
  <c r="CP7" i="25"/>
  <c r="CP15" i="25"/>
  <c r="DE115" i="25" l="1"/>
  <c r="CQ111" i="25"/>
  <c r="CQ114" i="25"/>
  <c r="CQ113" i="25"/>
  <c r="CQ112" i="25"/>
  <c r="CQ102" i="25"/>
  <c r="CQ106" i="25"/>
  <c r="CQ107" i="25"/>
  <c r="CQ104" i="25"/>
  <c r="CQ103" i="25"/>
  <c r="CQ108" i="25"/>
  <c r="CQ110" i="25"/>
  <c r="CQ98" i="25"/>
  <c r="CQ109" i="25"/>
  <c r="CQ105" i="25"/>
  <c r="CQ99" i="25"/>
  <c r="CQ96" i="25"/>
  <c r="CQ97" i="25"/>
  <c r="CQ94" i="25"/>
  <c r="CQ93" i="25"/>
  <c r="CQ92" i="25"/>
  <c r="CQ90" i="25"/>
  <c r="CQ91" i="25"/>
  <c r="CQ101" i="25"/>
  <c r="CQ87" i="25"/>
  <c r="CQ86" i="25"/>
  <c r="CQ88" i="25"/>
  <c r="CQ100" i="25"/>
  <c r="CQ95" i="25"/>
  <c r="CQ85" i="25"/>
  <c r="CQ89" i="25"/>
  <c r="CQ84" i="25"/>
  <c r="CQ81" i="25"/>
  <c r="CQ80" i="25"/>
  <c r="CQ82" i="25"/>
  <c r="CQ83" i="25"/>
  <c r="CQ76" i="25"/>
  <c r="CQ70" i="25"/>
  <c r="CQ75" i="25"/>
  <c r="CQ69" i="25"/>
  <c r="CQ74" i="25"/>
  <c r="CQ73" i="25"/>
  <c r="CQ67" i="25"/>
  <c r="CQ79" i="25"/>
  <c r="CQ72" i="25"/>
  <c r="CQ64" i="25"/>
  <c r="CQ71" i="25"/>
  <c r="CQ68" i="25"/>
  <c r="CQ63" i="25"/>
  <c r="CQ78" i="25"/>
  <c r="CQ62" i="25"/>
  <c r="CQ66" i="25"/>
  <c r="CQ77" i="25"/>
  <c r="CQ61" i="25"/>
  <c r="CQ60" i="25"/>
  <c r="CQ54" i="25"/>
  <c r="CQ53" i="25"/>
  <c r="CQ58" i="25"/>
  <c r="CQ52" i="25"/>
  <c r="CQ59" i="25"/>
  <c r="CQ51" i="25"/>
  <c r="CQ65" i="25"/>
  <c r="CQ50" i="25"/>
  <c r="CQ44" i="25"/>
  <c r="CQ57" i="25"/>
  <c r="CQ56" i="25"/>
  <c r="CQ55" i="25"/>
  <c r="CQ47" i="25"/>
  <c r="CQ48" i="25"/>
  <c r="CQ45" i="25"/>
  <c r="CQ41" i="25"/>
  <c r="CQ40" i="25"/>
  <c r="CQ34" i="25"/>
  <c r="CQ43" i="25"/>
  <c r="CQ33" i="25"/>
  <c r="CQ32" i="25"/>
  <c r="CQ49" i="25"/>
  <c r="CQ37" i="25"/>
  <c r="CQ46" i="25"/>
  <c r="CQ38" i="25"/>
  <c r="CQ36" i="25"/>
  <c r="CQ30" i="25"/>
  <c r="CQ24" i="25"/>
  <c r="CQ39" i="25"/>
  <c r="CQ35" i="25"/>
  <c r="CQ29" i="25"/>
  <c r="CQ23" i="25"/>
  <c r="CQ42" i="25"/>
  <c r="CQ19" i="25"/>
  <c r="CQ25" i="25"/>
  <c r="CQ18" i="25"/>
  <c r="CQ26" i="25"/>
  <c r="CQ31" i="25"/>
  <c r="CQ27" i="25"/>
  <c r="CQ22" i="25"/>
  <c r="CQ28" i="25"/>
  <c r="CQ21" i="25"/>
  <c r="CQ15" i="25"/>
  <c r="CQ20" i="25"/>
  <c r="CQ14" i="25"/>
  <c r="CQ8" i="25"/>
  <c r="CQ16" i="25"/>
  <c r="CQ11" i="25"/>
  <c r="CQ10" i="25"/>
  <c r="CQ12" i="25"/>
  <c r="CQ13" i="25"/>
  <c r="CR5" i="25"/>
  <c r="CQ9" i="25"/>
  <c r="CQ17" i="25"/>
  <c r="CQ7" i="25"/>
  <c r="CR113" i="25" l="1"/>
  <c r="CR112" i="25"/>
  <c r="DF115" i="25"/>
  <c r="CR105" i="25"/>
  <c r="CR102" i="25"/>
  <c r="CR109" i="25"/>
  <c r="CR106" i="25"/>
  <c r="CR107" i="25"/>
  <c r="CR108" i="25"/>
  <c r="CR114" i="25"/>
  <c r="CR104" i="25"/>
  <c r="CR103" i="25"/>
  <c r="CR99" i="25"/>
  <c r="CR96" i="25"/>
  <c r="CR91" i="25"/>
  <c r="CR110" i="25"/>
  <c r="CR111" i="25"/>
  <c r="CR97" i="25"/>
  <c r="CR92" i="25"/>
  <c r="CR94" i="25"/>
  <c r="CR93" i="25"/>
  <c r="CR90" i="25"/>
  <c r="CR101" i="25"/>
  <c r="CR98" i="25"/>
  <c r="CR88" i="25"/>
  <c r="CR100" i="25"/>
  <c r="CR95" i="25"/>
  <c r="CR85" i="25"/>
  <c r="CR86" i="25"/>
  <c r="CR81" i="25"/>
  <c r="CR80" i="25"/>
  <c r="CR82" i="25"/>
  <c r="CR89" i="25"/>
  <c r="CR83" i="25"/>
  <c r="CR79" i="25"/>
  <c r="CR76" i="25"/>
  <c r="CR70" i="25"/>
  <c r="CR75" i="25"/>
  <c r="CR69" i="25"/>
  <c r="CR87" i="25"/>
  <c r="CR74" i="25"/>
  <c r="CR73" i="25"/>
  <c r="CR84" i="25"/>
  <c r="CR72" i="25"/>
  <c r="CR78" i="25"/>
  <c r="CR64" i="25"/>
  <c r="CR71" i="25"/>
  <c r="CR68" i="25"/>
  <c r="CR63" i="25"/>
  <c r="CR62" i="25"/>
  <c r="CR66" i="25"/>
  <c r="CR77" i="25"/>
  <c r="CR61" i="25"/>
  <c r="CR67" i="25"/>
  <c r="CR53" i="25"/>
  <c r="CR58" i="25"/>
  <c r="CR52" i="25"/>
  <c r="CR59" i="25"/>
  <c r="CR51" i="25"/>
  <c r="CR65" i="25"/>
  <c r="CR50" i="25"/>
  <c r="CR57" i="25"/>
  <c r="CR56" i="25"/>
  <c r="CR55" i="25"/>
  <c r="CR49" i="25"/>
  <c r="CR43" i="25"/>
  <c r="CR47" i="25"/>
  <c r="CR54" i="25"/>
  <c r="CR48" i="25"/>
  <c r="CR60" i="25"/>
  <c r="CR44" i="25"/>
  <c r="CR45" i="25"/>
  <c r="CR41" i="25"/>
  <c r="CR46" i="25"/>
  <c r="CR40" i="25"/>
  <c r="CR33" i="25"/>
  <c r="CR32" i="25"/>
  <c r="CR37" i="25"/>
  <c r="CR38" i="25"/>
  <c r="CR36" i="25"/>
  <c r="CR39" i="25"/>
  <c r="CR35" i="25"/>
  <c r="CR42" i="25"/>
  <c r="CR25" i="25"/>
  <c r="CR26" i="25"/>
  <c r="CR31" i="25"/>
  <c r="CR27" i="25"/>
  <c r="CR22" i="25"/>
  <c r="CR28" i="25"/>
  <c r="CR30" i="25"/>
  <c r="CR23" i="25"/>
  <c r="CR21" i="25"/>
  <c r="CR29" i="25"/>
  <c r="CR20" i="25"/>
  <c r="CR34" i="25"/>
  <c r="CR24" i="25"/>
  <c r="CR12" i="25"/>
  <c r="CR18" i="25"/>
  <c r="CR13" i="25"/>
  <c r="CR14" i="25"/>
  <c r="CS5" i="25"/>
  <c r="CR15" i="25"/>
  <c r="CR17" i="25"/>
  <c r="CR7" i="25"/>
  <c r="CR8" i="25"/>
  <c r="CR19" i="25"/>
  <c r="CR16" i="25"/>
  <c r="CR11" i="25"/>
  <c r="CR10" i="25"/>
  <c r="CR9" i="25"/>
  <c r="CS114" i="25" l="1"/>
  <c r="DG115" i="25"/>
  <c r="CS113" i="25"/>
  <c r="CS112" i="25"/>
  <c r="CS108" i="25"/>
  <c r="CS109" i="25"/>
  <c r="CS101" i="25"/>
  <c r="CS110" i="25"/>
  <c r="CS107" i="25"/>
  <c r="CS104" i="25"/>
  <c r="CS105" i="25"/>
  <c r="CS96" i="25"/>
  <c r="CS91" i="25"/>
  <c r="CS111" i="25"/>
  <c r="CS97" i="25"/>
  <c r="CS98" i="25"/>
  <c r="CS103" i="25"/>
  <c r="CS100" i="25"/>
  <c r="CS102" i="25"/>
  <c r="CS92" i="25"/>
  <c r="CS106" i="25"/>
  <c r="CS99" i="25"/>
  <c r="CS94" i="25"/>
  <c r="CS95" i="25"/>
  <c r="CS93" i="25"/>
  <c r="CS85" i="25"/>
  <c r="CS89" i="25"/>
  <c r="CS84" i="25"/>
  <c r="CS87" i="25"/>
  <c r="CS86" i="25"/>
  <c r="CS81" i="25"/>
  <c r="CS80" i="25"/>
  <c r="CS82" i="25"/>
  <c r="CS83" i="25"/>
  <c r="CS79" i="25"/>
  <c r="CS88" i="25"/>
  <c r="CS90" i="25"/>
  <c r="CS75" i="25"/>
  <c r="CS69" i="25"/>
  <c r="CS74" i="25"/>
  <c r="CS68" i="25"/>
  <c r="CS73" i="25"/>
  <c r="CS72" i="25"/>
  <c r="CS66" i="25"/>
  <c r="CS78" i="25"/>
  <c r="CS77" i="25"/>
  <c r="CS71" i="25"/>
  <c r="CS76" i="25"/>
  <c r="CS63" i="25"/>
  <c r="CS62" i="25"/>
  <c r="CS67" i="25"/>
  <c r="CS70" i="25"/>
  <c r="CS60" i="25"/>
  <c r="CS65" i="25"/>
  <c r="CS59" i="25"/>
  <c r="CS53" i="25"/>
  <c r="CS64" i="25"/>
  <c r="CS58" i="25"/>
  <c r="CS52" i="25"/>
  <c r="CS61" i="25"/>
  <c r="CS51" i="25"/>
  <c r="CS50" i="25"/>
  <c r="CS57" i="25"/>
  <c r="CS56" i="25"/>
  <c r="CS55" i="25"/>
  <c r="CS49" i="25"/>
  <c r="CS43" i="25"/>
  <c r="CS54" i="25"/>
  <c r="CS48" i="25"/>
  <c r="CS44" i="25"/>
  <c r="CS45" i="25"/>
  <c r="CS41" i="25"/>
  <c r="CS46" i="25"/>
  <c r="CS40" i="25"/>
  <c r="CS33" i="25"/>
  <c r="CS32" i="25"/>
  <c r="CS37" i="25"/>
  <c r="CS47" i="25"/>
  <c r="CS38" i="25"/>
  <c r="CS36" i="25"/>
  <c r="CS39" i="25"/>
  <c r="CS35" i="25"/>
  <c r="CS29" i="25"/>
  <c r="CS23" i="25"/>
  <c r="CS42" i="25"/>
  <c r="CS34" i="25"/>
  <c r="CS28" i="25"/>
  <c r="CS22" i="25"/>
  <c r="CS18" i="25"/>
  <c r="CS26" i="25"/>
  <c r="CS31" i="25"/>
  <c r="CS27" i="25"/>
  <c r="CS30" i="25"/>
  <c r="CS21" i="25"/>
  <c r="CS20" i="25"/>
  <c r="CS14" i="25"/>
  <c r="CS24" i="25"/>
  <c r="CS19" i="25"/>
  <c r="CS13" i="25"/>
  <c r="CS7" i="25"/>
  <c r="CT5" i="25"/>
  <c r="CS25" i="25"/>
  <c r="CS15" i="25"/>
  <c r="CS17" i="25"/>
  <c r="CS12" i="25"/>
  <c r="CS16" i="25"/>
  <c r="CS11" i="25"/>
  <c r="CS10" i="25"/>
  <c r="CS9" i="25"/>
  <c r="CS8" i="25"/>
  <c r="CT113" i="25" l="1"/>
  <c r="CT111" i="25"/>
  <c r="CT108" i="25"/>
  <c r="CT112" i="25"/>
  <c r="CT109" i="25"/>
  <c r="CT101" i="25"/>
  <c r="CT110" i="25"/>
  <c r="CT104" i="25"/>
  <c r="CT114" i="25"/>
  <c r="CT98" i="25"/>
  <c r="DH115" i="25"/>
  <c r="CT107" i="25"/>
  <c r="CT105" i="25"/>
  <c r="CT96" i="25"/>
  <c r="CT90" i="25"/>
  <c r="CT97" i="25"/>
  <c r="CT95" i="25"/>
  <c r="CT94" i="25"/>
  <c r="CT91" i="25"/>
  <c r="CT106" i="25"/>
  <c r="CT99" i="25"/>
  <c r="CT103" i="25"/>
  <c r="CT89" i="25"/>
  <c r="CT100" i="25"/>
  <c r="CT93" i="25"/>
  <c r="CT92" i="25"/>
  <c r="CT102" i="25"/>
  <c r="CT85" i="25"/>
  <c r="CT84" i="25"/>
  <c r="CT88" i="25"/>
  <c r="CT81" i="25"/>
  <c r="CT80" i="25"/>
  <c r="CT86" i="25"/>
  <c r="CT82" i="25"/>
  <c r="CT83" i="25"/>
  <c r="CT79" i="25"/>
  <c r="CT78" i="25"/>
  <c r="CT75" i="25"/>
  <c r="CT69" i="25"/>
  <c r="CT74" i="25"/>
  <c r="CT87" i="25"/>
  <c r="CT73" i="25"/>
  <c r="CT72" i="25"/>
  <c r="CT77" i="25"/>
  <c r="CT71" i="25"/>
  <c r="CT68" i="25"/>
  <c r="CT63" i="25"/>
  <c r="CT62" i="25"/>
  <c r="CT66" i="25"/>
  <c r="CT67" i="25"/>
  <c r="CT70" i="25"/>
  <c r="CT60" i="25"/>
  <c r="CT65" i="25"/>
  <c r="CT64" i="25"/>
  <c r="CT58" i="25"/>
  <c r="CT52" i="25"/>
  <c r="CT61" i="25"/>
  <c r="CT59" i="25"/>
  <c r="CT76" i="25"/>
  <c r="CT57" i="25"/>
  <c r="CT56" i="25"/>
  <c r="CT55" i="25"/>
  <c r="CT49" i="25"/>
  <c r="CT54" i="25"/>
  <c r="CT48" i="25"/>
  <c r="CT42" i="25"/>
  <c r="CT53" i="25"/>
  <c r="CT44" i="25"/>
  <c r="CT45" i="25"/>
  <c r="CT50" i="25"/>
  <c r="CT46" i="25"/>
  <c r="CT40" i="25"/>
  <c r="CT51" i="25"/>
  <c r="CT47" i="25"/>
  <c r="CT39" i="25"/>
  <c r="CT43" i="25"/>
  <c r="CT32" i="25"/>
  <c r="CT37" i="25"/>
  <c r="CT41" i="25"/>
  <c r="CT38" i="25"/>
  <c r="CT36" i="25"/>
  <c r="CT35" i="25"/>
  <c r="CT34" i="25"/>
  <c r="CT26" i="25"/>
  <c r="CT33" i="25"/>
  <c r="CT31" i="25"/>
  <c r="CT27" i="25"/>
  <c r="CT22" i="25"/>
  <c r="CT30" i="25"/>
  <c r="CT28" i="25"/>
  <c r="CT21" i="25"/>
  <c r="CT23" i="25"/>
  <c r="CT20" i="25"/>
  <c r="CT29" i="25"/>
  <c r="CT24" i="25"/>
  <c r="CT19" i="25"/>
  <c r="CT25" i="25"/>
  <c r="CT18" i="25"/>
  <c r="CT13" i="25"/>
  <c r="CU5" i="25"/>
  <c r="CT14" i="25"/>
  <c r="CT15" i="25"/>
  <c r="CT17" i="25"/>
  <c r="CT16" i="25"/>
  <c r="CT11" i="25"/>
  <c r="CT10" i="25"/>
  <c r="CT9" i="25"/>
  <c r="CT8" i="25"/>
  <c r="CT7" i="25"/>
  <c r="CT12" i="25"/>
  <c r="CU113" i="25" l="1"/>
  <c r="DI115" i="25"/>
  <c r="CU110" i="25"/>
  <c r="CU114" i="25"/>
  <c r="CU108" i="25"/>
  <c r="CU112" i="25"/>
  <c r="CU100" i="25"/>
  <c r="CU109" i="25"/>
  <c r="CU98" i="25"/>
  <c r="CU105" i="25"/>
  <c r="CU99" i="25"/>
  <c r="CU102" i="25"/>
  <c r="CU111" i="25"/>
  <c r="CU103" i="25"/>
  <c r="CU106" i="25"/>
  <c r="CU90" i="25"/>
  <c r="CU97" i="25"/>
  <c r="CU94" i="25"/>
  <c r="CU93" i="25"/>
  <c r="CU92" i="25"/>
  <c r="CU104" i="25"/>
  <c r="CU101" i="25"/>
  <c r="CU96" i="25"/>
  <c r="CU107" i="25"/>
  <c r="CU91" i="25"/>
  <c r="CU89" i="25"/>
  <c r="CU95" i="25"/>
  <c r="CU88" i="25"/>
  <c r="CU85" i="25"/>
  <c r="CU84" i="25"/>
  <c r="CU87" i="25"/>
  <c r="CU86" i="25"/>
  <c r="CU83" i="25"/>
  <c r="CU82" i="25"/>
  <c r="CU79" i="25"/>
  <c r="CU81" i="25"/>
  <c r="CU74" i="25"/>
  <c r="CU68" i="25"/>
  <c r="CU80" i="25"/>
  <c r="CU73" i="25"/>
  <c r="CU72" i="25"/>
  <c r="CU78" i="25"/>
  <c r="CU77" i="25"/>
  <c r="CU71" i="25"/>
  <c r="CU76" i="25"/>
  <c r="CU70" i="25"/>
  <c r="CU69" i="25"/>
  <c r="CU62" i="25"/>
  <c r="CU66" i="25"/>
  <c r="CU67" i="25"/>
  <c r="CU75" i="25"/>
  <c r="CU65" i="25"/>
  <c r="CU64" i="25"/>
  <c r="CU58" i="25"/>
  <c r="CU52" i="25"/>
  <c r="CU61" i="25"/>
  <c r="CU51" i="25"/>
  <c r="CU59" i="25"/>
  <c r="CU63" i="25"/>
  <c r="CU57" i="25"/>
  <c r="CU56" i="25"/>
  <c r="CU55" i="25"/>
  <c r="CU54" i="25"/>
  <c r="CU48" i="25"/>
  <c r="CU42" i="25"/>
  <c r="CU60" i="25"/>
  <c r="CU53" i="25"/>
  <c r="CU44" i="25"/>
  <c r="CU45" i="25"/>
  <c r="CU50" i="25"/>
  <c r="CU46" i="25"/>
  <c r="CU47" i="25"/>
  <c r="CU49" i="25"/>
  <c r="CU32" i="25"/>
  <c r="CU37" i="25"/>
  <c r="CU31" i="25"/>
  <c r="CU41" i="25"/>
  <c r="CU38" i="25"/>
  <c r="CU36" i="25"/>
  <c r="CU35" i="25"/>
  <c r="CU39" i="25"/>
  <c r="CU34" i="25"/>
  <c r="CU28" i="25"/>
  <c r="CU22" i="25"/>
  <c r="CU33" i="25"/>
  <c r="CU27" i="25"/>
  <c r="CU17" i="25"/>
  <c r="CU43" i="25"/>
  <c r="CU30" i="25"/>
  <c r="CU21" i="25"/>
  <c r="CU23" i="25"/>
  <c r="CU20" i="25"/>
  <c r="CU29" i="25"/>
  <c r="CU24" i="25"/>
  <c r="CU19" i="25"/>
  <c r="CU13" i="25"/>
  <c r="CU25" i="25"/>
  <c r="CU40" i="25"/>
  <c r="CU18" i="25"/>
  <c r="CU12" i="25"/>
  <c r="CT4" i="25"/>
  <c r="CU14" i="25"/>
  <c r="CV5" i="25"/>
  <c r="CU15" i="25"/>
  <c r="CU26" i="25"/>
  <c r="CU16" i="25"/>
  <c r="CU11" i="25"/>
  <c r="CU10" i="25"/>
  <c r="CU9" i="25"/>
  <c r="CU8" i="25"/>
  <c r="CU7" i="25"/>
  <c r="DJ115" i="25" l="1"/>
  <c r="CV112" i="25"/>
  <c r="CV114" i="25"/>
  <c r="CV110" i="25"/>
  <c r="CV100" i="25"/>
  <c r="CV111" i="25"/>
  <c r="CV99" i="25"/>
  <c r="CV109" i="25"/>
  <c r="CV105" i="25"/>
  <c r="CV113" i="25"/>
  <c r="CV97" i="25"/>
  <c r="CV108" i="25"/>
  <c r="CV103" i="25"/>
  <c r="CV89" i="25"/>
  <c r="CV98" i="25"/>
  <c r="CV94" i="25"/>
  <c r="CV93" i="25"/>
  <c r="CV92" i="25"/>
  <c r="CV106" i="25"/>
  <c r="CV101" i="25"/>
  <c r="CV104" i="25"/>
  <c r="CV95" i="25"/>
  <c r="CV107" i="25"/>
  <c r="CV102" i="25"/>
  <c r="CV96" i="25"/>
  <c r="CV85" i="25"/>
  <c r="CV84" i="25"/>
  <c r="CV87" i="25"/>
  <c r="CV86" i="25"/>
  <c r="CV83" i="25"/>
  <c r="CV90" i="25"/>
  <c r="CV79" i="25"/>
  <c r="CV91" i="25"/>
  <c r="CV88" i="25"/>
  <c r="CV74" i="25"/>
  <c r="CV80" i="25"/>
  <c r="CV73" i="25"/>
  <c r="CV72" i="25"/>
  <c r="CV78" i="25"/>
  <c r="CV77" i="25"/>
  <c r="CV71" i="25"/>
  <c r="CV76" i="25"/>
  <c r="CV70" i="25"/>
  <c r="CV62" i="25"/>
  <c r="CV81" i="25"/>
  <c r="CV66" i="25"/>
  <c r="CV67" i="25"/>
  <c r="CV75" i="25"/>
  <c r="CV65" i="25"/>
  <c r="CV59" i="25"/>
  <c r="CV64" i="25"/>
  <c r="CV82" i="25"/>
  <c r="CV58" i="25"/>
  <c r="CV61" i="25"/>
  <c r="CV63" i="25"/>
  <c r="CV57" i="25"/>
  <c r="CV56" i="25"/>
  <c r="CV55" i="25"/>
  <c r="CV68" i="25"/>
  <c r="CV54" i="25"/>
  <c r="CV60" i="25"/>
  <c r="CV53" i="25"/>
  <c r="CV47" i="25"/>
  <c r="CV69" i="25"/>
  <c r="CV48" i="25"/>
  <c r="CV43" i="25"/>
  <c r="CV44" i="25"/>
  <c r="CV52" i="25"/>
  <c r="CV45" i="25"/>
  <c r="CV50" i="25"/>
  <c r="CV46" i="25"/>
  <c r="CV39" i="25"/>
  <c r="CV51" i="25"/>
  <c r="CV49" i="25"/>
  <c r="CV38" i="25"/>
  <c r="CV37" i="25"/>
  <c r="CV31" i="25"/>
  <c r="CV41" i="25"/>
  <c r="CV36" i="25"/>
  <c r="CV35" i="25"/>
  <c r="CV34" i="25"/>
  <c r="CV42" i="25"/>
  <c r="CV33" i="25"/>
  <c r="CV40" i="25"/>
  <c r="CV27" i="25"/>
  <c r="CV22" i="25"/>
  <c r="CV30" i="25"/>
  <c r="CV21" i="25"/>
  <c r="CV32" i="25"/>
  <c r="CV28" i="25"/>
  <c r="CV23" i="25"/>
  <c r="CV20" i="25"/>
  <c r="CV29" i="25"/>
  <c r="CV24" i="25"/>
  <c r="CV19" i="25"/>
  <c r="CV25" i="25"/>
  <c r="CV18" i="25"/>
  <c r="CV26" i="25"/>
  <c r="CV13" i="25"/>
  <c r="CV14" i="25"/>
  <c r="CW5" i="25"/>
  <c r="CV15" i="25"/>
  <c r="CV17" i="25"/>
  <c r="CV16" i="25"/>
  <c r="CV11" i="25"/>
  <c r="CV10" i="25"/>
  <c r="CV9" i="25"/>
  <c r="CV8" i="25"/>
  <c r="CV7" i="25"/>
  <c r="CV12" i="25"/>
  <c r="DK115" i="25" l="1"/>
  <c r="CW109" i="25"/>
  <c r="CW112" i="25"/>
  <c r="CW108" i="25"/>
  <c r="CW113" i="25"/>
  <c r="CW111" i="25"/>
  <c r="CW99" i="25"/>
  <c r="CW114" i="25"/>
  <c r="CW105" i="25"/>
  <c r="CW102" i="25"/>
  <c r="CW103" i="25"/>
  <c r="CW104" i="25"/>
  <c r="CW97" i="25"/>
  <c r="CW89" i="25"/>
  <c r="CW110" i="25"/>
  <c r="CW98" i="25"/>
  <c r="CW107" i="25"/>
  <c r="CW95" i="25"/>
  <c r="CW101" i="25"/>
  <c r="CW106" i="25"/>
  <c r="CW94" i="25"/>
  <c r="CW100" i="25"/>
  <c r="CW96" i="25"/>
  <c r="CW93" i="25"/>
  <c r="CW87" i="25"/>
  <c r="CW85" i="25"/>
  <c r="CW92" i="25"/>
  <c r="CW84" i="25"/>
  <c r="CW86" i="25"/>
  <c r="CW90" i="25"/>
  <c r="CW91" i="25"/>
  <c r="CW88" i="25"/>
  <c r="CW82" i="25"/>
  <c r="CW83" i="25"/>
  <c r="CW79" i="25"/>
  <c r="CW81" i="25"/>
  <c r="CW80" i="25"/>
  <c r="CW73" i="25"/>
  <c r="CW72" i="25"/>
  <c r="CW78" i="25"/>
  <c r="CW77" i="25"/>
  <c r="CW71" i="25"/>
  <c r="CW76" i="25"/>
  <c r="CW70" i="25"/>
  <c r="CW75" i="25"/>
  <c r="CW69" i="25"/>
  <c r="CW66" i="25"/>
  <c r="CW61" i="25"/>
  <c r="CW67" i="25"/>
  <c r="CW65" i="25"/>
  <c r="CW64" i="25"/>
  <c r="CW63" i="25"/>
  <c r="CW51" i="25"/>
  <c r="CW59" i="25"/>
  <c r="CW57" i="25"/>
  <c r="CW56" i="25"/>
  <c r="CW55" i="25"/>
  <c r="CW74" i="25"/>
  <c r="CW68" i="25"/>
  <c r="CW54" i="25"/>
  <c r="CW60" i="25"/>
  <c r="CW53" i="25"/>
  <c r="CW47" i="25"/>
  <c r="CW41" i="25"/>
  <c r="CW44" i="25"/>
  <c r="CW52" i="25"/>
  <c r="CW45" i="25"/>
  <c r="CW58" i="25"/>
  <c r="CW50" i="25"/>
  <c r="CW46" i="25"/>
  <c r="CW49" i="25"/>
  <c r="CW42" i="25"/>
  <c r="CW37" i="25"/>
  <c r="CW31" i="25"/>
  <c r="CW36" i="25"/>
  <c r="CW38" i="25"/>
  <c r="CW35" i="25"/>
  <c r="CW48" i="25"/>
  <c r="CW39" i="25"/>
  <c r="CW34" i="25"/>
  <c r="CW62" i="25"/>
  <c r="CW33" i="25"/>
  <c r="CW27" i="25"/>
  <c r="CW40" i="25"/>
  <c r="CW43" i="25"/>
  <c r="CW32" i="25"/>
  <c r="CW26" i="25"/>
  <c r="CW22" i="25"/>
  <c r="CW30" i="25"/>
  <c r="CW21" i="25"/>
  <c r="CW28" i="25"/>
  <c r="CW23" i="25"/>
  <c r="CW20" i="25"/>
  <c r="CW29" i="25"/>
  <c r="CW24" i="25"/>
  <c r="CW25" i="25"/>
  <c r="CW18" i="25"/>
  <c r="CW12" i="25"/>
  <c r="CW17" i="25"/>
  <c r="CW11" i="25"/>
  <c r="CW8" i="25"/>
  <c r="CW14" i="25"/>
  <c r="CX5" i="25"/>
  <c r="CW15" i="25"/>
  <c r="CW13" i="25"/>
  <c r="CW7" i="25"/>
  <c r="CW16" i="25"/>
  <c r="CW10" i="25"/>
  <c r="CW9" i="25"/>
  <c r="CW19" i="25"/>
  <c r="DL115" i="25" l="1"/>
  <c r="CX112" i="25"/>
  <c r="CX114" i="25"/>
  <c r="CX113" i="25"/>
  <c r="CX111" i="25"/>
  <c r="CX109" i="25"/>
  <c r="CX99" i="25"/>
  <c r="CX104" i="25"/>
  <c r="CX108" i="25"/>
  <c r="CX102" i="25"/>
  <c r="CX96" i="25"/>
  <c r="CX106" i="25"/>
  <c r="CX93" i="25"/>
  <c r="CX105" i="25"/>
  <c r="CX97" i="25"/>
  <c r="CX110" i="25"/>
  <c r="CX98" i="25"/>
  <c r="CX94" i="25"/>
  <c r="CX92" i="25"/>
  <c r="CX107" i="25"/>
  <c r="CX95" i="25"/>
  <c r="CX91" i="25"/>
  <c r="CX101" i="25"/>
  <c r="CX100" i="25"/>
  <c r="CX103" i="25"/>
  <c r="CX89" i="25"/>
  <c r="CX90" i="25"/>
  <c r="CX85" i="25"/>
  <c r="CX84" i="25"/>
  <c r="CX86" i="25"/>
  <c r="CX87" i="25"/>
  <c r="CX88" i="25"/>
  <c r="CX82" i="25"/>
  <c r="CX83" i="25"/>
  <c r="CX79" i="25"/>
  <c r="CX81" i="25"/>
  <c r="CX80" i="25"/>
  <c r="CX73" i="25"/>
  <c r="CX72" i="25"/>
  <c r="CX78" i="25"/>
  <c r="CX77" i="25"/>
  <c r="CX71" i="25"/>
  <c r="CX76" i="25"/>
  <c r="CX70" i="25"/>
  <c r="CX75" i="25"/>
  <c r="CX69" i="25"/>
  <c r="CX66" i="25"/>
  <c r="CX67" i="25"/>
  <c r="CX65" i="25"/>
  <c r="CX64" i="25"/>
  <c r="CX58" i="25"/>
  <c r="CX63" i="25"/>
  <c r="CX74" i="25"/>
  <c r="CX68" i="25"/>
  <c r="CX61" i="25"/>
  <c r="CX59" i="25"/>
  <c r="CX57" i="25"/>
  <c r="CX56" i="25"/>
  <c r="CX55" i="25"/>
  <c r="CX54" i="25"/>
  <c r="CX60" i="25"/>
  <c r="CX53" i="25"/>
  <c r="CX52" i="25"/>
  <c r="CX46" i="25"/>
  <c r="CX62" i="25"/>
  <c r="CX44" i="25"/>
  <c r="CX45" i="25"/>
  <c r="CX50" i="25"/>
  <c r="CX49" i="25"/>
  <c r="CX51" i="25"/>
  <c r="CX47" i="25"/>
  <c r="CX38" i="25"/>
  <c r="CX42" i="25"/>
  <c r="CX48" i="25"/>
  <c r="CX41" i="25"/>
  <c r="CX36" i="25"/>
  <c r="CX35" i="25"/>
  <c r="CX39" i="25"/>
  <c r="CX34" i="25"/>
  <c r="CX33" i="25"/>
  <c r="CX40" i="25"/>
  <c r="CX43" i="25"/>
  <c r="CX32" i="25"/>
  <c r="CX27" i="25"/>
  <c r="CX22" i="25"/>
  <c r="CX37" i="25"/>
  <c r="CX31" i="25"/>
  <c r="CX30" i="25"/>
  <c r="CX21" i="25"/>
  <c r="CX28" i="25"/>
  <c r="CX23" i="25"/>
  <c r="CX20" i="25"/>
  <c r="CX29" i="25"/>
  <c r="CX24" i="25"/>
  <c r="CX19" i="25"/>
  <c r="CX25" i="25"/>
  <c r="CX26" i="25"/>
  <c r="CX14" i="25"/>
  <c r="CY5" i="25"/>
  <c r="CX15" i="25"/>
  <c r="CX7" i="25"/>
  <c r="CX16" i="25"/>
  <c r="CX10" i="25"/>
  <c r="CX9" i="25"/>
  <c r="CX8" i="25"/>
  <c r="CX17" i="25"/>
  <c r="CX11" i="25"/>
  <c r="CX12" i="25"/>
  <c r="CX18" i="25"/>
  <c r="CX13" i="25"/>
  <c r="CY114" i="25" l="1"/>
  <c r="DM115" i="25"/>
  <c r="CY113" i="25"/>
  <c r="CY112" i="25"/>
  <c r="CY111" i="25"/>
  <c r="CY109" i="25"/>
  <c r="CY110" i="25"/>
  <c r="CY107" i="25"/>
  <c r="CY104" i="25"/>
  <c r="CY106" i="25"/>
  <c r="CY102" i="25"/>
  <c r="CY108" i="25"/>
  <c r="CY99" i="25"/>
  <c r="CY100" i="25"/>
  <c r="CY103" i="25"/>
  <c r="CY101" i="25"/>
  <c r="CY98" i="25"/>
  <c r="CY94" i="25"/>
  <c r="CY92" i="25"/>
  <c r="CY93" i="25"/>
  <c r="CY95" i="25"/>
  <c r="CY96" i="25"/>
  <c r="CY105" i="25"/>
  <c r="CY89" i="25"/>
  <c r="CY90" i="25"/>
  <c r="CY86" i="25"/>
  <c r="CY91" i="25"/>
  <c r="CY85" i="25"/>
  <c r="CY84" i="25"/>
  <c r="CY97" i="25"/>
  <c r="CY87" i="25"/>
  <c r="CY88" i="25"/>
  <c r="CY81" i="25"/>
  <c r="CY83" i="25"/>
  <c r="CY79" i="25"/>
  <c r="CY78" i="25"/>
  <c r="CY80" i="25"/>
  <c r="CY72" i="25"/>
  <c r="CY77" i="25"/>
  <c r="CY71" i="25"/>
  <c r="CY76" i="25"/>
  <c r="CY70" i="25"/>
  <c r="CY75" i="25"/>
  <c r="CY69" i="25"/>
  <c r="CY74" i="25"/>
  <c r="CY68" i="25"/>
  <c r="CY67" i="25"/>
  <c r="CY73" i="25"/>
  <c r="CY65" i="25"/>
  <c r="CY64" i="25"/>
  <c r="CY63" i="25"/>
  <c r="CY82" i="25"/>
  <c r="CY62" i="25"/>
  <c r="CY59" i="25"/>
  <c r="CY50" i="25"/>
  <c r="CY57" i="25"/>
  <c r="CY56" i="25"/>
  <c r="CY55" i="25"/>
  <c r="CY66" i="25"/>
  <c r="CY54" i="25"/>
  <c r="CY60" i="25"/>
  <c r="CY53" i="25"/>
  <c r="CY52" i="25"/>
  <c r="CY46" i="25"/>
  <c r="CY58" i="25"/>
  <c r="CY45" i="25"/>
  <c r="CY61" i="25"/>
  <c r="CY49" i="25"/>
  <c r="CY51" i="25"/>
  <c r="CY47" i="25"/>
  <c r="CY42" i="25"/>
  <c r="CY48" i="25"/>
  <c r="CY43" i="25"/>
  <c r="CY41" i="25"/>
  <c r="CY36" i="25"/>
  <c r="CY38" i="25"/>
  <c r="CY35" i="25"/>
  <c r="CY39" i="25"/>
  <c r="CY34" i="25"/>
  <c r="CY33" i="25"/>
  <c r="CY40" i="25"/>
  <c r="CY44" i="25"/>
  <c r="CY32" i="25"/>
  <c r="CY26" i="25"/>
  <c r="CY37" i="25"/>
  <c r="CY31" i="25"/>
  <c r="CY25" i="25"/>
  <c r="CY30" i="25"/>
  <c r="CY21" i="25"/>
  <c r="CY28" i="25"/>
  <c r="CY23" i="25"/>
  <c r="CY20" i="25"/>
  <c r="CY29" i="25"/>
  <c r="CY24" i="25"/>
  <c r="CY17" i="25"/>
  <c r="CY16" i="25"/>
  <c r="CY10" i="25"/>
  <c r="CY15" i="25"/>
  <c r="CY9" i="25"/>
  <c r="CY8" i="25"/>
  <c r="CY7" i="25"/>
  <c r="CX4" i="25"/>
  <c r="CY11" i="25"/>
  <c r="CY14" i="25"/>
  <c r="CY27" i="25"/>
  <c r="CZ5" i="25"/>
  <c r="CY12" i="25"/>
  <c r="CY19" i="25"/>
  <c r="CY22" i="25"/>
  <c r="CY13" i="25"/>
  <c r="CY18" i="25"/>
  <c r="CZ114" i="25" l="1"/>
  <c r="DN115" i="25"/>
  <c r="CZ110" i="25"/>
  <c r="CZ109" i="25"/>
  <c r="CZ111" i="25"/>
  <c r="CZ107" i="25"/>
  <c r="CZ104" i="25"/>
  <c r="CZ106" i="25"/>
  <c r="CZ105" i="25"/>
  <c r="CZ103" i="25"/>
  <c r="CZ108" i="25"/>
  <c r="CZ100" i="25"/>
  <c r="CZ102" i="25"/>
  <c r="CZ99" i="25"/>
  <c r="CZ113" i="25"/>
  <c r="CZ95" i="25"/>
  <c r="CZ112" i="25"/>
  <c r="CZ92" i="25"/>
  <c r="CZ101" i="25"/>
  <c r="CZ98" i="25"/>
  <c r="CZ93" i="25"/>
  <c r="CZ94" i="25"/>
  <c r="CZ96" i="25"/>
  <c r="CZ88" i="25"/>
  <c r="CZ89" i="25"/>
  <c r="CZ90" i="25"/>
  <c r="CZ91" i="25"/>
  <c r="CZ84" i="25"/>
  <c r="CZ97" i="25"/>
  <c r="CZ87" i="25"/>
  <c r="CZ86" i="25"/>
  <c r="CZ78" i="25"/>
  <c r="CZ85" i="25"/>
  <c r="CZ80" i="25"/>
  <c r="CZ81" i="25"/>
  <c r="CZ82" i="25"/>
  <c r="CZ72" i="25"/>
  <c r="CZ77" i="25"/>
  <c r="CZ71" i="25"/>
  <c r="CZ76" i="25"/>
  <c r="CZ70" i="25"/>
  <c r="CZ75" i="25"/>
  <c r="CZ69" i="25"/>
  <c r="CZ79" i="25"/>
  <c r="CZ74" i="25"/>
  <c r="CZ68" i="25"/>
  <c r="CZ73" i="25"/>
  <c r="CZ65" i="25"/>
  <c r="CZ83" i="25"/>
  <c r="CZ64" i="25"/>
  <c r="CZ63" i="25"/>
  <c r="CZ57" i="25"/>
  <c r="CZ62" i="25"/>
  <c r="CZ56" i="25"/>
  <c r="CZ55" i="25"/>
  <c r="CZ67" i="25"/>
  <c r="CZ66" i="25"/>
  <c r="CZ54" i="25"/>
  <c r="CZ60" i="25"/>
  <c r="CZ53" i="25"/>
  <c r="CZ52" i="25"/>
  <c r="CZ58" i="25"/>
  <c r="CZ51" i="25"/>
  <c r="CZ45" i="25"/>
  <c r="CZ61" i="25"/>
  <c r="CZ50" i="25"/>
  <c r="CZ59" i="25"/>
  <c r="CZ46" i="25"/>
  <c r="CZ49" i="25"/>
  <c r="CZ47" i="25"/>
  <c r="CZ48" i="25"/>
  <c r="CZ43" i="25"/>
  <c r="CZ44" i="25"/>
  <c r="CZ38" i="25"/>
  <c r="CZ35" i="25"/>
  <c r="CZ39" i="25"/>
  <c r="CZ34" i="25"/>
  <c r="CZ33" i="25"/>
  <c r="CZ40" i="25"/>
  <c r="CZ42" i="25"/>
  <c r="CZ32" i="25"/>
  <c r="CZ37" i="25"/>
  <c r="CZ31" i="25"/>
  <c r="CZ28" i="25"/>
  <c r="CZ23" i="25"/>
  <c r="CZ20" i="25"/>
  <c r="CZ29" i="25"/>
  <c r="CZ24" i="25"/>
  <c r="CZ19" i="25"/>
  <c r="CZ36" i="25"/>
  <c r="CZ25" i="25"/>
  <c r="CZ18" i="25"/>
  <c r="CZ26" i="25"/>
  <c r="CZ41" i="25"/>
  <c r="CZ27" i="25"/>
  <c r="CZ22" i="25"/>
  <c r="CZ15" i="25"/>
  <c r="CZ9" i="25"/>
  <c r="CZ8" i="25"/>
  <c r="CZ7" i="25"/>
  <c r="CZ16" i="25"/>
  <c r="CZ11" i="25"/>
  <c r="CZ10" i="25"/>
  <c r="CZ30" i="25"/>
  <c r="CZ17" i="25"/>
  <c r="CZ12" i="25"/>
  <c r="CZ13" i="25"/>
  <c r="CZ21" i="25"/>
  <c r="CZ14" i="25"/>
  <c r="DA5" i="25"/>
  <c r="DA112" i="25" l="1"/>
  <c r="DA114" i="25"/>
  <c r="DA109" i="25"/>
  <c r="DA107" i="25"/>
  <c r="DA110" i="25"/>
  <c r="DA111" i="25"/>
  <c r="DA106" i="25"/>
  <c r="DA105" i="25"/>
  <c r="DA103" i="25"/>
  <c r="DA113" i="25"/>
  <c r="DA108" i="25"/>
  <c r="DA100" i="25"/>
  <c r="DO115" i="25"/>
  <c r="DA101" i="25"/>
  <c r="DA104" i="25"/>
  <c r="DA94" i="25"/>
  <c r="DA97" i="25"/>
  <c r="DA96" i="25"/>
  <c r="DA95" i="25"/>
  <c r="DA102" i="25"/>
  <c r="DA98" i="25"/>
  <c r="DA93" i="25"/>
  <c r="DA89" i="25"/>
  <c r="DA99" i="25"/>
  <c r="DA90" i="25"/>
  <c r="DA91" i="25"/>
  <c r="DA92" i="25"/>
  <c r="DA84" i="25"/>
  <c r="DA87" i="25"/>
  <c r="DA86" i="25"/>
  <c r="DA88" i="25"/>
  <c r="DA80" i="25"/>
  <c r="DA85" i="25"/>
  <c r="DA78" i="25"/>
  <c r="DA81" i="25"/>
  <c r="DA82" i="25"/>
  <c r="DA77" i="25"/>
  <c r="DA71" i="25"/>
  <c r="DA76" i="25"/>
  <c r="DA70" i="25"/>
  <c r="DA75" i="25"/>
  <c r="DA69" i="25"/>
  <c r="DA79" i="25"/>
  <c r="DA74" i="25"/>
  <c r="DA68" i="25"/>
  <c r="DA83" i="25"/>
  <c r="DA73" i="25"/>
  <c r="DA65" i="25"/>
  <c r="DA64" i="25"/>
  <c r="DA63" i="25"/>
  <c r="DA62" i="25"/>
  <c r="DA72" i="25"/>
  <c r="DA66" i="25"/>
  <c r="DA61" i="25"/>
  <c r="DA56" i="25"/>
  <c r="DA55" i="25"/>
  <c r="DA67" i="25"/>
  <c r="DA57" i="25"/>
  <c r="DA54" i="25"/>
  <c r="DA60" i="25"/>
  <c r="DA53" i="25"/>
  <c r="DA52" i="25"/>
  <c r="DA58" i="25"/>
  <c r="DA51" i="25"/>
  <c r="DA45" i="25"/>
  <c r="DA59" i="25"/>
  <c r="DA50" i="25"/>
  <c r="DA46" i="25"/>
  <c r="DA49" i="25"/>
  <c r="DA47" i="25"/>
  <c r="DA48" i="25"/>
  <c r="DA43" i="25"/>
  <c r="DA44" i="25"/>
  <c r="DA38" i="25"/>
  <c r="DA35" i="25"/>
  <c r="DA39" i="25"/>
  <c r="DA34" i="25"/>
  <c r="DA33" i="25"/>
  <c r="DA40" i="25"/>
  <c r="DA42" i="25"/>
  <c r="DA32" i="25"/>
  <c r="DA37" i="25"/>
  <c r="DA31" i="25"/>
  <c r="DA25" i="25"/>
  <c r="DA41" i="25"/>
  <c r="DA36" i="25"/>
  <c r="DA30" i="25"/>
  <c r="DA24" i="25"/>
  <c r="DA20" i="25"/>
  <c r="DA29" i="25"/>
  <c r="DA19" i="25"/>
  <c r="DA26" i="25"/>
  <c r="DA16" i="25"/>
  <c r="DA27" i="25"/>
  <c r="DA22" i="25"/>
  <c r="DA21" i="25"/>
  <c r="DA15" i="25"/>
  <c r="DA9" i="25"/>
  <c r="DA8" i="25"/>
  <c r="DA7" i="25"/>
  <c r="DA11" i="25"/>
  <c r="DA10" i="25"/>
  <c r="DA17" i="25"/>
  <c r="DA28" i="25"/>
  <c r="DA12" i="25"/>
  <c r="DA13" i="25"/>
  <c r="DA23" i="25"/>
  <c r="DA18" i="25"/>
  <c r="DA14" i="25"/>
  <c r="DB5" i="25"/>
  <c r="DB114" i="25" l="1"/>
  <c r="DB113" i="25"/>
  <c r="DB111" i="25"/>
  <c r="DB110" i="25"/>
  <c r="DB106" i="25"/>
  <c r="DB105" i="25"/>
  <c r="DB103" i="25"/>
  <c r="DB108" i="25"/>
  <c r="DB102" i="25"/>
  <c r="DB109" i="25"/>
  <c r="DB101" i="25"/>
  <c r="DB112" i="25"/>
  <c r="DB100" i="25"/>
  <c r="DP115" i="25"/>
  <c r="DB94" i="25"/>
  <c r="DB104" i="25"/>
  <c r="DB97" i="25"/>
  <c r="DB96" i="25"/>
  <c r="DB95" i="25"/>
  <c r="DB107" i="25"/>
  <c r="DB91" i="25"/>
  <c r="DB99" i="25"/>
  <c r="DB89" i="25"/>
  <c r="DB90" i="25"/>
  <c r="DB93" i="25"/>
  <c r="DB98" i="25"/>
  <c r="DB92" i="25"/>
  <c r="DB87" i="25"/>
  <c r="DB86" i="25"/>
  <c r="DB88" i="25"/>
  <c r="DB85" i="25"/>
  <c r="DB81" i="25"/>
  <c r="DB80" i="25"/>
  <c r="DB82" i="25"/>
  <c r="DB84" i="25"/>
  <c r="DB83" i="25"/>
  <c r="DB79" i="25"/>
  <c r="DB77" i="25"/>
  <c r="DB71" i="25"/>
  <c r="DB76" i="25"/>
  <c r="DB70" i="25"/>
  <c r="DB78" i="25"/>
  <c r="DB75" i="25"/>
  <c r="DB69" i="25"/>
  <c r="DB74" i="25"/>
  <c r="DB68" i="25"/>
  <c r="DB73" i="25"/>
  <c r="DB67" i="25"/>
  <c r="DB65" i="25"/>
  <c r="DB64" i="25"/>
  <c r="DB63" i="25"/>
  <c r="DB62" i="25"/>
  <c r="DB56" i="25"/>
  <c r="DB72" i="25"/>
  <c r="DB66" i="25"/>
  <c r="DB57" i="25"/>
  <c r="DB54" i="25"/>
  <c r="DB60" i="25"/>
  <c r="DB53" i="25"/>
  <c r="DB52" i="25"/>
  <c r="DB58" i="25"/>
  <c r="DB51" i="25"/>
  <c r="DB61" i="25"/>
  <c r="DB59" i="25"/>
  <c r="DB50" i="25"/>
  <c r="DB44" i="25"/>
  <c r="DB45" i="25"/>
  <c r="DB46" i="25"/>
  <c r="DB49" i="25"/>
  <c r="DB47" i="25"/>
  <c r="DB48" i="25"/>
  <c r="DB55" i="25"/>
  <c r="DB39" i="25"/>
  <c r="DB34" i="25"/>
  <c r="DB33" i="25"/>
  <c r="DB40" i="25"/>
  <c r="DB42" i="25"/>
  <c r="DB32" i="25"/>
  <c r="DB37" i="25"/>
  <c r="DB43" i="25"/>
  <c r="DB41" i="25"/>
  <c r="DB36" i="25"/>
  <c r="DB30" i="25"/>
  <c r="DB31" i="25"/>
  <c r="DB29" i="25"/>
  <c r="DB24" i="25"/>
  <c r="DB19" i="25"/>
  <c r="DB18" i="25"/>
  <c r="DB25" i="25"/>
  <c r="DB17" i="25"/>
  <c r="DB26" i="25"/>
  <c r="DB35" i="25"/>
  <c r="DB27" i="25"/>
  <c r="DB22" i="25"/>
  <c r="DB21" i="25"/>
  <c r="DB38" i="25"/>
  <c r="DB28" i="25"/>
  <c r="DB23" i="25"/>
  <c r="DB8" i="25"/>
  <c r="DB7" i="25"/>
  <c r="DB15" i="25"/>
  <c r="DB11" i="25"/>
  <c r="DB10" i="25"/>
  <c r="DB9" i="25"/>
  <c r="DB20" i="25"/>
  <c r="DB16" i="25"/>
  <c r="DB12" i="25"/>
  <c r="DB13" i="25"/>
  <c r="DB14" i="25"/>
  <c r="DC5" i="25"/>
  <c r="DQ115" i="25" l="1"/>
  <c r="DC113" i="25"/>
  <c r="DC111" i="25"/>
  <c r="DC114" i="25"/>
  <c r="DC108" i="25"/>
  <c r="DC102" i="25"/>
  <c r="DC107" i="25"/>
  <c r="DC112" i="25"/>
  <c r="DC101" i="25"/>
  <c r="DC110" i="25"/>
  <c r="DC97" i="25"/>
  <c r="DC96" i="25"/>
  <c r="DC95" i="25"/>
  <c r="DC94" i="25"/>
  <c r="DC106" i="25"/>
  <c r="DC100" i="25"/>
  <c r="DC98" i="25"/>
  <c r="DC109" i="25"/>
  <c r="DC91" i="25"/>
  <c r="DC103" i="25"/>
  <c r="DC89" i="25"/>
  <c r="DC90" i="25"/>
  <c r="DC105" i="25"/>
  <c r="DC99" i="25"/>
  <c r="DC104" i="25"/>
  <c r="DC93" i="25"/>
  <c r="DC92" i="25"/>
  <c r="DC87" i="25"/>
  <c r="DC86" i="25"/>
  <c r="DC88" i="25"/>
  <c r="DC85" i="25"/>
  <c r="DC84" i="25"/>
  <c r="DC81" i="25"/>
  <c r="DC80" i="25"/>
  <c r="DC82" i="25"/>
  <c r="DC83" i="25"/>
  <c r="DC76" i="25"/>
  <c r="DC70" i="25"/>
  <c r="DC78" i="25"/>
  <c r="DC75" i="25"/>
  <c r="DC69" i="25"/>
  <c r="DC74" i="25"/>
  <c r="DC68" i="25"/>
  <c r="DC79" i="25"/>
  <c r="DC73" i="25"/>
  <c r="DC67" i="25"/>
  <c r="DC72" i="25"/>
  <c r="DC71" i="25"/>
  <c r="DC64" i="25"/>
  <c r="DC63" i="25"/>
  <c r="DC77" i="25"/>
  <c r="DC62" i="25"/>
  <c r="DC66" i="25"/>
  <c r="DC61" i="25"/>
  <c r="DC60" i="25"/>
  <c r="DC54" i="25"/>
  <c r="DC53" i="25"/>
  <c r="DC52" i="25"/>
  <c r="DC65" i="25"/>
  <c r="DC58" i="25"/>
  <c r="DC51" i="25"/>
  <c r="DC59" i="25"/>
  <c r="DC50" i="25"/>
  <c r="DC44" i="25"/>
  <c r="DC55" i="25"/>
  <c r="DC46" i="25"/>
  <c r="DC49" i="25"/>
  <c r="DC47" i="25"/>
  <c r="DC57" i="25"/>
  <c r="DC48" i="25"/>
  <c r="DC56" i="25"/>
  <c r="DC39" i="25"/>
  <c r="DC34" i="25"/>
  <c r="DC33" i="25"/>
  <c r="DC40" i="25"/>
  <c r="DC42" i="25"/>
  <c r="DC32" i="25"/>
  <c r="DC37" i="25"/>
  <c r="DC45" i="25"/>
  <c r="DC43" i="25"/>
  <c r="DC41" i="25"/>
  <c r="DC36" i="25"/>
  <c r="DC30" i="25"/>
  <c r="DC24" i="25"/>
  <c r="DC38" i="25"/>
  <c r="DC35" i="25"/>
  <c r="DC29" i="25"/>
  <c r="DC23" i="25"/>
  <c r="DC19" i="25"/>
  <c r="DC18" i="25"/>
  <c r="DC25" i="25"/>
  <c r="DC26" i="25"/>
  <c r="DC27" i="25"/>
  <c r="DC22" i="25"/>
  <c r="DC21" i="25"/>
  <c r="DC15" i="25"/>
  <c r="DC28" i="25"/>
  <c r="DC20" i="25"/>
  <c r="DC14" i="25"/>
  <c r="DC8" i="25"/>
  <c r="DC11" i="25"/>
  <c r="DC10" i="25"/>
  <c r="DC9" i="25"/>
  <c r="DC16" i="25"/>
  <c r="DC17" i="25"/>
  <c r="DB4" i="25"/>
  <c r="DC12" i="25"/>
  <c r="DC7" i="25"/>
  <c r="DC13" i="25"/>
  <c r="DC31" i="25"/>
  <c r="DD5" i="25"/>
  <c r="DD114" i="25" l="1"/>
  <c r="DD112" i="25"/>
  <c r="DD111" i="25"/>
  <c r="DR115" i="25"/>
  <c r="DD105" i="25"/>
  <c r="DD102" i="25"/>
  <c r="DD113" i="25"/>
  <c r="DD107" i="25"/>
  <c r="DD103" i="25"/>
  <c r="DD110" i="25"/>
  <c r="DD101" i="25"/>
  <c r="DD106" i="25"/>
  <c r="DD104" i="25"/>
  <c r="DD100" i="25"/>
  <c r="DD98" i="25"/>
  <c r="DD91" i="25"/>
  <c r="DD95" i="25"/>
  <c r="DD109" i="25"/>
  <c r="DD97" i="25"/>
  <c r="DD89" i="25"/>
  <c r="DD90" i="25"/>
  <c r="DD99" i="25"/>
  <c r="DD94" i="25"/>
  <c r="DD93" i="25"/>
  <c r="DD92" i="25"/>
  <c r="DD96" i="25"/>
  <c r="DD87" i="25"/>
  <c r="DD86" i="25"/>
  <c r="DD108" i="25"/>
  <c r="DD88" i="25"/>
  <c r="DD85" i="25"/>
  <c r="DD81" i="25"/>
  <c r="DD80" i="25"/>
  <c r="DD82" i="25"/>
  <c r="DD83" i="25"/>
  <c r="DD79" i="25"/>
  <c r="DD84" i="25"/>
  <c r="DD76" i="25"/>
  <c r="DD70" i="25"/>
  <c r="DD78" i="25"/>
  <c r="DD75" i="25"/>
  <c r="DD69" i="25"/>
  <c r="DD74" i="25"/>
  <c r="DD73" i="25"/>
  <c r="DD72" i="25"/>
  <c r="DD66" i="25"/>
  <c r="DD64" i="25"/>
  <c r="DD63" i="25"/>
  <c r="DD77" i="25"/>
  <c r="DD62" i="25"/>
  <c r="DD61" i="25"/>
  <c r="DD68" i="25"/>
  <c r="DD67" i="25"/>
  <c r="DD53" i="25"/>
  <c r="DD60" i="25"/>
  <c r="DD52" i="25"/>
  <c r="DD65" i="25"/>
  <c r="DD58" i="25"/>
  <c r="DD51" i="25"/>
  <c r="DD59" i="25"/>
  <c r="DD50" i="25"/>
  <c r="DD55" i="25"/>
  <c r="DD49" i="25"/>
  <c r="DD43" i="25"/>
  <c r="DD57" i="25"/>
  <c r="DD56" i="25"/>
  <c r="DD71" i="25"/>
  <c r="DD54" i="25"/>
  <c r="DD46" i="25"/>
  <c r="DD47" i="25"/>
  <c r="DD48" i="25"/>
  <c r="DD44" i="25"/>
  <c r="DD45" i="25"/>
  <c r="DD41" i="25"/>
  <c r="DD40" i="25"/>
  <c r="DD33" i="25"/>
  <c r="DD42" i="25"/>
  <c r="DD32" i="25"/>
  <c r="DD37" i="25"/>
  <c r="DD36" i="25"/>
  <c r="DD38" i="25"/>
  <c r="DD35" i="25"/>
  <c r="DD24" i="25"/>
  <c r="DD25" i="25"/>
  <c r="DD26" i="25"/>
  <c r="DD27" i="25"/>
  <c r="DD22" i="25"/>
  <c r="DD21" i="25"/>
  <c r="DD28" i="25"/>
  <c r="DD39" i="25"/>
  <c r="DD34" i="25"/>
  <c r="DD23" i="25"/>
  <c r="DD20" i="25"/>
  <c r="DD31" i="25"/>
  <c r="DD30" i="25"/>
  <c r="DD16" i="25"/>
  <c r="DD11" i="25"/>
  <c r="DD17" i="25"/>
  <c r="DD12" i="25"/>
  <c r="DD29" i="25"/>
  <c r="DD13" i="25"/>
  <c r="DE5" i="25"/>
  <c r="DD19" i="25"/>
  <c r="DD14" i="25"/>
  <c r="DD18" i="25"/>
  <c r="DD10" i="25"/>
  <c r="DD7" i="25"/>
  <c r="DD15" i="25"/>
  <c r="DD9" i="25"/>
  <c r="DD8" i="25"/>
  <c r="DE114" i="25" l="1"/>
  <c r="DS115" i="25"/>
  <c r="DE112" i="25"/>
  <c r="DE111" i="25"/>
  <c r="DE113" i="25"/>
  <c r="DE107" i="25"/>
  <c r="DE101" i="25"/>
  <c r="DE103" i="25"/>
  <c r="DE110" i="25"/>
  <c r="DE105" i="25"/>
  <c r="DE106" i="25"/>
  <c r="DE100" i="25"/>
  <c r="DE98" i="25"/>
  <c r="DE109" i="25"/>
  <c r="DE99" i="25"/>
  <c r="DE91" i="25"/>
  <c r="DE95" i="25"/>
  <c r="DE102" i="25"/>
  <c r="DE96" i="25"/>
  <c r="DE97" i="25"/>
  <c r="DE92" i="25"/>
  <c r="DE104" i="25"/>
  <c r="DE90" i="25"/>
  <c r="DE94" i="25"/>
  <c r="DE93" i="25"/>
  <c r="DE108" i="25"/>
  <c r="DE88" i="25"/>
  <c r="DE85" i="25"/>
  <c r="DE89" i="25"/>
  <c r="DE84" i="25"/>
  <c r="DE86" i="25"/>
  <c r="DE81" i="25"/>
  <c r="DE80" i="25"/>
  <c r="DE82" i="25"/>
  <c r="DE83" i="25"/>
  <c r="DE79" i="25"/>
  <c r="DE87" i="25"/>
  <c r="DE78" i="25"/>
  <c r="DE75" i="25"/>
  <c r="DE69" i="25"/>
  <c r="DE74" i="25"/>
  <c r="DE68" i="25"/>
  <c r="DE73" i="25"/>
  <c r="DE72" i="25"/>
  <c r="DE66" i="25"/>
  <c r="DE77" i="25"/>
  <c r="DE71" i="25"/>
  <c r="DE63" i="25"/>
  <c r="DE62" i="25"/>
  <c r="DE70" i="25"/>
  <c r="DE60" i="25"/>
  <c r="DE67" i="25"/>
  <c r="DE65" i="25"/>
  <c r="DE59" i="25"/>
  <c r="DE53" i="25"/>
  <c r="DE52" i="25"/>
  <c r="DE58" i="25"/>
  <c r="DE51" i="25"/>
  <c r="DE76" i="25"/>
  <c r="DE50" i="25"/>
  <c r="DE61" i="25"/>
  <c r="DE55" i="25"/>
  <c r="DE49" i="25"/>
  <c r="DE43" i="25"/>
  <c r="DE57" i="25"/>
  <c r="DE56" i="25"/>
  <c r="DE54" i="25"/>
  <c r="DE47" i="25"/>
  <c r="DE48" i="25"/>
  <c r="DE64" i="25"/>
  <c r="DE44" i="25"/>
  <c r="DE45" i="25"/>
  <c r="DE41" i="25"/>
  <c r="DE40" i="25"/>
  <c r="DE33" i="25"/>
  <c r="DE42" i="25"/>
  <c r="DE32" i="25"/>
  <c r="DE37" i="25"/>
  <c r="DE46" i="25"/>
  <c r="DE36" i="25"/>
  <c r="DE38" i="25"/>
  <c r="DE35" i="25"/>
  <c r="DE29" i="25"/>
  <c r="DE23" i="25"/>
  <c r="DE39" i="25"/>
  <c r="DE34" i="25"/>
  <c r="DE28" i="25"/>
  <c r="DE22" i="25"/>
  <c r="DE18" i="25"/>
  <c r="DE25" i="25"/>
  <c r="DE26" i="25"/>
  <c r="DE27" i="25"/>
  <c r="DE21" i="25"/>
  <c r="DE20" i="25"/>
  <c r="DE14" i="25"/>
  <c r="DE31" i="25"/>
  <c r="DE30" i="25"/>
  <c r="DE19" i="25"/>
  <c r="DE13" i="25"/>
  <c r="DE7" i="25"/>
  <c r="DE17" i="25"/>
  <c r="DE12" i="25"/>
  <c r="DF5" i="25"/>
  <c r="DE24" i="25"/>
  <c r="DE15" i="25"/>
  <c r="DE9" i="25"/>
  <c r="DE16" i="25"/>
  <c r="DE11" i="25"/>
  <c r="DE10" i="25"/>
  <c r="DE8" i="25"/>
  <c r="DF114" i="25" l="1"/>
  <c r="DF113" i="25"/>
  <c r="DF111" i="25"/>
  <c r="DT115" i="25"/>
  <c r="DF108" i="25"/>
  <c r="DF101" i="25"/>
  <c r="DF112" i="25"/>
  <c r="DF110" i="25"/>
  <c r="DF105" i="25"/>
  <c r="DF106" i="25"/>
  <c r="DF104" i="25"/>
  <c r="DF103" i="25"/>
  <c r="DF98" i="25"/>
  <c r="DF109" i="25"/>
  <c r="DF99" i="25"/>
  <c r="DF95" i="25"/>
  <c r="DF90" i="25"/>
  <c r="DF107" i="25"/>
  <c r="DF102" i="25"/>
  <c r="DF96" i="25"/>
  <c r="DF100" i="25"/>
  <c r="DF97" i="25"/>
  <c r="DF94" i="25"/>
  <c r="DF93" i="25"/>
  <c r="DF92" i="25"/>
  <c r="DF91" i="25"/>
  <c r="DF88" i="25"/>
  <c r="DF85" i="25"/>
  <c r="DF89" i="25"/>
  <c r="DF84" i="25"/>
  <c r="DF87" i="25"/>
  <c r="DF86" i="25"/>
  <c r="DF81" i="25"/>
  <c r="DF80" i="25"/>
  <c r="DF82" i="25"/>
  <c r="DF83" i="25"/>
  <c r="DF79" i="25"/>
  <c r="DF78" i="25"/>
  <c r="DF75" i="25"/>
  <c r="DF69" i="25"/>
  <c r="DF74" i="25"/>
  <c r="DF73" i="25"/>
  <c r="DF72" i="25"/>
  <c r="DF77" i="25"/>
  <c r="DF71" i="25"/>
  <c r="DF63" i="25"/>
  <c r="DF62" i="25"/>
  <c r="DF70" i="25"/>
  <c r="DF66" i="25"/>
  <c r="DF60" i="25"/>
  <c r="DF68" i="25"/>
  <c r="DF67" i="25"/>
  <c r="DF65" i="25"/>
  <c r="DF76" i="25"/>
  <c r="DF52" i="25"/>
  <c r="DF58" i="25"/>
  <c r="DF59" i="25"/>
  <c r="DF61" i="25"/>
  <c r="DF55" i="25"/>
  <c r="DF49" i="25"/>
  <c r="DF57" i="25"/>
  <c r="DF56" i="25"/>
  <c r="DF54" i="25"/>
  <c r="DF48" i="25"/>
  <c r="DF42" i="25"/>
  <c r="DF64" i="25"/>
  <c r="DF50" i="25"/>
  <c r="DF47" i="25"/>
  <c r="DF53" i="25"/>
  <c r="DF51" i="25"/>
  <c r="DF44" i="25"/>
  <c r="DF45" i="25"/>
  <c r="DF41" i="25"/>
  <c r="DF40" i="25"/>
  <c r="DF46" i="25"/>
  <c r="DF39" i="25"/>
  <c r="DF32" i="25"/>
  <c r="DF37" i="25"/>
  <c r="DF36" i="25"/>
  <c r="DF43" i="25"/>
  <c r="DF38" i="25"/>
  <c r="DF35" i="25"/>
  <c r="DF34" i="25"/>
  <c r="DF33" i="25"/>
  <c r="DF25" i="25"/>
  <c r="DF26" i="25"/>
  <c r="DF27" i="25"/>
  <c r="DF22" i="25"/>
  <c r="DF21" i="25"/>
  <c r="DF28" i="25"/>
  <c r="DF20" i="25"/>
  <c r="DF31" i="25"/>
  <c r="DF30" i="25"/>
  <c r="DF23" i="25"/>
  <c r="DF19" i="25"/>
  <c r="DF29" i="25"/>
  <c r="DF24" i="25"/>
  <c r="DF12" i="25"/>
  <c r="DF13" i="25"/>
  <c r="DG5" i="25"/>
  <c r="DF14" i="25"/>
  <c r="DF18" i="25"/>
  <c r="DF15" i="25"/>
  <c r="DF11" i="25"/>
  <c r="DF10" i="25"/>
  <c r="DF9" i="25"/>
  <c r="DF8" i="25"/>
  <c r="DF7" i="25"/>
  <c r="DF17" i="25"/>
  <c r="DF16" i="25"/>
  <c r="DG113" i="25" l="1"/>
  <c r="DU115" i="25"/>
  <c r="DG114" i="25"/>
  <c r="DG110" i="25"/>
  <c r="DG111" i="25"/>
  <c r="DG108" i="25"/>
  <c r="DG100" i="25"/>
  <c r="DG106" i="25"/>
  <c r="DG104" i="25"/>
  <c r="DG103" i="25"/>
  <c r="DG98" i="25"/>
  <c r="DG107" i="25"/>
  <c r="DG112" i="25"/>
  <c r="DG99" i="25"/>
  <c r="DG109" i="25"/>
  <c r="DG101" i="25"/>
  <c r="DG105" i="25"/>
  <c r="DG102" i="25"/>
  <c r="DG90" i="25"/>
  <c r="DG96" i="25"/>
  <c r="DG94" i="25"/>
  <c r="DG97" i="25"/>
  <c r="DG95" i="25"/>
  <c r="DG93" i="25"/>
  <c r="DG92" i="25"/>
  <c r="DG91" i="25"/>
  <c r="DG88" i="25"/>
  <c r="DG85" i="25"/>
  <c r="DG89" i="25"/>
  <c r="DG84" i="25"/>
  <c r="DG83" i="25"/>
  <c r="DG81" i="25"/>
  <c r="DG80" i="25"/>
  <c r="DG82" i="25"/>
  <c r="DG79" i="25"/>
  <c r="DG87" i="25"/>
  <c r="DG74" i="25"/>
  <c r="DG68" i="25"/>
  <c r="DG73" i="25"/>
  <c r="DG72" i="25"/>
  <c r="DG77" i="25"/>
  <c r="DG71" i="25"/>
  <c r="DG86" i="25"/>
  <c r="DG76" i="25"/>
  <c r="DG70" i="25"/>
  <c r="DG62" i="25"/>
  <c r="DG78" i="25"/>
  <c r="DG75" i="25"/>
  <c r="DG66" i="25"/>
  <c r="DG67" i="25"/>
  <c r="DG65" i="25"/>
  <c r="DG64" i="25"/>
  <c r="DG58" i="25"/>
  <c r="DG52" i="25"/>
  <c r="DG60" i="25"/>
  <c r="DG51" i="25"/>
  <c r="DG63" i="25"/>
  <c r="DG59" i="25"/>
  <c r="DG61" i="25"/>
  <c r="DG55" i="25"/>
  <c r="DG57" i="25"/>
  <c r="DG56" i="25"/>
  <c r="DG54" i="25"/>
  <c r="DG48" i="25"/>
  <c r="DG42" i="25"/>
  <c r="DG69" i="25"/>
  <c r="DG53" i="25"/>
  <c r="DG49" i="25"/>
  <c r="DG44" i="25"/>
  <c r="DG45" i="25"/>
  <c r="DG46" i="25"/>
  <c r="DG32" i="25"/>
  <c r="DG40" i="25"/>
  <c r="DG37" i="25"/>
  <c r="DG31" i="25"/>
  <c r="DG36" i="25"/>
  <c r="DG50" i="25"/>
  <c r="DG47" i="25"/>
  <c r="DG43" i="25"/>
  <c r="DG38" i="25"/>
  <c r="DG35" i="25"/>
  <c r="DG41" i="25"/>
  <c r="DG34" i="25"/>
  <c r="DG28" i="25"/>
  <c r="DG22" i="25"/>
  <c r="DG39" i="25"/>
  <c r="DG33" i="25"/>
  <c r="DG27" i="25"/>
  <c r="DG17" i="25"/>
  <c r="DG26" i="25"/>
  <c r="DG21" i="25"/>
  <c r="DG20" i="25"/>
  <c r="DG30" i="25"/>
  <c r="DG23" i="25"/>
  <c r="DG19" i="25"/>
  <c r="DG13" i="25"/>
  <c r="DG29" i="25"/>
  <c r="DG24" i="25"/>
  <c r="DG18" i="25"/>
  <c r="DG12" i="25"/>
  <c r="DH5" i="25"/>
  <c r="DG14" i="25"/>
  <c r="DG25" i="25"/>
  <c r="DG15" i="25"/>
  <c r="DG11" i="25"/>
  <c r="DG10" i="25"/>
  <c r="DG9" i="25"/>
  <c r="DG8" i="25"/>
  <c r="DG7" i="25"/>
  <c r="DG16" i="25"/>
  <c r="DV115" i="25" l="1"/>
  <c r="DH113" i="25"/>
  <c r="DH111" i="25"/>
  <c r="DH108" i="25"/>
  <c r="DH114" i="25"/>
  <c r="DH100" i="25"/>
  <c r="DH106" i="25"/>
  <c r="DH104" i="25"/>
  <c r="DH103" i="25"/>
  <c r="DH109" i="25"/>
  <c r="DH97" i="25"/>
  <c r="DH101" i="25"/>
  <c r="DH105" i="25"/>
  <c r="DH102" i="25"/>
  <c r="DH107" i="25"/>
  <c r="DH110" i="25"/>
  <c r="DH96" i="25"/>
  <c r="DH89" i="25"/>
  <c r="DH99" i="25"/>
  <c r="DH93" i="25"/>
  <c r="DH92" i="25"/>
  <c r="DH90" i="25"/>
  <c r="DH94" i="25"/>
  <c r="DH91" i="25"/>
  <c r="DH95" i="25"/>
  <c r="DH98" i="25"/>
  <c r="DH112" i="25"/>
  <c r="DH85" i="25"/>
  <c r="DH84" i="25"/>
  <c r="DH83" i="25"/>
  <c r="DH87" i="25"/>
  <c r="DH86" i="25"/>
  <c r="DH82" i="25"/>
  <c r="DH79" i="25"/>
  <c r="DH88" i="25"/>
  <c r="DH74" i="25"/>
  <c r="DH80" i="25"/>
  <c r="DH73" i="25"/>
  <c r="DH72" i="25"/>
  <c r="DH77" i="25"/>
  <c r="DH71" i="25"/>
  <c r="DH76" i="25"/>
  <c r="DH70" i="25"/>
  <c r="DH62" i="25"/>
  <c r="DH81" i="25"/>
  <c r="DH78" i="25"/>
  <c r="DH75" i="25"/>
  <c r="DH61" i="25"/>
  <c r="DH66" i="25"/>
  <c r="DH67" i="25"/>
  <c r="DH68" i="25"/>
  <c r="DH65" i="25"/>
  <c r="DH59" i="25"/>
  <c r="DH64" i="25"/>
  <c r="DH69" i="25"/>
  <c r="DH60" i="25"/>
  <c r="DH58" i="25"/>
  <c r="DH63" i="25"/>
  <c r="DH55" i="25"/>
  <c r="DH57" i="25"/>
  <c r="DH56" i="25"/>
  <c r="DH54" i="25"/>
  <c r="DH53" i="25"/>
  <c r="DH47" i="25"/>
  <c r="DH49" i="25"/>
  <c r="DH52" i="25"/>
  <c r="DH48" i="25"/>
  <c r="DH44" i="25"/>
  <c r="DH51" i="25"/>
  <c r="DH45" i="25"/>
  <c r="DH46" i="25"/>
  <c r="DH39" i="25"/>
  <c r="DH50" i="25"/>
  <c r="DH38" i="25"/>
  <c r="DH42" i="25"/>
  <c r="DH40" i="25"/>
  <c r="DH37" i="25"/>
  <c r="DH31" i="25"/>
  <c r="DH36" i="25"/>
  <c r="DH43" i="25"/>
  <c r="DH35" i="25"/>
  <c r="DH41" i="25"/>
  <c r="DH34" i="25"/>
  <c r="DH33" i="25"/>
  <c r="DH26" i="25"/>
  <c r="DH32" i="25"/>
  <c r="DH27" i="25"/>
  <c r="DH21" i="25"/>
  <c r="DH22" i="25"/>
  <c r="DH20" i="25"/>
  <c r="DH30" i="25"/>
  <c r="DH28" i="25"/>
  <c r="DH23" i="25"/>
  <c r="DH19" i="25"/>
  <c r="DH29" i="25"/>
  <c r="DH24" i="25"/>
  <c r="DH18" i="25"/>
  <c r="DH25" i="25"/>
  <c r="DH12" i="25"/>
  <c r="DG4" i="25"/>
  <c r="DH13" i="25"/>
  <c r="DI5" i="25"/>
  <c r="DH14" i="25"/>
  <c r="DH15" i="25"/>
  <c r="CX3" i="25"/>
  <c r="DH11" i="25"/>
  <c r="DH10" i="25"/>
  <c r="DH9" i="25"/>
  <c r="DH8" i="25"/>
  <c r="DH7" i="25"/>
  <c r="DH16" i="25"/>
  <c r="DH17" i="25"/>
  <c r="DI113" i="25" l="1"/>
  <c r="DI109" i="25"/>
  <c r="DW115" i="25"/>
  <c r="DI108" i="25"/>
  <c r="DI114" i="25"/>
  <c r="DI99" i="25"/>
  <c r="DI104" i="25"/>
  <c r="DI111" i="25"/>
  <c r="DI107" i="25"/>
  <c r="DI106" i="25"/>
  <c r="DI97" i="25"/>
  <c r="DI110" i="25"/>
  <c r="DI112" i="25"/>
  <c r="DI105" i="25"/>
  <c r="DI102" i="25"/>
  <c r="DI96" i="25"/>
  <c r="DI89" i="25"/>
  <c r="DI100" i="25"/>
  <c r="DI93" i="25"/>
  <c r="DI92" i="25"/>
  <c r="DI101" i="25"/>
  <c r="DI95" i="25"/>
  <c r="DI103" i="25"/>
  <c r="DI94" i="25"/>
  <c r="DI91" i="25"/>
  <c r="DI98" i="25"/>
  <c r="DI88" i="25"/>
  <c r="DI87" i="25"/>
  <c r="DI85" i="25"/>
  <c r="DI84" i="25"/>
  <c r="DI90" i="25"/>
  <c r="DI86" i="25"/>
  <c r="DI82" i="25"/>
  <c r="DI79" i="25"/>
  <c r="DI83" i="25"/>
  <c r="DI80" i="25"/>
  <c r="DI73" i="25"/>
  <c r="DI72" i="25"/>
  <c r="DI77" i="25"/>
  <c r="DI71" i="25"/>
  <c r="DI76" i="25"/>
  <c r="DI70" i="25"/>
  <c r="DI81" i="25"/>
  <c r="DI78" i="25"/>
  <c r="DI75" i="25"/>
  <c r="DI69" i="25"/>
  <c r="DI61" i="25"/>
  <c r="DI66" i="25"/>
  <c r="DI67" i="25"/>
  <c r="DI68" i="25"/>
  <c r="DI65" i="25"/>
  <c r="DI64" i="25"/>
  <c r="DI74" i="25"/>
  <c r="DI63" i="25"/>
  <c r="DI51" i="25"/>
  <c r="DI58" i="25"/>
  <c r="DI59" i="25"/>
  <c r="DI55" i="25"/>
  <c r="DI57" i="25"/>
  <c r="DI56" i="25"/>
  <c r="DI54" i="25"/>
  <c r="DI53" i="25"/>
  <c r="DI47" i="25"/>
  <c r="DI41" i="25"/>
  <c r="DI62" i="25"/>
  <c r="DI52" i="25"/>
  <c r="DI48" i="25"/>
  <c r="DI60" i="25"/>
  <c r="DI44" i="25"/>
  <c r="DI45" i="25"/>
  <c r="DI46" i="25"/>
  <c r="DI50" i="25"/>
  <c r="DI42" i="25"/>
  <c r="DI40" i="25"/>
  <c r="DI37" i="25"/>
  <c r="DI31" i="25"/>
  <c r="DI36" i="25"/>
  <c r="DI43" i="25"/>
  <c r="DI49" i="25"/>
  <c r="DI35" i="25"/>
  <c r="DI38" i="25"/>
  <c r="DI34" i="25"/>
  <c r="DI39" i="25"/>
  <c r="DI33" i="25"/>
  <c r="DI27" i="25"/>
  <c r="DI32" i="25"/>
  <c r="DI26" i="25"/>
  <c r="DI21" i="25"/>
  <c r="DI22" i="25"/>
  <c r="DI20" i="25"/>
  <c r="DI30" i="25"/>
  <c r="DI28" i="25"/>
  <c r="DI23" i="25"/>
  <c r="DI29" i="25"/>
  <c r="DI24" i="25"/>
  <c r="DI18" i="25"/>
  <c r="DI12" i="25"/>
  <c r="DI25" i="25"/>
  <c r="DI17" i="25"/>
  <c r="DI11" i="25"/>
  <c r="DI13" i="25"/>
  <c r="DJ5" i="25"/>
  <c r="DI14" i="25"/>
  <c r="DI15" i="25"/>
  <c r="DI19" i="25"/>
  <c r="DI10" i="25"/>
  <c r="DI9" i="25"/>
  <c r="DI8" i="25"/>
  <c r="DI7" i="25"/>
  <c r="DI16" i="25"/>
  <c r="DJ114" i="25" l="1"/>
  <c r="DX115" i="25"/>
  <c r="DJ112" i="25"/>
  <c r="DJ99" i="25"/>
  <c r="DJ109" i="25"/>
  <c r="DJ104" i="25"/>
  <c r="DJ111" i="25"/>
  <c r="DJ107" i="25"/>
  <c r="DJ113" i="25"/>
  <c r="DJ110" i="25"/>
  <c r="DJ96" i="25"/>
  <c r="DJ106" i="25"/>
  <c r="DJ93" i="25"/>
  <c r="DJ102" i="25"/>
  <c r="DJ100" i="25"/>
  <c r="DJ101" i="25"/>
  <c r="DJ97" i="25"/>
  <c r="DJ94" i="25"/>
  <c r="DJ108" i="25"/>
  <c r="DJ98" i="25"/>
  <c r="DJ103" i="25"/>
  <c r="DJ105" i="25"/>
  <c r="DJ91" i="25"/>
  <c r="DJ92" i="25"/>
  <c r="DJ95" i="25"/>
  <c r="DJ89" i="25"/>
  <c r="DJ85" i="25"/>
  <c r="DJ84" i="25"/>
  <c r="DJ90" i="25"/>
  <c r="DJ86" i="25"/>
  <c r="DJ87" i="25"/>
  <c r="DJ82" i="25"/>
  <c r="DJ88" i="25"/>
  <c r="DJ79" i="25"/>
  <c r="DJ83" i="25"/>
  <c r="DJ81" i="25"/>
  <c r="DJ80" i="25"/>
  <c r="DJ73" i="25"/>
  <c r="DJ72" i="25"/>
  <c r="DJ77" i="25"/>
  <c r="DJ71" i="25"/>
  <c r="DJ76" i="25"/>
  <c r="DJ70" i="25"/>
  <c r="DJ78" i="25"/>
  <c r="DJ75" i="25"/>
  <c r="DJ69" i="25"/>
  <c r="DJ61" i="25"/>
  <c r="DJ66" i="25"/>
  <c r="DJ67" i="25"/>
  <c r="DJ68" i="25"/>
  <c r="DJ65" i="25"/>
  <c r="DJ64" i="25"/>
  <c r="DJ58" i="25"/>
  <c r="DJ74" i="25"/>
  <c r="DJ63" i="25"/>
  <c r="DJ59" i="25"/>
  <c r="DJ55" i="25"/>
  <c r="DJ57" i="25"/>
  <c r="DJ56" i="25"/>
  <c r="DJ54" i="25"/>
  <c r="DJ53" i="25"/>
  <c r="DJ62" i="25"/>
  <c r="DJ52" i="25"/>
  <c r="DJ46" i="25"/>
  <c r="DJ60" i="25"/>
  <c r="DJ48" i="25"/>
  <c r="DJ43" i="25"/>
  <c r="DJ44" i="25"/>
  <c r="DJ51" i="25"/>
  <c r="DJ45" i="25"/>
  <c r="DJ50" i="25"/>
  <c r="DJ38" i="25"/>
  <c r="DJ49" i="25"/>
  <c r="DJ47" i="25"/>
  <c r="DJ36" i="25"/>
  <c r="DJ35" i="25"/>
  <c r="DJ41" i="25"/>
  <c r="DJ34" i="25"/>
  <c r="DJ39" i="25"/>
  <c r="DJ33" i="25"/>
  <c r="DJ32" i="25"/>
  <c r="DJ37" i="25"/>
  <c r="DJ21" i="25"/>
  <c r="DJ27" i="25"/>
  <c r="DJ22" i="25"/>
  <c r="DJ20" i="25"/>
  <c r="DJ30" i="25"/>
  <c r="DJ28" i="25"/>
  <c r="DJ23" i="25"/>
  <c r="DJ19" i="25"/>
  <c r="DJ29" i="25"/>
  <c r="DJ24" i="25"/>
  <c r="DJ31" i="25"/>
  <c r="DJ25" i="25"/>
  <c r="DJ40" i="25"/>
  <c r="DJ13" i="25"/>
  <c r="DK5" i="25"/>
  <c r="DJ14" i="25"/>
  <c r="DJ7" i="25"/>
  <c r="DJ42" i="25"/>
  <c r="DJ15" i="25"/>
  <c r="DJ8" i="25"/>
  <c r="DJ26" i="25"/>
  <c r="DJ10" i="25"/>
  <c r="DJ9" i="25"/>
  <c r="DJ18" i="25"/>
  <c r="DJ16" i="25"/>
  <c r="DJ11" i="25"/>
  <c r="DJ17" i="25"/>
  <c r="DJ12" i="25"/>
  <c r="DK113" i="25" l="1"/>
  <c r="DK112" i="25"/>
  <c r="DK114" i="25"/>
  <c r="DK107" i="25"/>
  <c r="DK109" i="25"/>
  <c r="DK104" i="25"/>
  <c r="DK110" i="25"/>
  <c r="DK111" i="25"/>
  <c r="DY115" i="25"/>
  <c r="DK105" i="25"/>
  <c r="DK102" i="25"/>
  <c r="DK106" i="25"/>
  <c r="DK96" i="25"/>
  <c r="DK100" i="25"/>
  <c r="DK92" i="25"/>
  <c r="DK101" i="25"/>
  <c r="DK99" i="25"/>
  <c r="DK97" i="25"/>
  <c r="DK94" i="25"/>
  <c r="DK103" i="25"/>
  <c r="DK95" i="25"/>
  <c r="DK93" i="25"/>
  <c r="DK91" i="25"/>
  <c r="DK98" i="25"/>
  <c r="DK89" i="25"/>
  <c r="DK86" i="25"/>
  <c r="DK108" i="25"/>
  <c r="DK90" i="25"/>
  <c r="DK85" i="25"/>
  <c r="DK84" i="25"/>
  <c r="DK87" i="25"/>
  <c r="DK81" i="25"/>
  <c r="DK82" i="25"/>
  <c r="DK79" i="25"/>
  <c r="DK83" i="25"/>
  <c r="DK78" i="25"/>
  <c r="DK88" i="25"/>
  <c r="DK80" i="25"/>
  <c r="DK72" i="25"/>
  <c r="DK77" i="25"/>
  <c r="DK71" i="25"/>
  <c r="DK76" i="25"/>
  <c r="DK70" i="25"/>
  <c r="DK75" i="25"/>
  <c r="DK69" i="25"/>
  <c r="DK74" i="25"/>
  <c r="DK68" i="25"/>
  <c r="DK73" i="25"/>
  <c r="DK66" i="25"/>
  <c r="DK67" i="25"/>
  <c r="DK65" i="25"/>
  <c r="DK64" i="25"/>
  <c r="DK63" i="25"/>
  <c r="DK62" i="25"/>
  <c r="DK58" i="25"/>
  <c r="DK50" i="25"/>
  <c r="DK59" i="25"/>
  <c r="DK55" i="25"/>
  <c r="DK57" i="25"/>
  <c r="DK56" i="25"/>
  <c r="DK54" i="25"/>
  <c r="DK61" i="25"/>
  <c r="DK53" i="25"/>
  <c r="DK52" i="25"/>
  <c r="DK46" i="25"/>
  <c r="DK60" i="25"/>
  <c r="DK44" i="25"/>
  <c r="DK51" i="25"/>
  <c r="DK45" i="25"/>
  <c r="DK49" i="25"/>
  <c r="DK47" i="25"/>
  <c r="DK42" i="25"/>
  <c r="DK36" i="25"/>
  <c r="DK43" i="25"/>
  <c r="DK35" i="25"/>
  <c r="DK48" i="25"/>
  <c r="DK41" i="25"/>
  <c r="DK38" i="25"/>
  <c r="DK34" i="25"/>
  <c r="DK39" i="25"/>
  <c r="DK33" i="25"/>
  <c r="DK32" i="25"/>
  <c r="DK26" i="25"/>
  <c r="DK40" i="25"/>
  <c r="DK37" i="25"/>
  <c r="DK31" i="25"/>
  <c r="DK25" i="25"/>
  <c r="DK21" i="25"/>
  <c r="DK27" i="25"/>
  <c r="DK22" i="25"/>
  <c r="DK20" i="25"/>
  <c r="DK30" i="25"/>
  <c r="DK28" i="25"/>
  <c r="DK23" i="25"/>
  <c r="DK29" i="25"/>
  <c r="DK24" i="25"/>
  <c r="DK17" i="25"/>
  <c r="DK16" i="25"/>
  <c r="DK10" i="25"/>
  <c r="DK13" i="25"/>
  <c r="DK14" i="25"/>
  <c r="DL5" i="25"/>
  <c r="DK15" i="25"/>
  <c r="DK9" i="25"/>
  <c r="DK8" i="25"/>
  <c r="DK7" i="25"/>
  <c r="DK19" i="25"/>
  <c r="DK18" i="25"/>
  <c r="DK11" i="25"/>
  <c r="DK12" i="25"/>
  <c r="DL114" i="25" l="1"/>
  <c r="DZ115" i="25"/>
  <c r="DL113" i="25"/>
  <c r="DL112" i="25"/>
  <c r="DL107" i="25"/>
  <c r="DL109" i="25"/>
  <c r="DL104" i="25"/>
  <c r="DL110" i="25"/>
  <c r="DL106" i="25"/>
  <c r="DL103" i="25"/>
  <c r="DL99" i="25"/>
  <c r="DL95" i="25"/>
  <c r="DL111" i="25"/>
  <c r="DL92" i="25"/>
  <c r="DL102" i="25"/>
  <c r="DL100" i="25"/>
  <c r="DL101" i="25"/>
  <c r="DL93" i="25"/>
  <c r="DL97" i="25"/>
  <c r="DL98" i="25"/>
  <c r="DL96" i="25"/>
  <c r="DL105" i="25"/>
  <c r="DL94" i="25"/>
  <c r="DL91" i="25"/>
  <c r="DL88" i="25"/>
  <c r="DL89" i="25"/>
  <c r="DL108" i="25"/>
  <c r="DL90" i="25"/>
  <c r="DL84" i="25"/>
  <c r="DL87" i="25"/>
  <c r="DL86" i="25"/>
  <c r="DL81" i="25"/>
  <c r="DL83" i="25"/>
  <c r="DL78" i="25"/>
  <c r="DL85" i="25"/>
  <c r="DL80" i="25"/>
  <c r="DL72" i="25"/>
  <c r="DL77" i="25"/>
  <c r="DL71" i="25"/>
  <c r="DL76" i="25"/>
  <c r="DL70" i="25"/>
  <c r="DL79" i="25"/>
  <c r="DL75" i="25"/>
  <c r="DL69" i="25"/>
  <c r="DL74" i="25"/>
  <c r="DL68" i="25"/>
  <c r="DL82" i="25"/>
  <c r="DL73" i="25"/>
  <c r="DL66" i="25"/>
  <c r="DL67" i="25"/>
  <c r="DL65" i="25"/>
  <c r="DL64" i="25"/>
  <c r="DL63" i="25"/>
  <c r="DL57" i="25"/>
  <c r="DL62" i="25"/>
  <c r="DL59" i="25"/>
  <c r="DL55" i="25"/>
  <c r="DL56" i="25"/>
  <c r="DL54" i="25"/>
  <c r="DL61" i="25"/>
  <c r="DL53" i="25"/>
  <c r="DL52" i="25"/>
  <c r="DL60" i="25"/>
  <c r="DL51" i="25"/>
  <c r="DL45" i="25"/>
  <c r="DL44" i="25"/>
  <c r="DL58" i="25"/>
  <c r="DL46" i="25"/>
  <c r="DL50" i="25"/>
  <c r="DL49" i="25"/>
  <c r="DL47" i="25"/>
  <c r="DL42" i="25"/>
  <c r="DL48" i="25"/>
  <c r="DL43" i="25"/>
  <c r="DL35" i="25"/>
  <c r="DL41" i="25"/>
  <c r="DL38" i="25"/>
  <c r="DL34" i="25"/>
  <c r="DL39" i="25"/>
  <c r="DL33" i="25"/>
  <c r="DL32" i="25"/>
  <c r="DL40" i="25"/>
  <c r="DL37" i="25"/>
  <c r="DL31" i="25"/>
  <c r="DL27" i="25"/>
  <c r="DL22" i="25"/>
  <c r="DL20" i="25"/>
  <c r="DL30" i="25"/>
  <c r="DL28" i="25"/>
  <c r="DL23" i="25"/>
  <c r="DL36" i="25"/>
  <c r="DL19" i="25"/>
  <c r="DL29" i="25"/>
  <c r="DL24" i="25"/>
  <c r="DL18" i="25"/>
  <c r="DL25" i="25"/>
  <c r="DL26" i="25"/>
  <c r="DL14" i="25"/>
  <c r="DK4" i="25"/>
  <c r="DK3" i="25"/>
  <c r="DL15" i="25"/>
  <c r="DL9" i="25"/>
  <c r="DL8" i="25"/>
  <c r="DL7" i="25"/>
  <c r="DL11" i="25"/>
  <c r="DL10" i="25"/>
  <c r="DL16" i="25"/>
  <c r="DL17" i="25"/>
  <c r="DL12" i="25"/>
  <c r="DM5" i="25"/>
  <c r="DL21" i="25"/>
  <c r="DL13" i="25"/>
  <c r="DM112" i="25" l="1"/>
  <c r="DM113" i="25"/>
  <c r="DM110" i="25"/>
  <c r="DM109" i="25"/>
  <c r="DM107" i="25"/>
  <c r="DM106" i="25"/>
  <c r="DM103" i="25"/>
  <c r="DM105" i="25"/>
  <c r="DM114" i="25"/>
  <c r="DM104" i="25"/>
  <c r="DM102" i="25"/>
  <c r="DM99" i="25"/>
  <c r="DM111" i="25"/>
  <c r="EA115" i="25"/>
  <c r="DM100" i="25"/>
  <c r="DM101" i="25"/>
  <c r="DM93" i="25"/>
  <c r="DM92" i="25"/>
  <c r="DM97" i="25"/>
  <c r="DM94" i="25"/>
  <c r="DM98" i="25"/>
  <c r="DM91" i="25"/>
  <c r="DM108" i="25"/>
  <c r="DM95" i="25"/>
  <c r="DM89" i="25"/>
  <c r="DM96" i="25"/>
  <c r="DM90" i="25"/>
  <c r="DM84" i="25"/>
  <c r="DM87" i="25"/>
  <c r="DM86" i="25"/>
  <c r="DM88" i="25"/>
  <c r="DM80" i="25"/>
  <c r="DM85" i="25"/>
  <c r="DM83" i="25"/>
  <c r="DM78" i="25"/>
  <c r="DM81" i="25"/>
  <c r="DM77" i="25"/>
  <c r="DM71" i="25"/>
  <c r="DM76" i="25"/>
  <c r="DM70" i="25"/>
  <c r="DM79" i="25"/>
  <c r="DM75" i="25"/>
  <c r="DM69" i="25"/>
  <c r="DM74" i="25"/>
  <c r="DM68" i="25"/>
  <c r="DM82" i="25"/>
  <c r="DM73" i="25"/>
  <c r="DM67" i="25"/>
  <c r="DM65" i="25"/>
  <c r="DM64" i="25"/>
  <c r="DM63" i="25"/>
  <c r="DM72" i="25"/>
  <c r="DM62" i="25"/>
  <c r="DM61" i="25"/>
  <c r="DM59" i="25"/>
  <c r="DM55" i="25"/>
  <c r="DM66" i="25"/>
  <c r="DM56" i="25"/>
  <c r="DM57" i="25"/>
  <c r="DM54" i="25"/>
  <c r="DM53" i="25"/>
  <c r="DM52" i="25"/>
  <c r="DM60" i="25"/>
  <c r="DM51" i="25"/>
  <c r="DM45" i="25"/>
  <c r="DM58" i="25"/>
  <c r="DM46" i="25"/>
  <c r="DM50" i="25"/>
  <c r="DM49" i="25"/>
  <c r="DM47" i="25"/>
  <c r="DM42" i="25"/>
  <c r="DM48" i="25"/>
  <c r="DM43" i="25"/>
  <c r="DM35" i="25"/>
  <c r="DM41" i="25"/>
  <c r="DM38" i="25"/>
  <c r="DM34" i="25"/>
  <c r="DM39" i="25"/>
  <c r="DM33" i="25"/>
  <c r="DM32" i="25"/>
  <c r="DM44" i="25"/>
  <c r="DM40" i="25"/>
  <c r="DM37" i="25"/>
  <c r="DM31" i="25"/>
  <c r="DM25" i="25"/>
  <c r="DM36" i="25"/>
  <c r="DM30" i="25"/>
  <c r="DM24" i="25"/>
  <c r="DM20" i="25"/>
  <c r="DM28" i="25"/>
  <c r="DM23" i="25"/>
  <c r="DM19" i="25"/>
  <c r="DM29" i="25"/>
  <c r="DM16" i="25"/>
  <c r="DM26" i="25"/>
  <c r="DM21" i="25"/>
  <c r="DM15" i="25"/>
  <c r="DM9" i="25"/>
  <c r="DM8" i="25"/>
  <c r="DM7" i="25"/>
  <c r="DM11" i="25"/>
  <c r="DM10" i="25"/>
  <c r="DM27" i="25"/>
  <c r="DM18" i="25"/>
  <c r="DM17" i="25"/>
  <c r="DM12" i="25"/>
  <c r="DM22" i="25"/>
  <c r="DM13" i="25"/>
  <c r="DN5" i="25"/>
  <c r="DM14" i="25"/>
  <c r="DN114" i="25" l="1"/>
  <c r="DN113" i="25"/>
  <c r="DN112" i="25"/>
  <c r="DN109" i="25"/>
  <c r="DN106" i="25"/>
  <c r="DN110" i="25"/>
  <c r="DN103" i="25"/>
  <c r="DN105" i="25"/>
  <c r="DN102" i="25"/>
  <c r="DN107" i="25"/>
  <c r="DN100" i="25"/>
  <c r="EB115" i="25"/>
  <c r="DN99" i="25"/>
  <c r="DN94" i="25"/>
  <c r="DN111" i="25"/>
  <c r="DN108" i="25"/>
  <c r="DN101" i="25"/>
  <c r="DN96" i="25"/>
  <c r="DN95" i="25"/>
  <c r="DN97" i="25"/>
  <c r="DN98" i="25"/>
  <c r="DN91" i="25"/>
  <c r="DN92" i="25"/>
  <c r="DN104" i="25"/>
  <c r="DN93" i="25"/>
  <c r="DN89" i="25"/>
  <c r="DN90" i="25"/>
  <c r="DN87" i="25"/>
  <c r="DN86" i="25"/>
  <c r="DN88" i="25"/>
  <c r="DN85" i="25"/>
  <c r="DN80" i="25"/>
  <c r="DN84" i="25"/>
  <c r="DN81" i="25"/>
  <c r="DN82" i="25"/>
  <c r="DN79" i="25"/>
  <c r="DN77" i="25"/>
  <c r="DN71" i="25"/>
  <c r="DN76" i="25"/>
  <c r="DN70" i="25"/>
  <c r="DN75" i="25"/>
  <c r="DN69" i="25"/>
  <c r="DN74" i="25"/>
  <c r="DN68" i="25"/>
  <c r="DN78" i="25"/>
  <c r="DN83" i="25"/>
  <c r="DN73" i="25"/>
  <c r="DN67" i="25"/>
  <c r="DN65" i="25"/>
  <c r="DN64" i="25"/>
  <c r="DN63" i="25"/>
  <c r="DN72" i="25"/>
  <c r="DN62" i="25"/>
  <c r="DN56" i="25"/>
  <c r="DN66" i="25"/>
  <c r="DN57" i="25"/>
  <c r="DN54" i="25"/>
  <c r="DN61" i="25"/>
  <c r="DN53" i="25"/>
  <c r="DN52" i="25"/>
  <c r="DN60" i="25"/>
  <c r="DN51" i="25"/>
  <c r="DN58" i="25"/>
  <c r="DN50" i="25"/>
  <c r="DN44" i="25"/>
  <c r="DN59" i="25"/>
  <c r="DN45" i="25"/>
  <c r="DN46" i="25"/>
  <c r="DN49" i="25"/>
  <c r="DN47" i="25"/>
  <c r="DN48" i="25"/>
  <c r="DN55" i="25"/>
  <c r="DN43" i="25"/>
  <c r="DN41" i="25"/>
  <c r="DN38" i="25"/>
  <c r="DN34" i="25"/>
  <c r="DN39" i="25"/>
  <c r="DN33" i="25"/>
  <c r="DN32" i="25"/>
  <c r="DN40" i="25"/>
  <c r="DN37" i="25"/>
  <c r="DN36" i="25"/>
  <c r="DN30" i="25"/>
  <c r="DN42" i="25"/>
  <c r="DN28" i="25"/>
  <c r="DN23" i="25"/>
  <c r="DN19" i="25"/>
  <c r="DN29" i="25"/>
  <c r="DN24" i="25"/>
  <c r="DN18" i="25"/>
  <c r="DN17" i="25"/>
  <c r="DN35" i="25"/>
  <c r="DN31" i="25"/>
  <c r="DN25" i="25"/>
  <c r="DN26" i="25"/>
  <c r="DN21" i="25"/>
  <c r="DN27" i="25"/>
  <c r="DN22" i="25"/>
  <c r="DN20" i="25"/>
  <c r="DN15" i="25"/>
  <c r="DN8" i="25"/>
  <c r="DN7" i="25"/>
  <c r="DN11" i="25"/>
  <c r="DN10" i="25"/>
  <c r="DN9" i="25"/>
  <c r="DN16" i="25"/>
  <c r="DN12" i="25"/>
  <c r="DN13" i="25"/>
  <c r="DO5" i="25"/>
  <c r="DN14" i="25"/>
  <c r="EC115" i="25" l="1"/>
  <c r="DO111" i="25"/>
  <c r="DO112" i="25"/>
  <c r="DO109" i="25"/>
  <c r="DO110" i="25"/>
  <c r="DO106" i="25"/>
  <c r="DO105" i="25"/>
  <c r="DO102" i="25"/>
  <c r="DO114" i="25"/>
  <c r="DO99" i="25"/>
  <c r="DO107" i="25"/>
  <c r="DO100" i="25"/>
  <c r="DO96" i="25"/>
  <c r="DO95" i="25"/>
  <c r="DO94" i="25"/>
  <c r="DO97" i="25"/>
  <c r="DO113" i="25"/>
  <c r="DO108" i="25"/>
  <c r="DO101" i="25"/>
  <c r="DO98" i="25"/>
  <c r="DO103" i="25"/>
  <c r="DO104" i="25"/>
  <c r="DO93" i="25"/>
  <c r="DO92" i="25"/>
  <c r="DO89" i="25"/>
  <c r="DO90" i="25"/>
  <c r="DO83" i="25"/>
  <c r="DO87" i="25"/>
  <c r="DO86" i="25"/>
  <c r="DO88" i="25"/>
  <c r="DO91" i="25"/>
  <c r="DO85" i="25"/>
  <c r="DO84" i="25"/>
  <c r="DO80" i="25"/>
  <c r="DO81" i="25"/>
  <c r="DO82" i="25"/>
  <c r="DO76" i="25"/>
  <c r="DO70" i="25"/>
  <c r="DO79" i="25"/>
  <c r="DO75" i="25"/>
  <c r="DO69" i="25"/>
  <c r="DO74" i="25"/>
  <c r="DO68" i="25"/>
  <c r="DO78" i="25"/>
  <c r="DO73" i="25"/>
  <c r="DO67" i="25"/>
  <c r="DO72" i="25"/>
  <c r="DO64" i="25"/>
  <c r="DO77" i="25"/>
  <c r="DO63" i="25"/>
  <c r="DO62" i="25"/>
  <c r="DO61" i="25"/>
  <c r="DO66" i="25"/>
  <c r="DO60" i="25"/>
  <c r="DO57" i="25"/>
  <c r="DO56" i="25"/>
  <c r="DO54" i="25"/>
  <c r="DO53" i="25"/>
  <c r="DO65" i="25"/>
  <c r="DO52" i="25"/>
  <c r="DO51" i="25"/>
  <c r="DO58" i="25"/>
  <c r="DO50" i="25"/>
  <c r="DO44" i="25"/>
  <c r="DO71" i="25"/>
  <c r="DO59" i="25"/>
  <c r="DO55" i="25"/>
  <c r="DO45" i="25"/>
  <c r="DO46" i="25"/>
  <c r="DO49" i="25"/>
  <c r="DO47" i="25"/>
  <c r="DO48" i="25"/>
  <c r="DO43" i="25"/>
  <c r="DO41" i="25"/>
  <c r="DO38" i="25"/>
  <c r="DO34" i="25"/>
  <c r="DO39" i="25"/>
  <c r="DO33" i="25"/>
  <c r="DO32" i="25"/>
  <c r="DO40" i="25"/>
  <c r="DO37" i="25"/>
  <c r="DO36" i="25"/>
  <c r="DO30" i="25"/>
  <c r="DO24" i="25"/>
  <c r="DO42" i="25"/>
  <c r="DO35" i="25"/>
  <c r="DO29" i="25"/>
  <c r="DO23" i="25"/>
  <c r="DO19" i="25"/>
  <c r="DO18" i="25"/>
  <c r="DO31" i="25"/>
  <c r="DO25" i="25"/>
  <c r="DO26" i="25"/>
  <c r="DO21" i="25"/>
  <c r="DO15" i="25"/>
  <c r="DO27" i="25"/>
  <c r="DO22" i="25"/>
  <c r="DO20" i="25"/>
  <c r="DO14" i="25"/>
  <c r="DO8" i="25"/>
  <c r="DO7" i="25"/>
  <c r="DO11" i="25"/>
  <c r="DO10" i="25"/>
  <c r="DO9" i="25"/>
  <c r="DO28" i="25"/>
  <c r="DO16" i="25"/>
  <c r="DO12" i="25"/>
  <c r="DO17" i="25"/>
  <c r="DP5" i="25"/>
  <c r="DO13" i="25"/>
  <c r="ED115" i="25" l="1"/>
  <c r="DP112" i="25"/>
  <c r="DP113" i="25"/>
  <c r="DP110" i="25"/>
  <c r="DP105" i="25"/>
  <c r="DP109" i="25"/>
  <c r="DP102" i="25"/>
  <c r="DP101" i="25"/>
  <c r="DP107" i="25"/>
  <c r="DP100" i="25"/>
  <c r="DP108" i="25"/>
  <c r="DP114" i="25"/>
  <c r="DP96" i="25"/>
  <c r="DP95" i="25"/>
  <c r="DP94" i="25"/>
  <c r="DP97" i="25"/>
  <c r="DP103" i="25"/>
  <c r="DP98" i="25"/>
  <c r="DP91" i="25"/>
  <c r="DP111" i="25"/>
  <c r="DP99" i="25"/>
  <c r="DP106" i="25"/>
  <c r="DP104" i="25"/>
  <c r="DP93" i="25"/>
  <c r="DP92" i="25"/>
  <c r="DP89" i="25"/>
  <c r="DP90" i="25"/>
  <c r="DP87" i="25"/>
  <c r="DP86" i="25"/>
  <c r="DP88" i="25"/>
  <c r="DP85" i="25"/>
  <c r="DP80" i="25"/>
  <c r="DP81" i="25"/>
  <c r="DP84" i="25"/>
  <c r="DP82" i="25"/>
  <c r="DP79" i="25"/>
  <c r="DP76" i="25"/>
  <c r="DP70" i="25"/>
  <c r="DP75" i="25"/>
  <c r="DP69" i="25"/>
  <c r="DP74" i="25"/>
  <c r="DP78" i="25"/>
  <c r="DP73" i="25"/>
  <c r="DP83" i="25"/>
  <c r="DP72" i="25"/>
  <c r="DP66" i="25"/>
  <c r="DP64" i="25"/>
  <c r="DP77" i="25"/>
  <c r="DP63" i="25"/>
  <c r="DP68" i="25"/>
  <c r="DP62" i="25"/>
  <c r="DP61" i="25"/>
  <c r="DP71" i="25"/>
  <c r="DP67" i="25"/>
  <c r="DP53" i="25"/>
  <c r="DP65" i="25"/>
  <c r="DP52" i="25"/>
  <c r="DP60" i="25"/>
  <c r="DP51" i="25"/>
  <c r="DP58" i="25"/>
  <c r="DP50" i="25"/>
  <c r="DP59" i="25"/>
  <c r="DP55" i="25"/>
  <c r="DP49" i="25"/>
  <c r="DP43" i="25"/>
  <c r="DP45" i="25"/>
  <c r="DP46" i="25"/>
  <c r="DP57" i="25"/>
  <c r="DP47" i="25"/>
  <c r="DP56" i="25"/>
  <c r="DP48" i="25"/>
  <c r="DP44" i="25"/>
  <c r="DP40" i="25"/>
  <c r="DP39" i="25"/>
  <c r="DP33" i="25"/>
  <c r="DP32" i="25"/>
  <c r="DP37" i="25"/>
  <c r="DP36" i="25"/>
  <c r="DP42" i="25"/>
  <c r="DP35" i="25"/>
  <c r="DP30" i="25"/>
  <c r="DP29" i="25"/>
  <c r="DP24" i="25"/>
  <c r="DP54" i="25"/>
  <c r="DP31" i="25"/>
  <c r="DP25" i="25"/>
  <c r="DP26" i="25"/>
  <c r="DP21" i="25"/>
  <c r="DP34" i="25"/>
  <c r="DP27" i="25"/>
  <c r="DP22" i="25"/>
  <c r="DP41" i="25"/>
  <c r="DP38" i="25"/>
  <c r="DP20" i="25"/>
  <c r="DP28" i="25"/>
  <c r="DP15" i="25"/>
  <c r="DP11" i="25"/>
  <c r="DP10" i="25"/>
  <c r="DP9" i="25"/>
  <c r="DP8" i="25"/>
  <c r="DP16" i="25"/>
  <c r="DP18" i="25"/>
  <c r="DP19" i="25"/>
  <c r="DP12" i="25"/>
  <c r="DP17" i="25"/>
  <c r="DP13" i="25"/>
  <c r="DQ5" i="25"/>
  <c r="DP23" i="25"/>
  <c r="DP14" i="25"/>
  <c r="DP7" i="25"/>
  <c r="DO4" i="25"/>
  <c r="DQ114" i="25" l="1"/>
  <c r="EE115" i="25"/>
  <c r="DQ113" i="25"/>
  <c r="DQ112" i="25"/>
  <c r="DQ111" i="25"/>
  <c r="DQ110" i="25"/>
  <c r="DQ101" i="25"/>
  <c r="DQ108" i="25"/>
  <c r="DQ102" i="25"/>
  <c r="DQ107" i="25"/>
  <c r="DQ100" i="25"/>
  <c r="DQ109" i="25"/>
  <c r="DQ105" i="25"/>
  <c r="DQ97" i="25"/>
  <c r="DQ98" i="25"/>
  <c r="DQ94" i="25"/>
  <c r="DQ91" i="25"/>
  <c r="DQ99" i="25"/>
  <c r="DQ103" i="25"/>
  <c r="DQ106" i="25"/>
  <c r="DQ104" i="25"/>
  <c r="DQ96" i="25"/>
  <c r="DQ92" i="25"/>
  <c r="DQ89" i="25"/>
  <c r="DQ95" i="25"/>
  <c r="DQ90" i="25"/>
  <c r="DQ87" i="25"/>
  <c r="DQ86" i="25"/>
  <c r="DQ88" i="25"/>
  <c r="DQ85" i="25"/>
  <c r="DQ84" i="25"/>
  <c r="DQ80" i="25"/>
  <c r="DQ81" i="25"/>
  <c r="DQ82" i="25"/>
  <c r="DQ79" i="25"/>
  <c r="DQ83" i="25"/>
  <c r="DQ93" i="25"/>
  <c r="DQ75" i="25"/>
  <c r="DQ69" i="25"/>
  <c r="DQ74" i="25"/>
  <c r="DQ68" i="25"/>
  <c r="DQ78" i="25"/>
  <c r="DQ73" i="25"/>
  <c r="DQ72" i="25"/>
  <c r="DQ66" i="25"/>
  <c r="DQ77" i="25"/>
  <c r="DQ71" i="25"/>
  <c r="DQ63" i="25"/>
  <c r="DQ70" i="25"/>
  <c r="DQ62" i="25"/>
  <c r="DQ61" i="25"/>
  <c r="DQ60" i="25"/>
  <c r="DQ76" i="25"/>
  <c r="DQ65" i="25"/>
  <c r="DQ59" i="25"/>
  <c r="DQ53" i="25"/>
  <c r="DQ52" i="25"/>
  <c r="DQ51" i="25"/>
  <c r="DQ58" i="25"/>
  <c r="DQ50" i="25"/>
  <c r="DQ55" i="25"/>
  <c r="DQ49" i="25"/>
  <c r="DQ43" i="25"/>
  <c r="DQ64" i="25"/>
  <c r="DQ57" i="25"/>
  <c r="DQ56" i="25"/>
  <c r="DQ54" i="25"/>
  <c r="DQ46" i="25"/>
  <c r="DQ47" i="25"/>
  <c r="DQ48" i="25"/>
  <c r="DQ67" i="25"/>
  <c r="DQ44" i="25"/>
  <c r="DQ40" i="25"/>
  <c r="DQ41" i="25"/>
  <c r="DQ39" i="25"/>
  <c r="DQ33" i="25"/>
  <c r="DQ32" i="25"/>
  <c r="DQ37" i="25"/>
  <c r="DQ45" i="25"/>
  <c r="DQ36" i="25"/>
  <c r="DQ42" i="25"/>
  <c r="DQ35" i="25"/>
  <c r="DQ29" i="25"/>
  <c r="DQ23" i="25"/>
  <c r="DQ38" i="25"/>
  <c r="DQ34" i="25"/>
  <c r="DQ28" i="25"/>
  <c r="DQ22" i="25"/>
  <c r="DQ30" i="25"/>
  <c r="DQ18" i="25"/>
  <c r="DQ24" i="25"/>
  <c r="DQ31" i="25"/>
  <c r="DQ25" i="25"/>
  <c r="DQ26" i="25"/>
  <c r="DQ21" i="25"/>
  <c r="DQ27" i="25"/>
  <c r="DQ20" i="25"/>
  <c r="DQ14" i="25"/>
  <c r="DQ19" i="25"/>
  <c r="DQ13" i="25"/>
  <c r="DQ7" i="25"/>
  <c r="DQ15" i="25"/>
  <c r="DQ10" i="25"/>
  <c r="DQ16" i="25"/>
  <c r="DQ12" i="25"/>
  <c r="DR5" i="25"/>
  <c r="DQ9" i="25"/>
  <c r="DQ17" i="25"/>
  <c r="DQ8" i="25"/>
  <c r="DQ11" i="25"/>
  <c r="DR114" i="25" l="1"/>
  <c r="EF115" i="25"/>
  <c r="DR111" i="25"/>
  <c r="DR113" i="25"/>
  <c r="DR101" i="25"/>
  <c r="DR108" i="25"/>
  <c r="DR112" i="25"/>
  <c r="DR107" i="25"/>
  <c r="DR110" i="25"/>
  <c r="DR109" i="25"/>
  <c r="DR105" i="25"/>
  <c r="DR102" i="25"/>
  <c r="DR98" i="25"/>
  <c r="DR104" i="25"/>
  <c r="DR97" i="25"/>
  <c r="DR99" i="25"/>
  <c r="DR103" i="25"/>
  <c r="DR90" i="25"/>
  <c r="DR106" i="25"/>
  <c r="DR95" i="25"/>
  <c r="DR93" i="25"/>
  <c r="DR100" i="25"/>
  <c r="DR94" i="25"/>
  <c r="DR89" i="25"/>
  <c r="DR96" i="25"/>
  <c r="DR92" i="25"/>
  <c r="DR88" i="25"/>
  <c r="DR85" i="25"/>
  <c r="DR91" i="25"/>
  <c r="DR84" i="25"/>
  <c r="DR80" i="25"/>
  <c r="DR81" i="25"/>
  <c r="DR82" i="25"/>
  <c r="DR79" i="25"/>
  <c r="DR87" i="25"/>
  <c r="DR78" i="25"/>
  <c r="DR83" i="25"/>
  <c r="DR75" i="25"/>
  <c r="DR69" i="25"/>
  <c r="DR74" i="25"/>
  <c r="DR73" i="25"/>
  <c r="DR72" i="25"/>
  <c r="DR86" i="25"/>
  <c r="DR77" i="25"/>
  <c r="DR71" i="25"/>
  <c r="DR63" i="25"/>
  <c r="DR70" i="25"/>
  <c r="DR68" i="25"/>
  <c r="DR62" i="25"/>
  <c r="DR60" i="25"/>
  <c r="DR76" i="25"/>
  <c r="DR66" i="25"/>
  <c r="DR65" i="25"/>
  <c r="DR67" i="25"/>
  <c r="DR52" i="25"/>
  <c r="DR61" i="25"/>
  <c r="DR58" i="25"/>
  <c r="DR55" i="25"/>
  <c r="DR49" i="25"/>
  <c r="DR64" i="25"/>
  <c r="DR59" i="25"/>
  <c r="DR57" i="25"/>
  <c r="DR56" i="25"/>
  <c r="DR54" i="25"/>
  <c r="DR48" i="25"/>
  <c r="DR42" i="25"/>
  <c r="DR46" i="25"/>
  <c r="DR53" i="25"/>
  <c r="DR51" i="25"/>
  <c r="DR47" i="25"/>
  <c r="DR50" i="25"/>
  <c r="DR44" i="25"/>
  <c r="DR40" i="25"/>
  <c r="DR41" i="25"/>
  <c r="DR45" i="25"/>
  <c r="DR39" i="25"/>
  <c r="DR43" i="25"/>
  <c r="DR32" i="25"/>
  <c r="DR37" i="25"/>
  <c r="DR36" i="25"/>
  <c r="DR35" i="25"/>
  <c r="DR38" i="25"/>
  <c r="DR34" i="25"/>
  <c r="DR29" i="25"/>
  <c r="DR24" i="25"/>
  <c r="DR31" i="25"/>
  <c r="DR25" i="25"/>
  <c r="DR26" i="25"/>
  <c r="DR21" i="25"/>
  <c r="DR27" i="25"/>
  <c r="DR22" i="25"/>
  <c r="DR20" i="25"/>
  <c r="DR28" i="25"/>
  <c r="DR19" i="25"/>
  <c r="DR23" i="25"/>
  <c r="DR16" i="25"/>
  <c r="DR18" i="25"/>
  <c r="DR12" i="25"/>
  <c r="DR30" i="25"/>
  <c r="DR17" i="25"/>
  <c r="DR33" i="25"/>
  <c r="DS5" i="25"/>
  <c r="DR13" i="25"/>
  <c r="DR14" i="25"/>
  <c r="DR15" i="25"/>
  <c r="DR11" i="25"/>
  <c r="DR10" i="25"/>
  <c r="DR9" i="25"/>
  <c r="DR8" i="25"/>
  <c r="DR7" i="25"/>
  <c r="DS113" i="25" l="1"/>
  <c r="EG115" i="25"/>
  <c r="DS110" i="25"/>
  <c r="DS111" i="25"/>
  <c r="DS108" i="25"/>
  <c r="DS112" i="25"/>
  <c r="DS107" i="25"/>
  <c r="DS100" i="25"/>
  <c r="DS103" i="25"/>
  <c r="DS105" i="25"/>
  <c r="DS102" i="25"/>
  <c r="DS98" i="25"/>
  <c r="DS101" i="25"/>
  <c r="DS109" i="25"/>
  <c r="DS99" i="25"/>
  <c r="DS90" i="25"/>
  <c r="DS106" i="25"/>
  <c r="DS104" i="25"/>
  <c r="DS95" i="25"/>
  <c r="DS114" i="25"/>
  <c r="DS94" i="25"/>
  <c r="DS96" i="25"/>
  <c r="DS88" i="25"/>
  <c r="DS97" i="25"/>
  <c r="DS91" i="25"/>
  <c r="DS92" i="25"/>
  <c r="DS89" i="25"/>
  <c r="DS85" i="25"/>
  <c r="DS84" i="25"/>
  <c r="DS83" i="25"/>
  <c r="DS93" i="25"/>
  <c r="DS87" i="25"/>
  <c r="DS86" i="25"/>
  <c r="DS80" i="25"/>
  <c r="DS81" i="25"/>
  <c r="DS82" i="25"/>
  <c r="DS79" i="25"/>
  <c r="DS78" i="25"/>
  <c r="DS74" i="25"/>
  <c r="DS68" i="25"/>
  <c r="DS73" i="25"/>
  <c r="DS72" i="25"/>
  <c r="DS77" i="25"/>
  <c r="DS71" i="25"/>
  <c r="DS76" i="25"/>
  <c r="DS70" i="25"/>
  <c r="DS75" i="25"/>
  <c r="DS62" i="25"/>
  <c r="DS66" i="25"/>
  <c r="DS65" i="25"/>
  <c r="DS69" i="25"/>
  <c r="DS67" i="25"/>
  <c r="DS64" i="25"/>
  <c r="DS58" i="25"/>
  <c r="DS52" i="25"/>
  <c r="DS61" i="25"/>
  <c r="DS63" i="25"/>
  <c r="DS51" i="25"/>
  <c r="DS60" i="25"/>
  <c r="DS55" i="25"/>
  <c r="DS59" i="25"/>
  <c r="DS57" i="25"/>
  <c r="DS56" i="25"/>
  <c r="DS54" i="25"/>
  <c r="DS48" i="25"/>
  <c r="DS42" i="25"/>
  <c r="DS53" i="25"/>
  <c r="DS47" i="25"/>
  <c r="DS50" i="25"/>
  <c r="DS49" i="25"/>
  <c r="DS44" i="25"/>
  <c r="DS41" i="25"/>
  <c r="DS45" i="25"/>
  <c r="DS32" i="25"/>
  <c r="DS37" i="25"/>
  <c r="DS31" i="25"/>
  <c r="DS36" i="25"/>
  <c r="DS46" i="25"/>
  <c r="DS40" i="25"/>
  <c r="DS35" i="25"/>
  <c r="DS38" i="25"/>
  <c r="DS34" i="25"/>
  <c r="DS28" i="25"/>
  <c r="DS22" i="25"/>
  <c r="DS33" i="25"/>
  <c r="DS27" i="25"/>
  <c r="DS17" i="25"/>
  <c r="DS43" i="25"/>
  <c r="DS25" i="25"/>
  <c r="DS26" i="25"/>
  <c r="DS21" i="25"/>
  <c r="DS20" i="25"/>
  <c r="DS39" i="25"/>
  <c r="DS19" i="25"/>
  <c r="DS13" i="25"/>
  <c r="DS23" i="25"/>
  <c r="DS30" i="25"/>
  <c r="DS18" i="25"/>
  <c r="DS12" i="25"/>
  <c r="DS16" i="25"/>
  <c r="DS29" i="25"/>
  <c r="DT5" i="25"/>
  <c r="DS24" i="25"/>
  <c r="DS14" i="25"/>
  <c r="DS15" i="25"/>
  <c r="DS11" i="25"/>
  <c r="DS10" i="25"/>
  <c r="DS9" i="25"/>
  <c r="DS8" i="25"/>
  <c r="DS7" i="25"/>
  <c r="EH115" i="25" l="1"/>
  <c r="DT111" i="25"/>
  <c r="DT108" i="25"/>
  <c r="DT112" i="25"/>
  <c r="DT107" i="25"/>
  <c r="DT100" i="25"/>
  <c r="DT114" i="25"/>
  <c r="DT103" i="25"/>
  <c r="DT109" i="25"/>
  <c r="DT101" i="25"/>
  <c r="DT97" i="25"/>
  <c r="DT98" i="25"/>
  <c r="DT102" i="25"/>
  <c r="DT106" i="25"/>
  <c r="DT104" i="25"/>
  <c r="DT89" i="25"/>
  <c r="DT95" i="25"/>
  <c r="DT91" i="25"/>
  <c r="DT94" i="25"/>
  <c r="DT110" i="25"/>
  <c r="DT105" i="25"/>
  <c r="DT99" i="25"/>
  <c r="DT113" i="25"/>
  <c r="DT90" i="25"/>
  <c r="DT96" i="25"/>
  <c r="DT93" i="25"/>
  <c r="DT92" i="25"/>
  <c r="DT88" i="25"/>
  <c r="DT85" i="25"/>
  <c r="DT84" i="25"/>
  <c r="DT83" i="25"/>
  <c r="DT80" i="25"/>
  <c r="DT81" i="25"/>
  <c r="DT82" i="25"/>
  <c r="DT79" i="25"/>
  <c r="DT87" i="25"/>
  <c r="DT86" i="25"/>
  <c r="DT74" i="25"/>
  <c r="DT73" i="25"/>
  <c r="DT78" i="25"/>
  <c r="DT72" i="25"/>
  <c r="DT77" i="25"/>
  <c r="DT71" i="25"/>
  <c r="DT76" i="25"/>
  <c r="DT70" i="25"/>
  <c r="DT75" i="25"/>
  <c r="DT62" i="25"/>
  <c r="DT68" i="25"/>
  <c r="DT61" i="25"/>
  <c r="DT66" i="25"/>
  <c r="DT65" i="25"/>
  <c r="DT59" i="25"/>
  <c r="DT69" i="25"/>
  <c r="DT67" i="25"/>
  <c r="DT64" i="25"/>
  <c r="DT63" i="25"/>
  <c r="DT60" i="25"/>
  <c r="DT58" i="25"/>
  <c r="DT55" i="25"/>
  <c r="DT57" i="25"/>
  <c r="DT56" i="25"/>
  <c r="DT54" i="25"/>
  <c r="DT53" i="25"/>
  <c r="DT47" i="25"/>
  <c r="DT51" i="25"/>
  <c r="DT50" i="25"/>
  <c r="DT49" i="25"/>
  <c r="DT48" i="25"/>
  <c r="DT44" i="25"/>
  <c r="DT45" i="25"/>
  <c r="DT39" i="25"/>
  <c r="DT46" i="25"/>
  <c r="DT38" i="25"/>
  <c r="DT37" i="25"/>
  <c r="DT31" i="25"/>
  <c r="DT36" i="25"/>
  <c r="DT52" i="25"/>
  <c r="DT40" i="25"/>
  <c r="DT35" i="25"/>
  <c r="DT42" i="25"/>
  <c r="DT34" i="25"/>
  <c r="DT33" i="25"/>
  <c r="DT43" i="25"/>
  <c r="DT41" i="25"/>
  <c r="DT25" i="25"/>
  <c r="DT32" i="25"/>
  <c r="DT26" i="25"/>
  <c r="DT21" i="25"/>
  <c r="DT27" i="25"/>
  <c r="DT20" i="25"/>
  <c r="DT22" i="25"/>
  <c r="DT19" i="25"/>
  <c r="DT28" i="25"/>
  <c r="DT23" i="25"/>
  <c r="DT30" i="25"/>
  <c r="DT18" i="25"/>
  <c r="DT29" i="25"/>
  <c r="DT24" i="25"/>
  <c r="DT12" i="25"/>
  <c r="DT17" i="25"/>
  <c r="DU5" i="25"/>
  <c r="DT13" i="25"/>
  <c r="DT14" i="25"/>
  <c r="DT15" i="25"/>
  <c r="DT11" i="25"/>
  <c r="DT10" i="25"/>
  <c r="DT9" i="25"/>
  <c r="DT8" i="25"/>
  <c r="DT7" i="25"/>
  <c r="DS4" i="25"/>
  <c r="DT16" i="25"/>
  <c r="EI115" i="25" l="1"/>
  <c r="DU114" i="25"/>
  <c r="DU113" i="25"/>
  <c r="DU109" i="25"/>
  <c r="DU108" i="25"/>
  <c r="DU112" i="25"/>
  <c r="DU99" i="25"/>
  <c r="DU105" i="25"/>
  <c r="DU101" i="25"/>
  <c r="DU97" i="25"/>
  <c r="DU111" i="25"/>
  <c r="DU106" i="25"/>
  <c r="DU104" i="25"/>
  <c r="DU103" i="25"/>
  <c r="DU98" i="25"/>
  <c r="DU89" i="25"/>
  <c r="DU107" i="25"/>
  <c r="DU95" i="25"/>
  <c r="DU96" i="25"/>
  <c r="DU93" i="25"/>
  <c r="DU92" i="25"/>
  <c r="DU110" i="25"/>
  <c r="DU100" i="25"/>
  <c r="DU90" i="25"/>
  <c r="DU88" i="25"/>
  <c r="DU102" i="25"/>
  <c r="DU91" i="25"/>
  <c r="DU87" i="25"/>
  <c r="DU94" i="25"/>
  <c r="DU85" i="25"/>
  <c r="DU84" i="25"/>
  <c r="DU86" i="25"/>
  <c r="DU82" i="25"/>
  <c r="DU81" i="25"/>
  <c r="DU79" i="25"/>
  <c r="DU83" i="25"/>
  <c r="DU73" i="25"/>
  <c r="DU78" i="25"/>
  <c r="DU72" i="25"/>
  <c r="DU77" i="25"/>
  <c r="DU71" i="25"/>
  <c r="DU76" i="25"/>
  <c r="DU70" i="25"/>
  <c r="DU75" i="25"/>
  <c r="DU69" i="25"/>
  <c r="DU68" i="25"/>
  <c r="DU61" i="25"/>
  <c r="DU66" i="25"/>
  <c r="DU65" i="25"/>
  <c r="DU74" i="25"/>
  <c r="DU67" i="25"/>
  <c r="DU80" i="25"/>
  <c r="DU64" i="25"/>
  <c r="DU63" i="25"/>
  <c r="DU51" i="25"/>
  <c r="DU60" i="25"/>
  <c r="DU58" i="25"/>
  <c r="DU55" i="25"/>
  <c r="DU59" i="25"/>
  <c r="DU57" i="25"/>
  <c r="DU56" i="25"/>
  <c r="DU54" i="25"/>
  <c r="DU62" i="25"/>
  <c r="DU53" i="25"/>
  <c r="DU47" i="25"/>
  <c r="DU41" i="25"/>
  <c r="DU50" i="25"/>
  <c r="DU49" i="25"/>
  <c r="DU48" i="25"/>
  <c r="DU44" i="25"/>
  <c r="DU45" i="25"/>
  <c r="DU46" i="25"/>
  <c r="DU52" i="25"/>
  <c r="DU37" i="25"/>
  <c r="DU31" i="25"/>
  <c r="DU36" i="25"/>
  <c r="DU40" i="25"/>
  <c r="DU35" i="25"/>
  <c r="DU42" i="25"/>
  <c r="DU34" i="25"/>
  <c r="DU38" i="25"/>
  <c r="DU33" i="25"/>
  <c r="DU27" i="25"/>
  <c r="DU43" i="25"/>
  <c r="DU39" i="25"/>
  <c r="DU32" i="25"/>
  <c r="DU26" i="25"/>
  <c r="DU21" i="25"/>
  <c r="DU20" i="25"/>
  <c r="DU22" i="25"/>
  <c r="DU19" i="25"/>
  <c r="DU28" i="25"/>
  <c r="DU23" i="25"/>
  <c r="DU30" i="25"/>
  <c r="DU18" i="25"/>
  <c r="DU12" i="25"/>
  <c r="DU29" i="25"/>
  <c r="DU24" i="25"/>
  <c r="DU17" i="25"/>
  <c r="DU11" i="25"/>
  <c r="DV5" i="25"/>
  <c r="DU13" i="25"/>
  <c r="DU25" i="25"/>
  <c r="DU14" i="25"/>
  <c r="DU15" i="25"/>
  <c r="DU10" i="25"/>
  <c r="DU9" i="25"/>
  <c r="DU8" i="25"/>
  <c r="DU7" i="25"/>
  <c r="DU16" i="25"/>
  <c r="DV114" i="25" l="1"/>
  <c r="EJ115" i="25"/>
  <c r="DV113" i="25"/>
  <c r="DV112" i="25"/>
  <c r="DV108" i="25"/>
  <c r="DV111" i="25"/>
  <c r="DV99" i="25"/>
  <c r="DV104" i="25"/>
  <c r="DV105" i="25"/>
  <c r="DV109" i="25"/>
  <c r="DV106" i="25"/>
  <c r="DV96" i="25"/>
  <c r="DV93" i="25"/>
  <c r="DV103" i="25"/>
  <c r="DV110" i="25"/>
  <c r="DV98" i="25"/>
  <c r="DV107" i="25"/>
  <c r="DV95" i="25"/>
  <c r="DV92" i="25"/>
  <c r="DV102" i="25"/>
  <c r="DV97" i="25"/>
  <c r="DV94" i="25"/>
  <c r="DV100" i="25"/>
  <c r="DV101" i="25"/>
  <c r="DV90" i="25"/>
  <c r="DV91" i="25"/>
  <c r="DV88" i="25"/>
  <c r="DV85" i="25"/>
  <c r="DV89" i="25"/>
  <c r="DV84" i="25"/>
  <c r="DV86" i="25"/>
  <c r="DV82" i="25"/>
  <c r="DV87" i="25"/>
  <c r="DV79" i="25"/>
  <c r="DV83" i="25"/>
  <c r="DV73" i="25"/>
  <c r="DV78" i="25"/>
  <c r="DV72" i="25"/>
  <c r="DV77" i="25"/>
  <c r="DV71" i="25"/>
  <c r="DV76" i="25"/>
  <c r="DV70" i="25"/>
  <c r="DV81" i="25"/>
  <c r="DV75" i="25"/>
  <c r="DV69" i="25"/>
  <c r="DV61" i="25"/>
  <c r="DV66" i="25"/>
  <c r="DV65" i="25"/>
  <c r="DV74" i="25"/>
  <c r="DV67" i="25"/>
  <c r="DV80" i="25"/>
  <c r="DV64" i="25"/>
  <c r="DV58" i="25"/>
  <c r="DV63" i="25"/>
  <c r="DV60" i="25"/>
  <c r="DV55" i="25"/>
  <c r="DV68" i="25"/>
  <c r="DV59" i="25"/>
  <c r="DV57" i="25"/>
  <c r="DV56" i="25"/>
  <c r="DV54" i="25"/>
  <c r="DV62" i="25"/>
  <c r="DV53" i="25"/>
  <c r="DV52" i="25"/>
  <c r="DV46" i="25"/>
  <c r="DV51" i="25"/>
  <c r="DV47" i="25"/>
  <c r="DV50" i="25"/>
  <c r="DV49" i="25"/>
  <c r="DV48" i="25"/>
  <c r="DV44" i="25"/>
  <c r="DV45" i="25"/>
  <c r="DV38" i="25"/>
  <c r="DV36" i="25"/>
  <c r="DV40" i="25"/>
  <c r="DV35" i="25"/>
  <c r="DV42" i="25"/>
  <c r="DV34" i="25"/>
  <c r="DV33" i="25"/>
  <c r="DV43" i="25"/>
  <c r="DV41" i="25"/>
  <c r="DV39" i="25"/>
  <c r="DV32" i="25"/>
  <c r="DV31" i="25"/>
  <c r="DV26" i="25"/>
  <c r="DV21" i="25"/>
  <c r="DV20" i="25"/>
  <c r="DV27" i="25"/>
  <c r="DV22" i="25"/>
  <c r="DV19" i="25"/>
  <c r="DV28" i="25"/>
  <c r="DV23" i="25"/>
  <c r="DV30" i="25"/>
  <c r="DV29" i="25"/>
  <c r="DV24" i="25"/>
  <c r="DV25" i="25"/>
  <c r="DV12" i="25"/>
  <c r="DW5" i="25"/>
  <c r="DV18" i="25"/>
  <c r="DV17" i="25"/>
  <c r="DV37" i="25"/>
  <c r="DV13" i="25"/>
  <c r="DV14" i="25"/>
  <c r="DV15" i="25"/>
  <c r="DV10" i="25"/>
  <c r="DV9" i="25"/>
  <c r="DV8" i="25"/>
  <c r="DV7" i="25"/>
  <c r="DV11" i="25"/>
  <c r="DV16" i="25"/>
  <c r="DW113" i="25" l="1"/>
  <c r="DW114" i="25"/>
  <c r="EK115" i="25"/>
  <c r="DW111" i="25"/>
  <c r="DW107" i="25"/>
  <c r="DW112" i="25"/>
  <c r="DW108" i="25"/>
  <c r="DW104" i="25"/>
  <c r="DW109" i="25"/>
  <c r="DW106" i="25"/>
  <c r="DW103" i="25"/>
  <c r="DW100" i="25"/>
  <c r="DW95" i="25"/>
  <c r="DW96" i="25"/>
  <c r="DW93" i="25"/>
  <c r="DW105" i="25"/>
  <c r="DW101" i="25"/>
  <c r="DW99" i="25"/>
  <c r="DW98" i="25"/>
  <c r="DW110" i="25"/>
  <c r="DW91" i="25"/>
  <c r="DW102" i="25"/>
  <c r="DW97" i="25"/>
  <c r="DW92" i="25"/>
  <c r="DW86" i="25"/>
  <c r="DW94" i="25"/>
  <c r="DW88" i="25"/>
  <c r="DW85" i="25"/>
  <c r="DW89" i="25"/>
  <c r="DW84" i="25"/>
  <c r="DW90" i="25"/>
  <c r="DW87" i="25"/>
  <c r="DW81" i="25"/>
  <c r="DW79" i="25"/>
  <c r="DW82" i="25"/>
  <c r="DW78" i="25"/>
  <c r="DW83" i="25"/>
  <c r="DW80" i="25"/>
  <c r="DW72" i="25"/>
  <c r="DW77" i="25"/>
  <c r="DW71" i="25"/>
  <c r="DW76" i="25"/>
  <c r="DW70" i="25"/>
  <c r="DW75" i="25"/>
  <c r="DW69" i="25"/>
  <c r="DW74" i="25"/>
  <c r="DW68" i="25"/>
  <c r="DW60" i="25"/>
  <c r="DW66" i="25"/>
  <c r="DW65" i="25"/>
  <c r="DW67" i="25"/>
  <c r="DW64" i="25"/>
  <c r="DW63" i="25"/>
  <c r="DW62" i="25"/>
  <c r="DW73" i="25"/>
  <c r="DW61" i="25"/>
  <c r="DW50" i="25"/>
  <c r="DW58" i="25"/>
  <c r="DW55" i="25"/>
  <c r="DW59" i="25"/>
  <c r="DW57" i="25"/>
  <c r="DW56" i="25"/>
  <c r="DW54" i="25"/>
  <c r="DW53" i="25"/>
  <c r="DW52" i="25"/>
  <c r="DW46" i="25"/>
  <c r="DW49" i="25"/>
  <c r="DW48" i="25"/>
  <c r="DW44" i="25"/>
  <c r="DW45" i="25"/>
  <c r="DW36" i="25"/>
  <c r="DW40" i="25"/>
  <c r="DW35" i="25"/>
  <c r="DW42" i="25"/>
  <c r="DW47" i="25"/>
  <c r="DW34" i="25"/>
  <c r="DW38" i="25"/>
  <c r="DW33" i="25"/>
  <c r="DW43" i="25"/>
  <c r="DW51" i="25"/>
  <c r="DW41" i="25"/>
  <c r="DW39" i="25"/>
  <c r="DW32" i="25"/>
  <c r="DW26" i="25"/>
  <c r="DW37" i="25"/>
  <c r="DW31" i="25"/>
  <c r="DW25" i="25"/>
  <c r="DW21" i="25"/>
  <c r="DW20" i="25"/>
  <c r="DW27" i="25"/>
  <c r="DW22" i="25"/>
  <c r="DW28" i="25"/>
  <c r="DW23" i="25"/>
  <c r="DW30" i="25"/>
  <c r="DW29" i="25"/>
  <c r="DW24" i="25"/>
  <c r="DW17" i="25"/>
  <c r="DW16" i="25"/>
  <c r="DW10" i="25"/>
  <c r="DW18" i="25"/>
  <c r="DW12" i="25"/>
  <c r="DW13" i="25"/>
  <c r="DW7" i="25"/>
  <c r="DW19" i="25"/>
  <c r="DW14" i="25"/>
  <c r="DW8" i="25"/>
  <c r="DW15" i="25"/>
  <c r="DW9" i="25"/>
  <c r="DW11" i="25"/>
  <c r="DX5" i="25"/>
  <c r="DX114" i="25" l="1"/>
  <c r="EL115" i="25"/>
  <c r="DX111" i="25"/>
  <c r="DX107" i="25"/>
  <c r="DX104" i="25"/>
  <c r="DX103" i="25"/>
  <c r="DX106" i="25"/>
  <c r="DX108" i="25"/>
  <c r="DX95" i="25"/>
  <c r="DX100" i="25"/>
  <c r="DX92" i="25"/>
  <c r="DX109" i="25"/>
  <c r="DX96" i="25"/>
  <c r="DX105" i="25"/>
  <c r="DX113" i="25"/>
  <c r="DX110" i="25"/>
  <c r="DX101" i="25"/>
  <c r="DX99" i="25"/>
  <c r="DX98" i="25"/>
  <c r="DX88" i="25"/>
  <c r="DX91" i="25"/>
  <c r="DX102" i="25"/>
  <c r="DX112" i="25"/>
  <c r="DX97" i="25"/>
  <c r="DX93" i="25"/>
  <c r="DX89" i="25"/>
  <c r="DX94" i="25"/>
  <c r="DX84" i="25"/>
  <c r="DX90" i="25"/>
  <c r="DX83" i="25"/>
  <c r="DX87" i="25"/>
  <c r="DX86" i="25"/>
  <c r="DX81" i="25"/>
  <c r="DX85" i="25"/>
  <c r="DX82" i="25"/>
  <c r="DX78" i="25"/>
  <c r="DX80" i="25"/>
  <c r="DX72" i="25"/>
  <c r="DX79" i="25"/>
  <c r="DX77" i="25"/>
  <c r="DX71" i="25"/>
  <c r="DX76" i="25"/>
  <c r="DX70" i="25"/>
  <c r="DX75" i="25"/>
  <c r="DX69" i="25"/>
  <c r="DX74" i="25"/>
  <c r="DX68" i="25"/>
  <c r="DX66" i="25"/>
  <c r="DX65" i="25"/>
  <c r="DX67" i="25"/>
  <c r="DX64" i="25"/>
  <c r="DX63" i="25"/>
  <c r="DX57" i="25"/>
  <c r="DX62" i="25"/>
  <c r="DX60" i="25"/>
  <c r="DX58" i="25"/>
  <c r="DX55" i="25"/>
  <c r="DX59" i="25"/>
  <c r="DX56" i="25"/>
  <c r="DX54" i="25"/>
  <c r="DX53" i="25"/>
  <c r="DX52" i="25"/>
  <c r="DX51" i="25"/>
  <c r="DX45" i="25"/>
  <c r="DX50" i="25"/>
  <c r="DX48" i="25"/>
  <c r="DX43" i="25"/>
  <c r="DX44" i="25"/>
  <c r="DX61" i="25"/>
  <c r="DX46" i="25"/>
  <c r="DX73" i="25"/>
  <c r="DX47" i="25"/>
  <c r="DX40" i="25"/>
  <c r="DX35" i="25"/>
  <c r="DX42" i="25"/>
  <c r="DX49" i="25"/>
  <c r="DX34" i="25"/>
  <c r="DX38" i="25"/>
  <c r="DX33" i="25"/>
  <c r="DX41" i="25"/>
  <c r="DX39" i="25"/>
  <c r="DX32" i="25"/>
  <c r="DX37" i="25"/>
  <c r="DX31" i="25"/>
  <c r="DX26" i="25"/>
  <c r="DX20" i="25"/>
  <c r="DX36" i="25"/>
  <c r="DX27" i="25"/>
  <c r="DX22" i="25"/>
  <c r="DX19" i="25"/>
  <c r="DX28" i="25"/>
  <c r="DX23" i="25"/>
  <c r="DX30" i="25"/>
  <c r="DX18" i="25"/>
  <c r="DX29" i="25"/>
  <c r="DX24" i="25"/>
  <c r="DX25" i="25"/>
  <c r="DX17" i="25"/>
  <c r="DX13" i="25"/>
  <c r="DX14" i="25"/>
  <c r="DX7" i="25"/>
  <c r="DX15" i="25"/>
  <c r="DX9" i="25"/>
  <c r="DX8" i="25"/>
  <c r="DX11" i="25"/>
  <c r="DX10" i="25"/>
  <c r="DX16" i="25"/>
  <c r="DX21" i="25"/>
  <c r="DX12" i="25"/>
  <c r="DY5" i="25"/>
  <c r="DY112" i="25" l="1"/>
  <c r="DY114" i="25"/>
  <c r="EM115" i="25"/>
  <c r="DY111" i="25"/>
  <c r="DY110" i="25"/>
  <c r="DY107" i="25"/>
  <c r="DY103" i="25"/>
  <c r="DY106" i="25"/>
  <c r="DY108" i="25"/>
  <c r="DY100" i="25"/>
  <c r="DY113" i="25"/>
  <c r="DY104" i="25"/>
  <c r="DY101" i="25"/>
  <c r="DY99" i="25"/>
  <c r="DY109" i="25"/>
  <c r="DY96" i="25"/>
  <c r="DY93" i="25"/>
  <c r="DY92" i="25"/>
  <c r="DY105" i="25"/>
  <c r="DY94" i="25"/>
  <c r="DY98" i="25"/>
  <c r="DY102" i="25"/>
  <c r="DY95" i="25"/>
  <c r="DY91" i="25"/>
  <c r="DY97" i="25"/>
  <c r="DY89" i="25"/>
  <c r="DY90" i="25"/>
  <c r="DY84" i="25"/>
  <c r="DY83" i="25"/>
  <c r="DY87" i="25"/>
  <c r="DY86" i="25"/>
  <c r="DY80" i="25"/>
  <c r="DY85" i="25"/>
  <c r="DY82" i="25"/>
  <c r="DY78" i="25"/>
  <c r="DY88" i="25"/>
  <c r="DY79" i="25"/>
  <c r="DY77" i="25"/>
  <c r="DY71" i="25"/>
  <c r="DY76" i="25"/>
  <c r="DY70" i="25"/>
  <c r="DY75" i="25"/>
  <c r="DY69" i="25"/>
  <c r="DY81" i="25"/>
  <c r="DY74" i="25"/>
  <c r="DY68" i="25"/>
  <c r="DY73" i="25"/>
  <c r="DY66" i="25"/>
  <c r="DY65" i="25"/>
  <c r="DY67" i="25"/>
  <c r="DY64" i="25"/>
  <c r="DY72" i="25"/>
  <c r="DY63" i="25"/>
  <c r="DY62" i="25"/>
  <c r="DY61" i="25"/>
  <c r="DY58" i="25"/>
  <c r="DY55" i="25"/>
  <c r="DY59" i="25"/>
  <c r="DY56" i="25"/>
  <c r="DY54" i="25"/>
  <c r="DY57" i="25"/>
  <c r="DY53" i="25"/>
  <c r="DY52" i="25"/>
  <c r="DY51" i="25"/>
  <c r="DY45" i="25"/>
  <c r="DY60" i="25"/>
  <c r="DY44" i="25"/>
  <c r="DY46" i="25"/>
  <c r="DY47" i="25"/>
  <c r="DY49" i="25"/>
  <c r="DY42" i="25"/>
  <c r="DY35" i="25"/>
  <c r="DY34" i="25"/>
  <c r="DY48" i="25"/>
  <c r="DY50" i="25"/>
  <c r="DY38" i="25"/>
  <c r="DY33" i="25"/>
  <c r="DY43" i="25"/>
  <c r="DY41" i="25"/>
  <c r="DY39" i="25"/>
  <c r="DY32" i="25"/>
  <c r="DY37" i="25"/>
  <c r="DY31" i="25"/>
  <c r="DY25" i="25"/>
  <c r="DY36" i="25"/>
  <c r="DY30" i="25"/>
  <c r="DY24" i="25"/>
  <c r="DY20" i="25"/>
  <c r="DY27" i="25"/>
  <c r="DY22" i="25"/>
  <c r="DY19" i="25"/>
  <c r="DY28" i="25"/>
  <c r="DY23" i="25"/>
  <c r="DY29" i="25"/>
  <c r="DY40" i="25"/>
  <c r="DY16" i="25"/>
  <c r="DY21" i="25"/>
  <c r="DY15" i="25"/>
  <c r="DY9" i="25"/>
  <c r="DY14" i="25"/>
  <c r="DY8" i="25"/>
  <c r="DY7" i="25"/>
  <c r="DY26" i="25"/>
  <c r="DY11" i="25"/>
  <c r="DY10" i="25"/>
  <c r="DY17" i="25"/>
  <c r="DY12" i="25"/>
  <c r="DZ5" i="25"/>
  <c r="DX4" i="25"/>
  <c r="DY18" i="25"/>
  <c r="DY13" i="25"/>
  <c r="DZ114" i="25" l="1"/>
  <c r="DZ113" i="25"/>
  <c r="DZ110" i="25"/>
  <c r="DZ109" i="25"/>
  <c r="DZ111" i="25"/>
  <c r="DZ106" i="25"/>
  <c r="DZ103" i="25"/>
  <c r="EN115" i="25"/>
  <c r="DZ105" i="25"/>
  <c r="DZ102" i="25"/>
  <c r="DZ108" i="25"/>
  <c r="DZ99" i="25"/>
  <c r="DZ104" i="25"/>
  <c r="DZ112" i="25"/>
  <c r="DZ94" i="25"/>
  <c r="DZ101" i="25"/>
  <c r="DZ107" i="25"/>
  <c r="DZ96" i="25"/>
  <c r="DZ93" i="25"/>
  <c r="DZ92" i="25"/>
  <c r="DZ91" i="25"/>
  <c r="DZ97" i="25"/>
  <c r="DZ95" i="25"/>
  <c r="DZ98" i="25"/>
  <c r="DZ89" i="25"/>
  <c r="DZ100" i="25"/>
  <c r="DZ90" i="25"/>
  <c r="DZ83" i="25"/>
  <c r="DZ87" i="25"/>
  <c r="DZ86" i="25"/>
  <c r="DZ88" i="25"/>
  <c r="DZ85" i="25"/>
  <c r="DZ84" i="25"/>
  <c r="DZ80" i="25"/>
  <c r="DZ81" i="25"/>
  <c r="DZ79" i="25"/>
  <c r="DZ78" i="25"/>
  <c r="DZ77" i="25"/>
  <c r="DZ71" i="25"/>
  <c r="DZ76" i="25"/>
  <c r="DZ70" i="25"/>
  <c r="DZ75" i="25"/>
  <c r="DZ69" i="25"/>
  <c r="DZ74" i="25"/>
  <c r="DZ68" i="25"/>
  <c r="DZ82" i="25"/>
  <c r="DZ73" i="25"/>
  <c r="DZ67" i="25"/>
  <c r="DZ66" i="25"/>
  <c r="DZ65" i="25"/>
  <c r="DZ64" i="25"/>
  <c r="DZ72" i="25"/>
  <c r="DZ63" i="25"/>
  <c r="DZ62" i="25"/>
  <c r="DZ56" i="25"/>
  <c r="DZ61" i="25"/>
  <c r="DZ59" i="25"/>
  <c r="DZ54" i="25"/>
  <c r="DZ57" i="25"/>
  <c r="DZ53" i="25"/>
  <c r="DZ52" i="25"/>
  <c r="DZ51" i="25"/>
  <c r="DZ50" i="25"/>
  <c r="DZ44" i="25"/>
  <c r="DZ60" i="25"/>
  <c r="DZ58" i="25"/>
  <c r="DZ45" i="25"/>
  <c r="DZ46" i="25"/>
  <c r="DZ55" i="25"/>
  <c r="DZ47" i="25"/>
  <c r="DZ49" i="25"/>
  <c r="DZ42" i="25"/>
  <c r="DZ48" i="25"/>
  <c r="DZ34" i="25"/>
  <c r="DZ38" i="25"/>
  <c r="DZ33" i="25"/>
  <c r="DZ43" i="25"/>
  <c r="DZ41" i="25"/>
  <c r="DZ39" i="25"/>
  <c r="DZ32" i="25"/>
  <c r="DZ37" i="25"/>
  <c r="DZ36" i="25"/>
  <c r="DZ30" i="25"/>
  <c r="DZ40" i="25"/>
  <c r="DZ31" i="25"/>
  <c r="DZ27" i="25"/>
  <c r="DZ22" i="25"/>
  <c r="DZ19" i="25"/>
  <c r="DZ28" i="25"/>
  <c r="DZ23" i="25"/>
  <c r="DZ18" i="25"/>
  <c r="DZ29" i="25"/>
  <c r="DZ35" i="25"/>
  <c r="DZ24" i="25"/>
  <c r="DZ17" i="25"/>
  <c r="DZ25" i="25"/>
  <c r="DZ21" i="25"/>
  <c r="DZ26" i="25"/>
  <c r="DZ20" i="25"/>
  <c r="DZ14" i="25"/>
  <c r="DZ8" i="25"/>
  <c r="DZ7" i="25"/>
  <c r="DZ15" i="25"/>
  <c r="DZ11" i="25"/>
  <c r="DZ10" i="25"/>
  <c r="DZ9" i="25"/>
  <c r="DZ16" i="25"/>
  <c r="DZ12" i="25"/>
  <c r="EA5" i="25"/>
  <c r="DZ13" i="25"/>
  <c r="EO115" i="25" l="1"/>
  <c r="EA111" i="25"/>
  <c r="EA112" i="25"/>
  <c r="EA113" i="25"/>
  <c r="EA109" i="25"/>
  <c r="EA114" i="25"/>
  <c r="EA106" i="25"/>
  <c r="EA105" i="25"/>
  <c r="EA102" i="25"/>
  <c r="EA104" i="25"/>
  <c r="EA110" i="25"/>
  <c r="EA108" i="25"/>
  <c r="EA103" i="25"/>
  <c r="EA101" i="25"/>
  <c r="EA107" i="25"/>
  <c r="EA99" i="25"/>
  <c r="EA96" i="25"/>
  <c r="EA95" i="25"/>
  <c r="EA94" i="25"/>
  <c r="EA97" i="25"/>
  <c r="EA100" i="25"/>
  <c r="EA98" i="25"/>
  <c r="EA92" i="25"/>
  <c r="EA91" i="25"/>
  <c r="EA89" i="25"/>
  <c r="EA93" i="25"/>
  <c r="EA90" i="25"/>
  <c r="EA83" i="25"/>
  <c r="EA87" i="25"/>
  <c r="EA86" i="25"/>
  <c r="EA85" i="25"/>
  <c r="EA84" i="25"/>
  <c r="EA88" i="25"/>
  <c r="EA80" i="25"/>
  <c r="EA81" i="25"/>
  <c r="EA79" i="25"/>
  <c r="EA76" i="25"/>
  <c r="EA70" i="25"/>
  <c r="EA75" i="25"/>
  <c r="EA69" i="25"/>
  <c r="EA74" i="25"/>
  <c r="EA68" i="25"/>
  <c r="EA82" i="25"/>
  <c r="EA73" i="25"/>
  <c r="EA67" i="25"/>
  <c r="EA72" i="25"/>
  <c r="EA78" i="25"/>
  <c r="EA77" i="25"/>
  <c r="EA64" i="25"/>
  <c r="EA63" i="25"/>
  <c r="EA62" i="25"/>
  <c r="EA61" i="25"/>
  <c r="EA71" i="25"/>
  <c r="EA60" i="25"/>
  <c r="EA59" i="25"/>
  <c r="EA54" i="25"/>
  <c r="EA57" i="25"/>
  <c r="EA56" i="25"/>
  <c r="EA65" i="25"/>
  <c r="EA53" i="25"/>
  <c r="EA52" i="25"/>
  <c r="EA51" i="25"/>
  <c r="EA50" i="25"/>
  <c r="EA44" i="25"/>
  <c r="EA58" i="25"/>
  <c r="EA55" i="25"/>
  <c r="EA45" i="25"/>
  <c r="EA46" i="25"/>
  <c r="EA47" i="25"/>
  <c r="EA49" i="25"/>
  <c r="EA42" i="25"/>
  <c r="EA48" i="25"/>
  <c r="EA66" i="25"/>
  <c r="EA43" i="25"/>
  <c r="EA34" i="25"/>
  <c r="EA38" i="25"/>
  <c r="EA33" i="25"/>
  <c r="EA41" i="25"/>
  <c r="EA39" i="25"/>
  <c r="EA32" i="25"/>
  <c r="EA37" i="25"/>
  <c r="EA36" i="25"/>
  <c r="EA30" i="25"/>
  <c r="EA24" i="25"/>
  <c r="EA40" i="25"/>
  <c r="EA35" i="25"/>
  <c r="EA29" i="25"/>
  <c r="EA23" i="25"/>
  <c r="EA19" i="25"/>
  <c r="EA28" i="25"/>
  <c r="EA18" i="25"/>
  <c r="EA25" i="25"/>
  <c r="EA21" i="25"/>
  <c r="EA15" i="25"/>
  <c r="EA26" i="25"/>
  <c r="EA20" i="25"/>
  <c r="EA14" i="25"/>
  <c r="EA8" i="25"/>
  <c r="EA7" i="25"/>
  <c r="EA11" i="25"/>
  <c r="EA10" i="25"/>
  <c r="EA9" i="25"/>
  <c r="EA27" i="25"/>
  <c r="EA31" i="25"/>
  <c r="EA16" i="25"/>
  <c r="EB5" i="25"/>
  <c r="EA22" i="25"/>
  <c r="EA12" i="25"/>
  <c r="EA13" i="25"/>
  <c r="EA17" i="25"/>
  <c r="EB112" i="25" l="1"/>
  <c r="EB114" i="25"/>
  <c r="EB113" i="25"/>
  <c r="EB109" i="25"/>
  <c r="EB105" i="25"/>
  <c r="EB106" i="25"/>
  <c r="EB102" i="25"/>
  <c r="EP115" i="25"/>
  <c r="EB100" i="25"/>
  <c r="EB110" i="25"/>
  <c r="EB108" i="25"/>
  <c r="EB103" i="25"/>
  <c r="EB111" i="25"/>
  <c r="EB104" i="25"/>
  <c r="EB99" i="25"/>
  <c r="EB107" i="25"/>
  <c r="EB96" i="25"/>
  <c r="EB95" i="25"/>
  <c r="EB94" i="25"/>
  <c r="EB91" i="25"/>
  <c r="EB97" i="25"/>
  <c r="EB101" i="25"/>
  <c r="EB98" i="25"/>
  <c r="EB89" i="25"/>
  <c r="EB93" i="25"/>
  <c r="EB90" i="25"/>
  <c r="EB92" i="25"/>
  <c r="EB87" i="25"/>
  <c r="EB86" i="25"/>
  <c r="EB85" i="25"/>
  <c r="EB88" i="25"/>
  <c r="EB84" i="25"/>
  <c r="EB83" i="25"/>
  <c r="EB80" i="25"/>
  <c r="EB81" i="25"/>
  <c r="EB79" i="25"/>
  <c r="EB82" i="25"/>
  <c r="EB76" i="25"/>
  <c r="EB70" i="25"/>
  <c r="EB75" i="25"/>
  <c r="EB69" i="25"/>
  <c r="EB74" i="25"/>
  <c r="EB73" i="25"/>
  <c r="EB72" i="25"/>
  <c r="EB66" i="25"/>
  <c r="EB78" i="25"/>
  <c r="EB77" i="25"/>
  <c r="EB64" i="25"/>
  <c r="EB67" i="25"/>
  <c r="EB63" i="25"/>
  <c r="EB62" i="25"/>
  <c r="EB61" i="25"/>
  <c r="EB71" i="25"/>
  <c r="EB57" i="25"/>
  <c r="EB56" i="25"/>
  <c r="EB65" i="25"/>
  <c r="EB53" i="25"/>
  <c r="EB52" i="25"/>
  <c r="EB68" i="25"/>
  <c r="EB51" i="25"/>
  <c r="EB50" i="25"/>
  <c r="EB60" i="25"/>
  <c r="EB58" i="25"/>
  <c r="EB55" i="25"/>
  <c r="EB49" i="25"/>
  <c r="EB43" i="25"/>
  <c r="EB44" i="25"/>
  <c r="EB59" i="25"/>
  <c r="EB45" i="25"/>
  <c r="EB46" i="25"/>
  <c r="EB47" i="25"/>
  <c r="EB48" i="25"/>
  <c r="EB54" i="25"/>
  <c r="EB40" i="25"/>
  <c r="EB42" i="25"/>
  <c r="EB38" i="25"/>
  <c r="EB33" i="25"/>
  <c r="EB41" i="25"/>
  <c r="EB39" i="25"/>
  <c r="EB32" i="25"/>
  <c r="EB37" i="25"/>
  <c r="EB36" i="25"/>
  <c r="EB35" i="25"/>
  <c r="EB28" i="25"/>
  <c r="EB23" i="25"/>
  <c r="EB29" i="25"/>
  <c r="EB30" i="25"/>
  <c r="EB24" i="25"/>
  <c r="EB25" i="25"/>
  <c r="EB34" i="25"/>
  <c r="EB21" i="25"/>
  <c r="EB26" i="25"/>
  <c r="EB20" i="25"/>
  <c r="EB31" i="25"/>
  <c r="EB27" i="25"/>
  <c r="EB22" i="25"/>
  <c r="EB7" i="25"/>
  <c r="EB14" i="25"/>
  <c r="EB11" i="25"/>
  <c r="EB10" i="25"/>
  <c r="EB9" i="25"/>
  <c r="EB8" i="25"/>
  <c r="EB19" i="25"/>
  <c r="EB15" i="25"/>
  <c r="EB16" i="25"/>
  <c r="EB12" i="25"/>
  <c r="EC5" i="25"/>
  <c r="EB13" i="25"/>
  <c r="EB17" i="25"/>
  <c r="EB18" i="25"/>
  <c r="EC114" i="25" l="1"/>
  <c r="EQ115" i="25"/>
  <c r="EC112" i="25"/>
  <c r="EC113" i="25"/>
  <c r="EC109" i="25"/>
  <c r="EC110" i="25"/>
  <c r="EC105" i="25"/>
  <c r="EC101" i="25"/>
  <c r="EC111" i="25"/>
  <c r="EC104" i="25"/>
  <c r="EC99" i="25"/>
  <c r="EC96" i="25"/>
  <c r="EC95" i="25"/>
  <c r="EC94" i="25"/>
  <c r="EC103" i="25"/>
  <c r="EC97" i="25"/>
  <c r="EC107" i="25"/>
  <c r="EC106" i="25"/>
  <c r="EC91" i="25"/>
  <c r="EC108" i="25"/>
  <c r="EC98" i="25"/>
  <c r="EC102" i="25"/>
  <c r="EC89" i="25"/>
  <c r="EC93" i="25"/>
  <c r="EC90" i="25"/>
  <c r="EC100" i="25"/>
  <c r="EC92" i="25"/>
  <c r="EC87" i="25"/>
  <c r="EC86" i="25"/>
  <c r="EC85" i="25"/>
  <c r="EC88" i="25"/>
  <c r="EC84" i="25"/>
  <c r="EC83" i="25"/>
  <c r="EC80" i="25"/>
  <c r="EC81" i="25"/>
  <c r="EC79" i="25"/>
  <c r="EC82" i="25"/>
  <c r="EC75" i="25"/>
  <c r="EC69" i="25"/>
  <c r="EC74" i="25"/>
  <c r="EC68" i="25"/>
  <c r="EC73" i="25"/>
  <c r="EC72" i="25"/>
  <c r="EC66" i="25"/>
  <c r="EC78" i="25"/>
  <c r="EC77" i="25"/>
  <c r="EC71" i="25"/>
  <c r="EC67" i="25"/>
  <c r="EC70" i="25"/>
  <c r="EC63" i="25"/>
  <c r="EC62" i="25"/>
  <c r="EC61" i="25"/>
  <c r="EC76" i="25"/>
  <c r="EC60" i="25"/>
  <c r="EC65" i="25"/>
  <c r="EC59" i="25"/>
  <c r="EC53" i="25"/>
  <c r="EC52" i="25"/>
  <c r="EC51" i="25"/>
  <c r="EC50" i="25"/>
  <c r="EC64" i="25"/>
  <c r="EC58" i="25"/>
  <c r="EC55" i="25"/>
  <c r="EC49" i="25"/>
  <c r="EC43" i="25"/>
  <c r="EC54" i="25"/>
  <c r="EC45" i="25"/>
  <c r="EC57" i="25"/>
  <c r="EC46" i="25"/>
  <c r="EC56" i="25"/>
  <c r="EC47" i="25"/>
  <c r="EC48" i="25"/>
  <c r="EC40" i="25"/>
  <c r="EC42" i="25"/>
  <c r="EC38" i="25"/>
  <c r="EC33" i="25"/>
  <c r="EC41" i="25"/>
  <c r="EC39" i="25"/>
  <c r="EC32" i="25"/>
  <c r="EC37" i="25"/>
  <c r="EC44" i="25"/>
  <c r="EC36" i="25"/>
  <c r="EC35" i="25"/>
  <c r="EC29" i="25"/>
  <c r="EC23" i="25"/>
  <c r="EC34" i="25"/>
  <c r="EC28" i="25"/>
  <c r="EC22" i="25"/>
  <c r="EC18" i="25"/>
  <c r="EC30" i="25"/>
  <c r="EC24" i="25"/>
  <c r="EC25" i="25"/>
  <c r="EC21" i="25"/>
  <c r="EC26" i="25"/>
  <c r="EC20" i="25"/>
  <c r="EC14" i="25"/>
  <c r="EC31" i="25"/>
  <c r="EC27" i="25"/>
  <c r="EC19" i="25"/>
  <c r="EC13" i="25"/>
  <c r="EC7" i="25"/>
  <c r="EC11" i="25"/>
  <c r="EC10" i="25"/>
  <c r="EC9" i="25"/>
  <c r="EC8" i="25"/>
  <c r="EC15" i="25"/>
  <c r="EC16" i="25"/>
  <c r="EC12" i="25"/>
  <c r="ED5" i="25"/>
  <c r="EB4" i="25"/>
  <c r="EC17" i="25"/>
  <c r="ED111" i="25" l="1"/>
  <c r="ED114" i="25"/>
  <c r="ED112" i="25"/>
  <c r="ED113" i="25"/>
  <c r="ED110" i="25"/>
  <c r="ER115" i="25"/>
  <c r="ED101" i="25"/>
  <c r="ED107" i="25"/>
  <c r="ED104" i="25"/>
  <c r="ED99" i="25"/>
  <c r="ED106" i="25"/>
  <c r="ED100" i="25"/>
  <c r="ED98" i="25"/>
  <c r="ED102" i="25"/>
  <c r="ED103" i="25"/>
  <c r="ED97" i="25"/>
  <c r="ED105" i="25"/>
  <c r="ED96" i="25"/>
  <c r="ED109" i="25"/>
  <c r="ED90" i="25"/>
  <c r="ED108" i="25"/>
  <c r="ED93" i="25"/>
  <c r="ED95" i="25"/>
  <c r="ED91" i="25"/>
  <c r="ED89" i="25"/>
  <c r="ED92" i="25"/>
  <c r="ED94" i="25"/>
  <c r="ED87" i="25"/>
  <c r="ED86" i="25"/>
  <c r="ED85" i="25"/>
  <c r="ED88" i="25"/>
  <c r="ED84" i="25"/>
  <c r="ED83" i="25"/>
  <c r="ED80" i="25"/>
  <c r="ED81" i="25"/>
  <c r="ED79" i="25"/>
  <c r="ED82" i="25"/>
  <c r="ED78" i="25"/>
  <c r="ED75" i="25"/>
  <c r="ED69" i="25"/>
  <c r="ED74" i="25"/>
  <c r="ED73" i="25"/>
  <c r="ED72" i="25"/>
  <c r="ED77" i="25"/>
  <c r="ED71" i="25"/>
  <c r="ED70" i="25"/>
  <c r="ED63" i="25"/>
  <c r="ED62" i="25"/>
  <c r="ED76" i="25"/>
  <c r="ED60" i="25"/>
  <c r="ED65" i="25"/>
  <c r="ED68" i="25"/>
  <c r="ED52" i="25"/>
  <c r="ED64" i="25"/>
  <c r="ED58" i="25"/>
  <c r="ED55" i="25"/>
  <c r="ED49" i="25"/>
  <c r="ED54" i="25"/>
  <c r="ED48" i="25"/>
  <c r="ED42" i="25"/>
  <c r="ED67" i="25"/>
  <c r="ED66" i="25"/>
  <c r="ED61" i="25"/>
  <c r="ED59" i="25"/>
  <c r="ED57" i="25"/>
  <c r="ED56" i="25"/>
  <c r="ED45" i="25"/>
  <c r="ED53" i="25"/>
  <c r="ED46" i="25"/>
  <c r="ED47" i="25"/>
  <c r="ED40" i="25"/>
  <c r="ED43" i="25"/>
  <c r="ED51" i="25"/>
  <c r="ED50" i="25"/>
  <c r="ED44" i="25"/>
  <c r="ED41" i="25"/>
  <c r="ED39" i="25"/>
  <c r="ED32" i="25"/>
  <c r="ED37" i="25"/>
  <c r="ED36" i="25"/>
  <c r="ED35" i="25"/>
  <c r="ED34" i="25"/>
  <c r="ED23" i="25"/>
  <c r="ED30" i="25"/>
  <c r="ED29" i="25"/>
  <c r="ED24" i="25"/>
  <c r="ED25" i="25"/>
  <c r="ED21" i="25"/>
  <c r="ED26" i="25"/>
  <c r="ED20" i="25"/>
  <c r="ED38" i="25"/>
  <c r="ED31" i="25"/>
  <c r="ED27" i="25"/>
  <c r="ED22" i="25"/>
  <c r="ED19" i="25"/>
  <c r="ED33" i="25"/>
  <c r="ED15" i="25"/>
  <c r="ED11" i="25"/>
  <c r="ED10" i="25"/>
  <c r="ED7" i="25"/>
  <c r="ED28" i="25"/>
  <c r="ED16" i="25"/>
  <c r="EE5" i="25"/>
  <c r="ED12" i="25"/>
  <c r="ED17" i="25"/>
  <c r="ED13" i="25"/>
  <c r="ED18" i="25"/>
  <c r="ED9" i="25"/>
  <c r="ED8" i="25"/>
  <c r="ED14" i="25"/>
  <c r="EE113" i="25" l="1"/>
  <c r="ES115" i="25"/>
  <c r="EE114" i="25"/>
  <c r="EE112" i="25"/>
  <c r="EE110" i="25"/>
  <c r="EE111" i="25"/>
  <c r="EE100" i="25"/>
  <c r="EE109" i="25"/>
  <c r="EE107" i="25"/>
  <c r="EE106" i="25"/>
  <c r="EE98" i="25"/>
  <c r="EE101" i="25"/>
  <c r="EE99" i="25"/>
  <c r="EE97" i="25"/>
  <c r="EE104" i="25"/>
  <c r="EE108" i="25"/>
  <c r="EE102" i="25"/>
  <c r="EE103" i="25"/>
  <c r="EE90" i="25"/>
  <c r="EE94" i="25"/>
  <c r="EE105" i="25"/>
  <c r="EE96" i="25"/>
  <c r="EE92" i="25"/>
  <c r="EE93" i="25"/>
  <c r="EE91" i="25"/>
  <c r="EE95" i="25"/>
  <c r="EE89" i="25"/>
  <c r="EE88" i="25"/>
  <c r="EE85" i="25"/>
  <c r="EE84" i="25"/>
  <c r="EE83" i="25"/>
  <c r="EE80" i="25"/>
  <c r="EE81" i="25"/>
  <c r="EE79" i="25"/>
  <c r="EE87" i="25"/>
  <c r="EE82" i="25"/>
  <c r="EE78" i="25"/>
  <c r="EE86" i="25"/>
  <c r="EE74" i="25"/>
  <c r="EE68" i="25"/>
  <c r="EE73" i="25"/>
  <c r="EE72" i="25"/>
  <c r="EE77" i="25"/>
  <c r="EE71" i="25"/>
  <c r="EE76" i="25"/>
  <c r="EE70" i="25"/>
  <c r="EE62" i="25"/>
  <c r="EE69" i="25"/>
  <c r="EE65" i="25"/>
  <c r="EE66" i="25"/>
  <c r="EE64" i="25"/>
  <c r="EE58" i="25"/>
  <c r="EE75" i="25"/>
  <c r="EE63" i="25"/>
  <c r="EE52" i="25"/>
  <c r="EE51" i="25"/>
  <c r="EE55" i="25"/>
  <c r="EE60" i="25"/>
  <c r="EE54" i="25"/>
  <c r="EE48" i="25"/>
  <c r="EE42" i="25"/>
  <c r="EE67" i="25"/>
  <c r="EE61" i="25"/>
  <c r="EE59" i="25"/>
  <c r="EE57" i="25"/>
  <c r="EE56" i="25"/>
  <c r="EE53" i="25"/>
  <c r="EE46" i="25"/>
  <c r="EE47" i="25"/>
  <c r="EE49" i="25"/>
  <c r="EE43" i="25"/>
  <c r="EE50" i="25"/>
  <c r="EE44" i="25"/>
  <c r="EE41" i="25"/>
  <c r="EE32" i="25"/>
  <c r="EE39" i="25"/>
  <c r="EE37" i="25"/>
  <c r="EE31" i="25"/>
  <c r="EE36" i="25"/>
  <c r="EE45" i="25"/>
  <c r="EE35" i="25"/>
  <c r="EE40" i="25"/>
  <c r="EE34" i="25"/>
  <c r="EE28" i="25"/>
  <c r="EE22" i="25"/>
  <c r="EE38" i="25"/>
  <c r="EE33" i="25"/>
  <c r="EE27" i="25"/>
  <c r="EE17" i="25"/>
  <c r="EE30" i="25"/>
  <c r="EE29" i="25"/>
  <c r="EE24" i="25"/>
  <c r="EE25" i="25"/>
  <c r="EE21" i="25"/>
  <c r="EE26" i="25"/>
  <c r="EE20" i="25"/>
  <c r="EE19" i="25"/>
  <c r="EE13" i="25"/>
  <c r="EE18" i="25"/>
  <c r="EE12" i="25"/>
  <c r="EE16" i="25"/>
  <c r="EF5" i="25"/>
  <c r="EE23" i="25"/>
  <c r="EE14" i="25"/>
  <c r="EE7" i="25"/>
  <c r="EE15" i="25"/>
  <c r="EE11" i="25"/>
  <c r="EE10" i="25"/>
  <c r="EE9" i="25"/>
  <c r="EE8" i="25"/>
  <c r="ET115" i="25" l="1"/>
  <c r="EF113" i="25"/>
  <c r="EF111" i="25"/>
  <c r="EF114" i="25"/>
  <c r="EF110" i="25"/>
  <c r="EF108" i="25"/>
  <c r="EF100" i="25"/>
  <c r="EF109" i="25"/>
  <c r="EF107" i="25"/>
  <c r="EF102" i="25"/>
  <c r="EF101" i="25"/>
  <c r="EF106" i="25"/>
  <c r="EF112" i="25"/>
  <c r="EF97" i="25"/>
  <c r="EF104" i="25"/>
  <c r="EF103" i="25"/>
  <c r="EF94" i="25"/>
  <c r="EF105" i="25"/>
  <c r="EF89" i="25"/>
  <c r="EF98" i="25"/>
  <c r="EF99" i="25"/>
  <c r="EF95" i="25"/>
  <c r="EF91" i="25"/>
  <c r="EF96" i="25"/>
  <c r="EF93" i="25"/>
  <c r="EF92" i="25"/>
  <c r="EF90" i="25"/>
  <c r="EF85" i="25"/>
  <c r="EF88" i="25"/>
  <c r="EF84" i="25"/>
  <c r="EF83" i="25"/>
  <c r="EF87" i="25"/>
  <c r="EF86" i="25"/>
  <c r="EF80" i="25"/>
  <c r="EF81" i="25"/>
  <c r="EF79" i="25"/>
  <c r="EF82" i="25"/>
  <c r="EF74" i="25"/>
  <c r="EF73" i="25"/>
  <c r="EF72" i="25"/>
  <c r="EF77" i="25"/>
  <c r="EF71" i="25"/>
  <c r="EF78" i="25"/>
  <c r="EF76" i="25"/>
  <c r="EF70" i="25"/>
  <c r="EF62" i="25"/>
  <c r="EF61" i="25"/>
  <c r="EF69" i="25"/>
  <c r="EF65" i="25"/>
  <c r="EF59" i="25"/>
  <c r="EF68" i="25"/>
  <c r="EF66" i="25"/>
  <c r="EF64" i="25"/>
  <c r="EF67" i="25"/>
  <c r="EF55" i="25"/>
  <c r="EF58" i="25"/>
  <c r="EF60" i="25"/>
  <c r="EF54" i="25"/>
  <c r="EF57" i="25"/>
  <c r="EF56" i="25"/>
  <c r="EF53" i="25"/>
  <c r="EF47" i="25"/>
  <c r="EF46" i="25"/>
  <c r="EF75" i="25"/>
  <c r="EF49" i="25"/>
  <c r="EF48" i="25"/>
  <c r="EF63" i="25"/>
  <c r="EF50" i="25"/>
  <c r="EF44" i="25"/>
  <c r="EF41" i="25"/>
  <c r="EF39" i="25"/>
  <c r="EF52" i="25"/>
  <c r="EF51" i="25"/>
  <c r="EF45" i="25"/>
  <c r="EF38" i="25"/>
  <c r="EF37" i="25"/>
  <c r="EF31" i="25"/>
  <c r="EF36" i="25"/>
  <c r="EF43" i="25"/>
  <c r="EF35" i="25"/>
  <c r="EF40" i="25"/>
  <c r="EF34" i="25"/>
  <c r="EF33" i="25"/>
  <c r="EF30" i="25"/>
  <c r="EF29" i="25"/>
  <c r="EF24" i="25"/>
  <c r="EF32" i="25"/>
  <c r="EF25" i="25"/>
  <c r="EF21" i="25"/>
  <c r="EF26" i="25"/>
  <c r="EF20" i="25"/>
  <c r="EF27" i="25"/>
  <c r="EF19" i="25"/>
  <c r="EF22" i="25"/>
  <c r="EF18" i="25"/>
  <c r="EF42" i="25"/>
  <c r="EF28" i="25"/>
  <c r="EF23" i="25"/>
  <c r="EF16" i="25"/>
  <c r="EG5" i="25"/>
  <c r="EF12" i="25"/>
  <c r="EF17" i="25"/>
  <c r="EF13" i="25"/>
  <c r="EF14" i="25"/>
  <c r="EF11" i="25"/>
  <c r="EF10" i="25"/>
  <c r="EF9" i="25"/>
  <c r="EF8" i="25"/>
  <c r="EF7" i="25"/>
  <c r="EF15" i="25"/>
  <c r="EU115" i="25" l="1"/>
  <c r="EG109" i="25"/>
  <c r="EG113" i="25"/>
  <c r="EG111" i="25"/>
  <c r="EG114" i="25"/>
  <c r="EG108" i="25"/>
  <c r="EG99" i="25"/>
  <c r="EG107" i="25"/>
  <c r="EG110" i="25"/>
  <c r="EG112" i="25"/>
  <c r="EG100" i="25"/>
  <c r="EG97" i="25"/>
  <c r="EG102" i="25"/>
  <c r="EG105" i="25"/>
  <c r="EG98" i="25"/>
  <c r="EG106" i="25"/>
  <c r="EG104" i="25"/>
  <c r="EG89" i="25"/>
  <c r="EG94" i="25"/>
  <c r="EG101" i="25"/>
  <c r="EG103" i="25"/>
  <c r="EG95" i="25"/>
  <c r="EG91" i="25"/>
  <c r="EG96" i="25"/>
  <c r="EG93" i="25"/>
  <c r="EG92" i="25"/>
  <c r="EG90" i="25"/>
  <c r="EG88" i="25"/>
  <c r="EG87" i="25"/>
  <c r="EG85" i="25"/>
  <c r="EG84" i="25"/>
  <c r="EG82" i="25"/>
  <c r="EG80" i="25"/>
  <c r="EG83" i="25"/>
  <c r="EG81" i="25"/>
  <c r="EG79" i="25"/>
  <c r="EG86" i="25"/>
  <c r="EG73" i="25"/>
  <c r="EG72" i="25"/>
  <c r="EG77" i="25"/>
  <c r="EG71" i="25"/>
  <c r="EG78" i="25"/>
  <c r="EG76" i="25"/>
  <c r="EG70" i="25"/>
  <c r="EG75" i="25"/>
  <c r="EG69" i="25"/>
  <c r="EG61" i="25"/>
  <c r="EG74" i="25"/>
  <c r="EG65" i="25"/>
  <c r="EG68" i="25"/>
  <c r="EG66" i="25"/>
  <c r="EG64" i="25"/>
  <c r="EG67" i="25"/>
  <c r="EG63" i="25"/>
  <c r="EG51" i="25"/>
  <c r="EG55" i="25"/>
  <c r="EG62" i="25"/>
  <c r="EG58" i="25"/>
  <c r="EG60" i="25"/>
  <c r="EG54" i="25"/>
  <c r="EG57" i="25"/>
  <c r="EG56" i="25"/>
  <c r="EG59" i="25"/>
  <c r="EG53" i="25"/>
  <c r="EG47" i="25"/>
  <c r="EG41" i="25"/>
  <c r="EG49" i="25"/>
  <c r="EG48" i="25"/>
  <c r="EG50" i="25"/>
  <c r="EG44" i="25"/>
  <c r="EG52" i="25"/>
  <c r="EG45" i="25"/>
  <c r="EG39" i="25"/>
  <c r="EG37" i="25"/>
  <c r="EG31" i="25"/>
  <c r="EG36" i="25"/>
  <c r="EG43" i="25"/>
  <c r="EG46" i="25"/>
  <c r="EG35" i="25"/>
  <c r="EG40" i="25"/>
  <c r="EG34" i="25"/>
  <c r="EG33" i="25"/>
  <c r="EG27" i="25"/>
  <c r="EG38" i="25"/>
  <c r="EG42" i="25"/>
  <c r="EG32" i="25"/>
  <c r="EG26" i="25"/>
  <c r="EG25" i="25"/>
  <c r="EG21" i="25"/>
  <c r="EG20" i="25"/>
  <c r="EG19" i="25"/>
  <c r="EG22" i="25"/>
  <c r="EG18" i="25"/>
  <c r="EG12" i="25"/>
  <c r="EG28" i="25"/>
  <c r="EG23" i="25"/>
  <c r="EG17" i="25"/>
  <c r="EG11" i="25"/>
  <c r="EG29" i="25"/>
  <c r="EH5" i="25"/>
  <c r="EG30" i="25"/>
  <c r="EG24" i="25"/>
  <c r="EG13" i="25"/>
  <c r="EG14" i="25"/>
  <c r="EG10" i="25"/>
  <c r="EG9" i="25"/>
  <c r="EG8" i="25"/>
  <c r="EG7" i="25"/>
  <c r="EG15" i="25"/>
  <c r="EG16" i="25"/>
  <c r="EH114" i="25" l="1"/>
  <c r="EV115" i="25"/>
  <c r="EH113" i="25"/>
  <c r="EH111" i="25"/>
  <c r="EH112" i="25"/>
  <c r="EH108" i="25"/>
  <c r="EH109" i="25"/>
  <c r="EH99" i="25"/>
  <c r="EH107" i="25"/>
  <c r="EH110" i="25"/>
  <c r="EH104" i="25"/>
  <c r="EH103" i="25"/>
  <c r="EH100" i="25"/>
  <c r="EH102" i="25"/>
  <c r="EH101" i="25"/>
  <c r="EH96" i="25"/>
  <c r="EH98" i="25"/>
  <c r="EH93" i="25"/>
  <c r="EH105" i="25"/>
  <c r="EH97" i="25"/>
  <c r="EH95" i="25"/>
  <c r="EH92" i="25"/>
  <c r="EH89" i="25"/>
  <c r="EH90" i="25"/>
  <c r="EH106" i="25"/>
  <c r="EH94" i="25"/>
  <c r="EH85" i="25"/>
  <c r="EH84" i="25"/>
  <c r="EH88" i="25"/>
  <c r="EH91" i="25"/>
  <c r="EH82" i="25"/>
  <c r="EH86" i="25"/>
  <c r="EH83" i="25"/>
  <c r="EH81" i="25"/>
  <c r="EH79" i="25"/>
  <c r="EH87" i="25"/>
  <c r="EH73" i="25"/>
  <c r="EH72" i="25"/>
  <c r="EH77" i="25"/>
  <c r="EH71" i="25"/>
  <c r="EH78" i="25"/>
  <c r="EH76" i="25"/>
  <c r="EH70" i="25"/>
  <c r="EH75" i="25"/>
  <c r="EH69" i="25"/>
  <c r="EH80" i="25"/>
  <c r="EH61" i="25"/>
  <c r="EH74" i="25"/>
  <c r="EH65" i="25"/>
  <c r="EH68" i="25"/>
  <c r="EH66" i="25"/>
  <c r="EH64" i="25"/>
  <c r="EH58" i="25"/>
  <c r="EH67" i="25"/>
  <c r="EH63" i="25"/>
  <c r="EH55" i="25"/>
  <c r="EH62" i="25"/>
  <c r="EH60" i="25"/>
  <c r="EH54" i="25"/>
  <c r="EH57" i="25"/>
  <c r="EH56" i="25"/>
  <c r="EH59" i="25"/>
  <c r="EH53" i="25"/>
  <c r="EH52" i="25"/>
  <c r="EH46" i="25"/>
  <c r="EH47" i="25"/>
  <c r="EH49" i="25"/>
  <c r="EH48" i="25"/>
  <c r="EH50" i="25"/>
  <c r="EH44" i="25"/>
  <c r="EH51" i="25"/>
  <c r="EH45" i="25"/>
  <c r="EH38" i="25"/>
  <c r="EH41" i="25"/>
  <c r="EH36" i="25"/>
  <c r="EH43" i="25"/>
  <c r="EH35" i="25"/>
  <c r="EH40" i="25"/>
  <c r="EH34" i="25"/>
  <c r="EH33" i="25"/>
  <c r="EH42" i="25"/>
  <c r="EH32" i="25"/>
  <c r="EH25" i="25"/>
  <c r="EH21" i="25"/>
  <c r="EH26" i="25"/>
  <c r="EH20" i="25"/>
  <c r="EH19" i="25"/>
  <c r="EH27" i="25"/>
  <c r="EH22" i="25"/>
  <c r="EH39" i="25"/>
  <c r="EH31" i="25"/>
  <c r="EH28" i="25"/>
  <c r="EH23" i="25"/>
  <c r="EH37" i="25"/>
  <c r="EH30" i="25"/>
  <c r="EH29" i="25"/>
  <c r="EH24" i="25"/>
  <c r="EI5" i="25"/>
  <c r="EH12" i="25"/>
  <c r="DX3" i="25"/>
  <c r="EH13" i="25"/>
  <c r="EH17" i="25"/>
  <c r="EH14" i="25"/>
  <c r="EG4" i="25"/>
  <c r="EH10" i="25"/>
  <c r="EH9" i="25"/>
  <c r="EH8" i="25"/>
  <c r="EH7" i="25"/>
  <c r="EH18" i="25"/>
  <c r="EH15" i="25"/>
  <c r="EH11" i="25"/>
  <c r="EH16" i="25"/>
  <c r="EI114" i="25" l="1"/>
  <c r="EI113" i="25"/>
  <c r="EI112" i="25"/>
  <c r="EI108" i="25"/>
  <c r="EW115" i="25"/>
  <c r="EI107" i="25"/>
  <c r="EI111" i="25"/>
  <c r="EI110" i="25"/>
  <c r="EI104" i="25"/>
  <c r="EI103" i="25"/>
  <c r="EI102" i="25"/>
  <c r="EI101" i="25"/>
  <c r="EI105" i="25"/>
  <c r="EI98" i="25"/>
  <c r="EI109" i="25"/>
  <c r="EI97" i="25"/>
  <c r="EI95" i="25"/>
  <c r="EI92" i="25"/>
  <c r="EI100" i="25"/>
  <c r="EI93" i="25"/>
  <c r="EI91" i="25"/>
  <c r="EI106" i="25"/>
  <c r="EI96" i="25"/>
  <c r="EI90" i="25"/>
  <c r="EI99" i="25"/>
  <c r="EI94" i="25"/>
  <c r="EI86" i="25"/>
  <c r="EI85" i="25"/>
  <c r="EI89" i="25"/>
  <c r="EI84" i="25"/>
  <c r="EI88" i="25"/>
  <c r="EI87" i="25"/>
  <c r="EI81" i="25"/>
  <c r="EI79" i="25"/>
  <c r="EI78" i="25"/>
  <c r="EI82" i="25"/>
  <c r="EI72" i="25"/>
  <c r="EI77" i="25"/>
  <c r="EI71" i="25"/>
  <c r="EI76" i="25"/>
  <c r="EI70" i="25"/>
  <c r="EI83" i="25"/>
  <c r="EI75" i="25"/>
  <c r="EI69" i="25"/>
  <c r="EI80" i="25"/>
  <c r="EI74" i="25"/>
  <c r="EI68" i="25"/>
  <c r="EI60" i="25"/>
  <c r="EI65" i="25"/>
  <c r="EI66" i="25"/>
  <c r="EI64" i="25"/>
  <c r="EI67" i="25"/>
  <c r="EI63" i="25"/>
  <c r="EI73" i="25"/>
  <c r="EI62" i="25"/>
  <c r="EI50" i="25"/>
  <c r="EI55" i="25"/>
  <c r="EI58" i="25"/>
  <c r="EI54" i="25"/>
  <c r="EI57" i="25"/>
  <c r="EI56" i="25"/>
  <c r="EI59" i="25"/>
  <c r="EI53" i="25"/>
  <c r="EI61" i="25"/>
  <c r="EI52" i="25"/>
  <c r="EI46" i="25"/>
  <c r="EI47" i="25"/>
  <c r="EI49" i="25"/>
  <c r="EI48" i="25"/>
  <c r="EI44" i="25"/>
  <c r="EI51" i="25"/>
  <c r="EI45" i="25"/>
  <c r="EI41" i="25"/>
  <c r="EI36" i="25"/>
  <c r="EI43" i="25"/>
  <c r="EI35" i="25"/>
  <c r="EI40" i="25"/>
  <c r="EI34" i="25"/>
  <c r="EI33" i="25"/>
  <c r="EI42" i="25"/>
  <c r="EI38" i="25"/>
  <c r="EI32" i="25"/>
  <c r="EI26" i="25"/>
  <c r="EI39" i="25"/>
  <c r="EI37" i="25"/>
  <c r="EI31" i="25"/>
  <c r="EI25" i="25"/>
  <c r="EI21" i="25"/>
  <c r="EI20" i="25"/>
  <c r="EI19" i="25"/>
  <c r="EI27" i="25"/>
  <c r="EI22" i="25"/>
  <c r="EI28" i="25"/>
  <c r="EI23" i="25"/>
  <c r="EI17" i="25"/>
  <c r="EI30" i="25"/>
  <c r="EI29" i="25"/>
  <c r="EI24" i="25"/>
  <c r="EI16" i="25"/>
  <c r="EI10" i="25"/>
  <c r="EI12" i="25"/>
  <c r="EJ5" i="25"/>
  <c r="EI13" i="25"/>
  <c r="EI14" i="25"/>
  <c r="EI9" i="25"/>
  <c r="EI8" i="25"/>
  <c r="EI7" i="25"/>
  <c r="EI18" i="25"/>
  <c r="EI15" i="25"/>
  <c r="EI11" i="25"/>
  <c r="EJ114" i="25" l="1"/>
  <c r="EJ113" i="25"/>
  <c r="EX115" i="25"/>
  <c r="EJ107" i="25"/>
  <c r="EJ110" i="25"/>
  <c r="EJ104" i="25"/>
  <c r="EJ103" i="25"/>
  <c r="EJ111" i="25"/>
  <c r="EJ101" i="25"/>
  <c r="EJ105" i="25"/>
  <c r="EJ95" i="25"/>
  <c r="EJ108" i="25"/>
  <c r="EJ102" i="25"/>
  <c r="EJ92" i="25"/>
  <c r="EJ106" i="25"/>
  <c r="EJ97" i="25"/>
  <c r="EJ98" i="25"/>
  <c r="EJ100" i="25"/>
  <c r="EJ93" i="25"/>
  <c r="EJ99" i="25"/>
  <c r="EJ109" i="25"/>
  <c r="EJ96" i="25"/>
  <c r="EJ112" i="25"/>
  <c r="EJ94" i="25"/>
  <c r="EJ90" i="25"/>
  <c r="EJ88" i="25"/>
  <c r="EJ89" i="25"/>
  <c r="EJ84" i="25"/>
  <c r="EJ83" i="25"/>
  <c r="EJ91" i="25"/>
  <c r="EJ87" i="25"/>
  <c r="EJ86" i="25"/>
  <c r="EJ81" i="25"/>
  <c r="EJ78" i="25"/>
  <c r="EJ82" i="25"/>
  <c r="EJ80" i="25"/>
  <c r="EJ79" i="25"/>
  <c r="EJ72" i="25"/>
  <c r="EJ85" i="25"/>
  <c r="EJ77" i="25"/>
  <c r="EJ71" i="25"/>
  <c r="EJ76" i="25"/>
  <c r="EJ70" i="25"/>
  <c r="EJ75" i="25"/>
  <c r="EJ69" i="25"/>
  <c r="EJ74" i="25"/>
  <c r="EJ68" i="25"/>
  <c r="EJ65" i="25"/>
  <c r="EJ66" i="25"/>
  <c r="EJ64" i="25"/>
  <c r="EJ67" i="25"/>
  <c r="EJ63" i="25"/>
  <c r="EJ57" i="25"/>
  <c r="EJ73" i="25"/>
  <c r="EJ62" i="25"/>
  <c r="EJ55" i="25"/>
  <c r="EJ58" i="25"/>
  <c r="EJ54" i="25"/>
  <c r="EJ60" i="25"/>
  <c r="EJ56" i="25"/>
  <c r="EJ59" i="25"/>
  <c r="EJ53" i="25"/>
  <c r="EJ61" i="25"/>
  <c r="EJ52" i="25"/>
  <c r="EJ51" i="25"/>
  <c r="EJ45" i="25"/>
  <c r="EJ47" i="25"/>
  <c r="EJ49" i="25"/>
  <c r="EJ48" i="25"/>
  <c r="EJ44" i="25"/>
  <c r="EJ50" i="25"/>
  <c r="EJ46" i="25"/>
  <c r="EJ43" i="25"/>
  <c r="EJ35" i="25"/>
  <c r="EJ40" i="25"/>
  <c r="EJ34" i="25"/>
  <c r="EJ33" i="25"/>
  <c r="EJ42" i="25"/>
  <c r="EJ38" i="25"/>
  <c r="EJ32" i="25"/>
  <c r="EJ39" i="25"/>
  <c r="EJ37" i="25"/>
  <c r="EJ31" i="25"/>
  <c r="EJ36" i="25"/>
  <c r="EJ20" i="25"/>
  <c r="EJ26" i="25"/>
  <c r="EJ19" i="25"/>
  <c r="EJ27" i="25"/>
  <c r="EJ22" i="25"/>
  <c r="EJ18" i="25"/>
  <c r="EJ28" i="25"/>
  <c r="EJ23" i="25"/>
  <c r="EJ41" i="25"/>
  <c r="EJ30" i="25"/>
  <c r="EJ29" i="25"/>
  <c r="EJ24" i="25"/>
  <c r="EJ12" i="25"/>
  <c r="EJ7" i="25"/>
  <c r="EJ13" i="25"/>
  <c r="EJ8" i="25"/>
  <c r="EJ25" i="25"/>
  <c r="EJ17" i="25"/>
  <c r="EJ14" i="25"/>
  <c r="EJ9" i="25"/>
  <c r="EJ15" i="25"/>
  <c r="EJ11" i="25"/>
  <c r="EJ10" i="25"/>
  <c r="EJ21" i="25"/>
  <c r="EJ16" i="25"/>
  <c r="EK5" i="25"/>
  <c r="EK112" i="25" l="1"/>
  <c r="EK113" i="25"/>
  <c r="EY115" i="25"/>
  <c r="EK107" i="25"/>
  <c r="EK114" i="25"/>
  <c r="EK103" i="25"/>
  <c r="EK108" i="25"/>
  <c r="EK105" i="25"/>
  <c r="EK102" i="25"/>
  <c r="EK106" i="25"/>
  <c r="EK110" i="25"/>
  <c r="EK104" i="25"/>
  <c r="EK97" i="25"/>
  <c r="EK111" i="25"/>
  <c r="EK98" i="25"/>
  <c r="EK100" i="25"/>
  <c r="EK95" i="25"/>
  <c r="EK99" i="25"/>
  <c r="EK109" i="25"/>
  <c r="EK94" i="25"/>
  <c r="EK96" i="25"/>
  <c r="EK93" i="25"/>
  <c r="EK92" i="25"/>
  <c r="EK91" i="25"/>
  <c r="EK84" i="25"/>
  <c r="EK90" i="25"/>
  <c r="EK88" i="25"/>
  <c r="EK83" i="25"/>
  <c r="EK87" i="25"/>
  <c r="EK86" i="25"/>
  <c r="EK80" i="25"/>
  <c r="EK85" i="25"/>
  <c r="EK81" i="25"/>
  <c r="EK78" i="25"/>
  <c r="EK82" i="25"/>
  <c r="EK89" i="25"/>
  <c r="EK101" i="25"/>
  <c r="EK77" i="25"/>
  <c r="EK71" i="25"/>
  <c r="EK76" i="25"/>
  <c r="EK70" i="25"/>
  <c r="EK75" i="25"/>
  <c r="EK69" i="25"/>
  <c r="EK74" i="25"/>
  <c r="EK68" i="25"/>
  <c r="EK73" i="25"/>
  <c r="EK79" i="25"/>
  <c r="EK65" i="25"/>
  <c r="EK72" i="25"/>
  <c r="EK66" i="25"/>
  <c r="EK64" i="25"/>
  <c r="EK67" i="25"/>
  <c r="EK63" i="25"/>
  <c r="EK62" i="25"/>
  <c r="EK61" i="25"/>
  <c r="EK55" i="25"/>
  <c r="EK58" i="25"/>
  <c r="EK54" i="25"/>
  <c r="EK60" i="25"/>
  <c r="EK56" i="25"/>
  <c r="EK59" i="25"/>
  <c r="EK57" i="25"/>
  <c r="EK53" i="25"/>
  <c r="EK52" i="25"/>
  <c r="EK51" i="25"/>
  <c r="EK45" i="25"/>
  <c r="EK49" i="25"/>
  <c r="EK48" i="25"/>
  <c r="EK44" i="25"/>
  <c r="EK50" i="25"/>
  <c r="EK46" i="25"/>
  <c r="EK35" i="25"/>
  <c r="EK40" i="25"/>
  <c r="EK34" i="25"/>
  <c r="EK47" i="25"/>
  <c r="EK33" i="25"/>
  <c r="EK42" i="25"/>
  <c r="EK38" i="25"/>
  <c r="EK32" i="25"/>
  <c r="EK39" i="25"/>
  <c r="EK37" i="25"/>
  <c r="EK31" i="25"/>
  <c r="EK25" i="25"/>
  <c r="EK41" i="25"/>
  <c r="EK36" i="25"/>
  <c r="EK30" i="25"/>
  <c r="EK24" i="25"/>
  <c r="EK43" i="25"/>
  <c r="EK20" i="25"/>
  <c r="EK26" i="25"/>
  <c r="EK19" i="25"/>
  <c r="EK27" i="25"/>
  <c r="EK22" i="25"/>
  <c r="EK28" i="25"/>
  <c r="EK23" i="25"/>
  <c r="EK29" i="25"/>
  <c r="EK16" i="25"/>
  <c r="EK21" i="25"/>
  <c r="EK15" i="25"/>
  <c r="EK9" i="25"/>
  <c r="EK13" i="25"/>
  <c r="EK17" i="25"/>
  <c r="EK14" i="25"/>
  <c r="EK8" i="25"/>
  <c r="EK7" i="25"/>
  <c r="EK11" i="25"/>
  <c r="EK10" i="25"/>
  <c r="EK18" i="25"/>
  <c r="EL5" i="25"/>
  <c r="EK12" i="25"/>
  <c r="EL114" i="25" l="1"/>
  <c r="EL113" i="25"/>
  <c r="EZ115" i="25"/>
  <c r="EL110" i="25"/>
  <c r="EL106" i="25"/>
  <c r="EL107" i="25"/>
  <c r="EL103" i="25"/>
  <c r="EL108" i="25"/>
  <c r="EL102" i="25"/>
  <c r="EL105" i="25"/>
  <c r="EL94" i="25"/>
  <c r="EL109" i="25"/>
  <c r="EL111" i="25"/>
  <c r="EL98" i="25"/>
  <c r="EL100" i="25"/>
  <c r="EL95" i="25"/>
  <c r="EL93" i="25"/>
  <c r="EL92" i="25"/>
  <c r="EL99" i="25"/>
  <c r="EL91" i="25"/>
  <c r="EL101" i="25"/>
  <c r="EL96" i="25"/>
  <c r="EL104" i="25"/>
  <c r="EL112" i="25"/>
  <c r="EL97" i="25"/>
  <c r="EL89" i="25"/>
  <c r="EL90" i="25"/>
  <c r="EL88" i="25"/>
  <c r="EL83" i="25"/>
  <c r="EL87" i="25"/>
  <c r="EL86" i="25"/>
  <c r="EL82" i="25"/>
  <c r="EL84" i="25"/>
  <c r="EL80" i="25"/>
  <c r="EL79" i="25"/>
  <c r="EL77" i="25"/>
  <c r="EL71" i="25"/>
  <c r="EL85" i="25"/>
  <c r="EL76" i="25"/>
  <c r="EL70" i="25"/>
  <c r="EL75" i="25"/>
  <c r="EL69" i="25"/>
  <c r="EL78" i="25"/>
  <c r="EL81" i="25"/>
  <c r="EL74" i="25"/>
  <c r="EL68" i="25"/>
  <c r="EL73" i="25"/>
  <c r="EL67" i="25"/>
  <c r="EL65" i="25"/>
  <c r="EL72" i="25"/>
  <c r="EL66" i="25"/>
  <c r="EL64" i="25"/>
  <c r="EL63" i="25"/>
  <c r="EL62" i="25"/>
  <c r="EL56" i="25"/>
  <c r="EL61" i="25"/>
  <c r="EL58" i="25"/>
  <c r="EL54" i="25"/>
  <c r="EL60" i="25"/>
  <c r="EL59" i="25"/>
  <c r="EL57" i="25"/>
  <c r="EL53" i="25"/>
  <c r="EL52" i="25"/>
  <c r="EL51" i="25"/>
  <c r="EL50" i="25"/>
  <c r="EL44" i="25"/>
  <c r="EL49" i="25"/>
  <c r="EL48" i="25"/>
  <c r="EL43" i="25"/>
  <c r="EL45" i="25"/>
  <c r="EL55" i="25"/>
  <c r="EL46" i="25"/>
  <c r="EL47" i="25"/>
  <c r="EL40" i="25"/>
  <c r="EL34" i="25"/>
  <c r="EL33" i="25"/>
  <c r="EL42" i="25"/>
  <c r="EL38" i="25"/>
  <c r="EL32" i="25"/>
  <c r="EL39" i="25"/>
  <c r="EL37" i="25"/>
  <c r="EL41" i="25"/>
  <c r="EL36" i="25"/>
  <c r="EL30" i="25"/>
  <c r="EL26" i="25"/>
  <c r="EL19" i="25"/>
  <c r="EL27" i="25"/>
  <c r="EL22" i="25"/>
  <c r="EL18" i="25"/>
  <c r="EL35" i="25"/>
  <c r="EL28" i="25"/>
  <c r="EL23" i="25"/>
  <c r="EL17" i="25"/>
  <c r="EL31" i="25"/>
  <c r="EL29" i="25"/>
  <c r="EL24" i="25"/>
  <c r="EL21" i="25"/>
  <c r="EL25" i="25"/>
  <c r="EL13" i="25"/>
  <c r="EL14" i="25"/>
  <c r="EL8" i="25"/>
  <c r="EL7" i="25"/>
  <c r="EK3" i="25"/>
  <c r="EL11" i="25"/>
  <c r="EL10" i="25"/>
  <c r="EL9" i="25"/>
  <c r="EL15" i="25"/>
  <c r="EK4" i="25"/>
  <c r="EL16" i="25"/>
  <c r="EM5" i="25"/>
  <c r="EL20" i="25"/>
  <c r="EL12" i="25"/>
  <c r="FA115" i="25" l="1"/>
  <c r="EM111" i="25"/>
  <c r="EM110" i="25"/>
  <c r="EM109" i="25"/>
  <c r="EM108" i="25"/>
  <c r="EM102" i="25"/>
  <c r="EM106" i="25"/>
  <c r="EM105" i="25"/>
  <c r="EM112" i="25"/>
  <c r="EM113" i="25"/>
  <c r="EM98" i="25"/>
  <c r="EM100" i="25"/>
  <c r="EM95" i="25"/>
  <c r="EM93" i="25"/>
  <c r="EM92" i="25"/>
  <c r="EM99" i="25"/>
  <c r="EM101" i="25"/>
  <c r="EM96" i="25"/>
  <c r="EM114" i="25"/>
  <c r="EM104" i="25"/>
  <c r="EM97" i="25"/>
  <c r="EM103" i="25"/>
  <c r="EM94" i="25"/>
  <c r="EM107" i="25"/>
  <c r="EM89" i="25"/>
  <c r="EM91" i="25"/>
  <c r="EM90" i="25"/>
  <c r="EM88" i="25"/>
  <c r="EM83" i="25"/>
  <c r="EM87" i="25"/>
  <c r="EM86" i="25"/>
  <c r="EM85" i="25"/>
  <c r="EM84" i="25"/>
  <c r="EM82" i="25"/>
  <c r="EM80" i="25"/>
  <c r="EM79" i="25"/>
  <c r="EM76" i="25"/>
  <c r="EM70" i="25"/>
  <c r="EM75" i="25"/>
  <c r="EM69" i="25"/>
  <c r="EM78" i="25"/>
  <c r="EM81" i="25"/>
  <c r="EM74" i="25"/>
  <c r="EM68" i="25"/>
  <c r="EM73" i="25"/>
  <c r="EM67" i="25"/>
  <c r="EM72" i="25"/>
  <c r="EM66" i="25"/>
  <c r="EM64" i="25"/>
  <c r="EM63" i="25"/>
  <c r="EM62" i="25"/>
  <c r="EM71" i="25"/>
  <c r="EM61" i="25"/>
  <c r="EM60" i="25"/>
  <c r="EM65" i="25"/>
  <c r="EM58" i="25"/>
  <c r="EM54" i="25"/>
  <c r="EM77" i="25"/>
  <c r="EM59" i="25"/>
  <c r="EM57" i="25"/>
  <c r="EM56" i="25"/>
  <c r="EM53" i="25"/>
  <c r="EM52" i="25"/>
  <c r="EM51" i="25"/>
  <c r="EM50" i="25"/>
  <c r="EM44" i="25"/>
  <c r="EM55" i="25"/>
  <c r="EM45" i="25"/>
  <c r="EM46" i="25"/>
  <c r="EM47" i="25"/>
  <c r="EM42" i="25"/>
  <c r="EM40" i="25"/>
  <c r="EM34" i="25"/>
  <c r="EM49" i="25"/>
  <c r="EM48" i="25"/>
  <c r="EM33" i="25"/>
  <c r="EM38" i="25"/>
  <c r="EM32" i="25"/>
  <c r="EM39" i="25"/>
  <c r="EM37" i="25"/>
  <c r="EM41" i="25"/>
  <c r="EM36" i="25"/>
  <c r="EM30" i="25"/>
  <c r="EM24" i="25"/>
  <c r="EM43" i="25"/>
  <c r="EM35" i="25"/>
  <c r="EM29" i="25"/>
  <c r="EM23" i="25"/>
  <c r="EM19" i="25"/>
  <c r="EM27" i="25"/>
  <c r="EM22" i="25"/>
  <c r="EM18" i="25"/>
  <c r="EM28" i="25"/>
  <c r="EM31" i="25"/>
  <c r="EM21" i="25"/>
  <c r="EM15" i="25"/>
  <c r="EM25" i="25"/>
  <c r="EM20" i="25"/>
  <c r="EM14" i="25"/>
  <c r="EM8" i="25"/>
  <c r="EM17" i="25"/>
  <c r="EM7" i="25"/>
  <c r="EM13" i="25"/>
  <c r="EM26" i="25"/>
  <c r="EM11" i="25"/>
  <c r="EM10" i="25"/>
  <c r="EM9" i="25"/>
  <c r="EN5" i="25"/>
  <c r="EM16" i="25"/>
  <c r="EM12" i="25"/>
  <c r="FB115" i="25" l="1"/>
  <c r="EN114" i="25"/>
  <c r="EN112" i="25"/>
  <c r="EN105" i="25"/>
  <c r="EN102" i="25"/>
  <c r="EN106" i="25"/>
  <c r="EN99" i="25"/>
  <c r="EN113" i="25"/>
  <c r="EN111" i="25"/>
  <c r="EN107" i="25"/>
  <c r="EN108" i="25"/>
  <c r="EN110" i="25"/>
  <c r="EN96" i="25"/>
  <c r="EN95" i="25"/>
  <c r="EN109" i="25"/>
  <c r="EN100" i="25"/>
  <c r="EN91" i="25"/>
  <c r="EN101" i="25"/>
  <c r="EN104" i="25"/>
  <c r="EN103" i="25"/>
  <c r="EN98" i="25"/>
  <c r="EN93" i="25"/>
  <c r="EN94" i="25"/>
  <c r="EN97" i="25"/>
  <c r="EN92" i="25"/>
  <c r="EN89" i="25"/>
  <c r="EN90" i="25"/>
  <c r="EN87" i="25"/>
  <c r="EN86" i="25"/>
  <c r="EN85" i="25"/>
  <c r="EN88" i="25"/>
  <c r="EN84" i="25"/>
  <c r="EN80" i="25"/>
  <c r="EN79" i="25"/>
  <c r="EN81" i="25"/>
  <c r="EN76" i="25"/>
  <c r="EN70" i="25"/>
  <c r="EN75" i="25"/>
  <c r="EN69" i="25"/>
  <c r="EN78" i="25"/>
  <c r="EN74" i="25"/>
  <c r="EN83" i="25"/>
  <c r="EN82" i="25"/>
  <c r="EN73" i="25"/>
  <c r="EN72" i="25"/>
  <c r="EN66" i="25"/>
  <c r="EN64" i="25"/>
  <c r="EN63" i="25"/>
  <c r="EN67" i="25"/>
  <c r="EN62" i="25"/>
  <c r="EN71" i="25"/>
  <c r="EN68" i="25"/>
  <c r="EN61" i="25"/>
  <c r="EN77" i="25"/>
  <c r="EN60" i="25"/>
  <c r="EN59" i="25"/>
  <c r="EN57" i="25"/>
  <c r="EN56" i="25"/>
  <c r="EN53" i="25"/>
  <c r="EN52" i="25"/>
  <c r="EN51" i="25"/>
  <c r="EN50" i="25"/>
  <c r="EN55" i="25"/>
  <c r="EN49" i="25"/>
  <c r="EN43" i="25"/>
  <c r="EN65" i="25"/>
  <c r="EN58" i="25"/>
  <c r="EN44" i="25"/>
  <c r="EN45" i="25"/>
  <c r="EN46" i="25"/>
  <c r="EN47" i="25"/>
  <c r="EN54" i="25"/>
  <c r="EN42" i="25"/>
  <c r="EN48" i="25"/>
  <c r="EN40" i="25"/>
  <c r="EN33" i="25"/>
  <c r="EN38" i="25"/>
  <c r="EN32" i="25"/>
  <c r="EN39" i="25"/>
  <c r="EN37" i="25"/>
  <c r="EN41" i="25"/>
  <c r="EN36" i="25"/>
  <c r="EN35" i="25"/>
  <c r="EN27" i="25"/>
  <c r="EN22" i="25"/>
  <c r="EN18" i="25"/>
  <c r="EN28" i="25"/>
  <c r="EN23" i="25"/>
  <c r="EN31" i="25"/>
  <c r="EN29" i="25"/>
  <c r="EN34" i="25"/>
  <c r="EN24" i="25"/>
  <c r="EN30" i="25"/>
  <c r="EN21" i="25"/>
  <c r="EN25" i="25"/>
  <c r="EN20" i="25"/>
  <c r="EN26" i="25"/>
  <c r="EN19" i="25"/>
  <c r="EN17" i="25"/>
  <c r="EN14" i="25"/>
  <c r="EN7" i="25"/>
  <c r="EN11" i="25"/>
  <c r="EN10" i="25"/>
  <c r="EN9" i="25"/>
  <c r="EN8" i="25"/>
  <c r="EN15" i="25"/>
  <c r="EN16" i="25"/>
  <c r="EO5" i="25"/>
  <c r="EN12" i="25"/>
  <c r="EN13" i="25"/>
  <c r="EO114" i="25" l="1"/>
  <c r="FC115" i="25"/>
  <c r="EO112" i="25"/>
  <c r="EO109" i="25"/>
  <c r="EO106" i="25"/>
  <c r="EO105" i="25"/>
  <c r="EO101" i="25"/>
  <c r="EO113" i="25"/>
  <c r="EO111" i="25"/>
  <c r="EO104" i="25"/>
  <c r="EO110" i="25"/>
  <c r="EO103" i="25"/>
  <c r="EO96" i="25"/>
  <c r="EO95" i="25"/>
  <c r="EO94" i="25"/>
  <c r="EO100" i="25"/>
  <c r="EO91" i="25"/>
  <c r="EO99" i="25"/>
  <c r="EO108" i="25"/>
  <c r="EO102" i="25"/>
  <c r="EO90" i="25"/>
  <c r="EO97" i="25"/>
  <c r="EO92" i="25"/>
  <c r="EO93" i="25"/>
  <c r="EO98" i="25"/>
  <c r="EO89" i="25"/>
  <c r="EO107" i="25"/>
  <c r="EO87" i="25"/>
  <c r="EO86" i="25"/>
  <c r="EO85" i="25"/>
  <c r="EO84" i="25"/>
  <c r="EO88" i="25"/>
  <c r="EO80" i="25"/>
  <c r="EO79" i="25"/>
  <c r="EO81" i="25"/>
  <c r="EO83" i="25"/>
  <c r="EO75" i="25"/>
  <c r="EO69" i="25"/>
  <c r="EO78" i="25"/>
  <c r="EO74" i="25"/>
  <c r="EO68" i="25"/>
  <c r="EO82" i="25"/>
  <c r="EO73" i="25"/>
  <c r="EO72" i="25"/>
  <c r="EO66" i="25"/>
  <c r="EO77" i="25"/>
  <c r="EO71" i="25"/>
  <c r="EO63" i="25"/>
  <c r="EO67" i="25"/>
  <c r="EO62" i="25"/>
  <c r="EO76" i="25"/>
  <c r="EO61" i="25"/>
  <c r="EO60" i="25"/>
  <c r="EO65" i="25"/>
  <c r="EO59" i="25"/>
  <c r="EO57" i="25"/>
  <c r="EO56" i="25"/>
  <c r="EO53" i="25"/>
  <c r="EO52" i="25"/>
  <c r="EO70" i="25"/>
  <c r="EO51" i="25"/>
  <c r="EO64" i="25"/>
  <c r="EO50" i="25"/>
  <c r="EO55" i="25"/>
  <c r="EO49" i="25"/>
  <c r="EO43" i="25"/>
  <c r="EO58" i="25"/>
  <c r="EO54" i="25"/>
  <c r="EO44" i="25"/>
  <c r="EO45" i="25"/>
  <c r="EO46" i="25"/>
  <c r="EO47" i="25"/>
  <c r="EO42" i="25"/>
  <c r="EO48" i="25"/>
  <c r="EO40" i="25"/>
  <c r="EO33" i="25"/>
  <c r="EO38" i="25"/>
  <c r="EO32" i="25"/>
  <c r="EO39" i="25"/>
  <c r="EO37" i="25"/>
  <c r="EO41" i="25"/>
  <c r="EO36" i="25"/>
  <c r="EO35" i="25"/>
  <c r="EO29" i="25"/>
  <c r="EO23" i="25"/>
  <c r="EO34" i="25"/>
  <c r="EO28" i="25"/>
  <c r="EO22" i="25"/>
  <c r="EO18" i="25"/>
  <c r="EO31" i="25"/>
  <c r="EO24" i="25"/>
  <c r="EO30" i="25"/>
  <c r="EO21" i="25"/>
  <c r="EO25" i="25"/>
  <c r="EO20" i="25"/>
  <c r="EO14" i="25"/>
  <c r="EO26" i="25"/>
  <c r="EO19" i="25"/>
  <c r="EO13" i="25"/>
  <c r="EO7" i="25"/>
  <c r="EO17" i="25"/>
  <c r="EP5" i="25"/>
  <c r="EO11" i="25"/>
  <c r="EO10" i="25"/>
  <c r="EO9" i="25"/>
  <c r="EO8" i="25"/>
  <c r="EO27" i="25"/>
  <c r="EO15" i="25"/>
  <c r="EO16" i="25"/>
  <c r="EO12" i="25"/>
  <c r="EP114" i="25" l="1"/>
  <c r="EP111" i="25"/>
  <c r="FD115" i="25"/>
  <c r="EP109" i="25"/>
  <c r="EP105" i="25"/>
  <c r="EP101" i="25"/>
  <c r="EP113" i="25"/>
  <c r="EP104" i="25"/>
  <c r="EP100" i="25"/>
  <c r="EP112" i="25"/>
  <c r="EP106" i="25"/>
  <c r="EP107" i="25"/>
  <c r="EP98" i="25"/>
  <c r="EP110" i="25"/>
  <c r="EP96" i="25"/>
  <c r="EP95" i="25"/>
  <c r="EP94" i="25"/>
  <c r="EP99" i="25"/>
  <c r="EP108" i="25"/>
  <c r="EP90" i="25"/>
  <c r="EP102" i="25"/>
  <c r="EP97" i="25"/>
  <c r="EP93" i="25"/>
  <c r="EP103" i="25"/>
  <c r="EP89" i="25"/>
  <c r="EP91" i="25"/>
  <c r="EP92" i="25"/>
  <c r="EP87" i="25"/>
  <c r="EP86" i="25"/>
  <c r="EP85" i="25"/>
  <c r="EP84" i="25"/>
  <c r="EP88" i="25"/>
  <c r="EP80" i="25"/>
  <c r="EP79" i="25"/>
  <c r="EP81" i="25"/>
  <c r="EP78" i="25"/>
  <c r="EP83" i="25"/>
  <c r="EP82" i="25"/>
  <c r="EP75" i="25"/>
  <c r="EP69" i="25"/>
  <c r="EP74" i="25"/>
  <c r="EP73" i="25"/>
  <c r="EP72" i="25"/>
  <c r="EP77" i="25"/>
  <c r="EP71" i="25"/>
  <c r="EP66" i="25"/>
  <c r="EP63" i="25"/>
  <c r="EP67" i="25"/>
  <c r="EP62" i="25"/>
  <c r="EP76" i="25"/>
  <c r="EP68" i="25"/>
  <c r="EP60" i="25"/>
  <c r="EP65" i="25"/>
  <c r="EP59" i="25"/>
  <c r="EP52" i="25"/>
  <c r="EP70" i="25"/>
  <c r="EP51" i="25"/>
  <c r="EP64" i="25"/>
  <c r="EP61" i="25"/>
  <c r="EP55" i="25"/>
  <c r="EP49" i="25"/>
  <c r="EP58" i="25"/>
  <c r="EP54" i="25"/>
  <c r="EP48" i="25"/>
  <c r="EP42" i="25"/>
  <c r="EP53" i="25"/>
  <c r="EP44" i="25"/>
  <c r="EP57" i="25"/>
  <c r="EP45" i="25"/>
  <c r="EP50" i="25"/>
  <c r="EP56" i="25"/>
  <c r="EP46" i="25"/>
  <c r="EP47" i="25"/>
  <c r="EP40" i="25"/>
  <c r="EP39" i="25"/>
  <c r="EP38" i="25"/>
  <c r="EP32" i="25"/>
  <c r="EP37" i="25"/>
  <c r="EP41" i="25"/>
  <c r="EP36" i="25"/>
  <c r="EP35" i="25"/>
  <c r="EP43" i="25"/>
  <c r="EP34" i="25"/>
  <c r="EP28" i="25"/>
  <c r="EP31" i="25"/>
  <c r="EP23" i="25"/>
  <c r="EP29" i="25"/>
  <c r="EP24" i="25"/>
  <c r="EP30" i="25"/>
  <c r="EP21" i="25"/>
  <c r="EP25" i="25"/>
  <c r="EP20" i="25"/>
  <c r="EP26" i="25"/>
  <c r="EP33" i="25"/>
  <c r="EP19" i="25"/>
  <c r="EP27" i="25"/>
  <c r="EP14" i="25"/>
  <c r="EP11" i="25"/>
  <c r="EP10" i="25"/>
  <c r="EP9" i="25"/>
  <c r="EP8" i="25"/>
  <c r="EP7" i="25"/>
  <c r="EO4" i="25"/>
  <c r="EP15" i="25"/>
  <c r="EQ5" i="25"/>
  <c r="EP16" i="25"/>
  <c r="EP18" i="25"/>
  <c r="EP22" i="25"/>
  <c r="EP12" i="25"/>
  <c r="EP17" i="25"/>
  <c r="EP13" i="25"/>
  <c r="EQ113" i="25" l="1"/>
  <c r="FE115" i="25"/>
  <c r="EQ114" i="25"/>
  <c r="EQ110" i="25"/>
  <c r="EQ111" i="25"/>
  <c r="EQ109" i="25"/>
  <c r="EQ112" i="25"/>
  <c r="EQ100" i="25"/>
  <c r="EQ106" i="25"/>
  <c r="EQ108" i="25"/>
  <c r="EQ105" i="25"/>
  <c r="EQ107" i="25"/>
  <c r="EQ98" i="25"/>
  <c r="EQ103" i="25"/>
  <c r="EQ99" i="25"/>
  <c r="EQ104" i="25"/>
  <c r="EQ97" i="25"/>
  <c r="EQ95" i="25"/>
  <c r="EQ90" i="25"/>
  <c r="EQ101" i="25"/>
  <c r="EQ102" i="25"/>
  <c r="EQ96" i="25"/>
  <c r="EQ94" i="25"/>
  <c r="EQ89" i="25"/>
  <c r="EQ91" i="25"/>
  <c r="EQ88" i="25"/>
  <c r="EQ87" i="25"/>
  <c r="EQ86" i="25"/>
  <c r="EQ85" i="25"/>
  <c r="EQ84" i="25"/>
  <c r="EQ83" i="25"/>
  <c r="EQ92" i="25"/>
  <c r="EQ80" i="25"/>
  <c r="EQ79" i="25"/>
  <c r="EQ81" i="25"/>
  <c r="EQ78" i="25"/>
  <c r="EQ82" i="25"/>
  <c r="EQ93" i="25"/>
  <c r="EQ74" i="25"/>
  <c r="EQ68" i="25"/>
  <c r="EQ73" i="25"/>
  <c r="EQ67" i="25"/>
  <c r="EQ72" i="25"/>
  <c r="EQ77" i="25"/>
  <c r="EQ71" i="25"/>
  <c r="EQ76" i="25"/>
  <c r="EQ70" i="25"/>
  <c r="EQ62" i="25"/>
  <c r="EQ69" i="25"/>
  <c r="EQ65" i="25"/>
  <c r="EQ75" i="25"/>
  <c r="EQ64" i="25"/>
  <c r="EQ58" i="25"/>
  <c r="EQ60" i="25"/>
  <c r="EQ52" i="25"/>
  <c r="EQ51" i="25"/>
  <c r="EQ61" i="25"/>
  <c r="EQ55" i="25"/>
  <c r="EQ54" i="25"/>
  <c r="EQ48" i="25"/>
  <c r="EQ42" i="25"/>
  <c r="EQ66" i="25"/>
  <c r="EQ63" i="25"/>
  <c r="EQ57" i="25"/>
  <c r="EQ56" i="25"/>
  <c r="EQ53" i="25"/>
  <c r="EQ59" i="25"/>
  <c r="EQ45" i="25"/>
  <c r="EQ50" i="25"/>
  <c r="EQ46" i="25"/>
  <c r="EQ47" i="25"/>
  <c r="EQ49" i="25"/>
  <c r="EQ43" i="25"/>
  <c r="EQ41" i="25"/>
  <c r="EQ38" i="25"/>
  <c r="EQ32" i="25"/>
  <c r="EQ37" i="25"/>
  <c r="EQ31" i="25"/>
  <c r="EQ39" i="25"/>
  <c r="EQ36" i="25"/>
  <c r="EQ44" i="25"/>
  <c r="EQ35" i="25"/>
  <c r="EQ34" i="25"/>
  <c r="EQ28" i="25"/>
  <c r="EQ22" i="25"/>
  <c r="EQ33" i="25"/>
  <c r="EQ27" i="25"/>
  <c r="EQ17" i="25"/>
  <c r="EQ23" i="25"/>
  <c r="EQ29" i="25"/>
  <c r="EQ24" i="25"/>
  <c r="EQ30" i="25"/>
  <c r="EQ21" i="25"/>
  <c r="EQ25" i="25"/>
  <c r="EQ20" i="25"/>
  <c r="EQ40" i="25"/>
  <c r="EQ26" i="25"/>
  <c r="EQ19" i="25"/>
  <c r="EQ13" i="25"/>
  <c r="EQ18" i="25"/>
  <c r="EQ12" i="25"/>
  <c r="EQ9" i="25"/>
  <c r="EQ8" i="25"/>
  <c r="EQ15" i="25"/>
  <c r="EQ16" i="25"/>
  <c r="ER5" i="25"/>
  <c r="EQ11" i="25"/>
  <c r="EQ14" i="25"/>
  <c r="EQ10" i="25"/>
  <c r="EQ7" i="25"/>
  <c r="FF115" i="25" l="1"/>
  <c r="ER112" i="25"/>
  <c r="ER111" i="25"/>
  <c r="ER113" i="25"/>
  <c r="ER100" i="25"/>
  <c r="ER106" i="25"/>
  <c r="ER108" i="25"/>
  <c r="ER107" i="25"/>
  <c r="ER103" i="25"/>
  <c r="ER99" i="25"/>
  <c r="ER110" i="25"/>
  <c r="ER109" i="25"/>
  <c r="ER97" i="25"/>
  <c r="ER105" i="25"/>
  <c r="ER101" i="25"/>
  <c r="ER102" i="25"/>
  <c r="ER96" i="25"/>
  <c r="ER89" i="25"/>
  <c r="ER94" i="25"/>
  <c r="ER114" i="25"/>
  <c r="ER92" i="25"/>
  <c r="ER98" i="25"/>
  <c r="ER104" i="25"/>
  <c r="ER91" i="25"/>
  <c r="ER90" i="25"/>
  <c r="ER85" i="25"/>
  <c r="ER95" i="25"/>
  <c r="ER84" i="25"/>
  <c r="ER83" i="25"/>
  <c r="ER93" i="25"/>
  <c r="ER88" i="25"/>
  <c r="ER80" i="25"/>
  <c r="ER87" i="25"/>
  <c r="ER79" i="25"/>
  <c r="ER81" i="25"/>
  <c r="ER86" i="25"/>
  <c r="ER82" i="25"/>
  <c r="ER74" i="25"/>
  <c r="ER68" i="25"/>
  <c r="ER78" i="25"/>
  <c r="ER73" i="25"/>
  <c r="ER72" i="25"/>
  <c r="ER77" i="25"/>
  <c r="ER71" i="25"/>
  <c r="ER76" i="25"/>
  <c r="ER70" i="25"/>
  <c r="ER67" i="25"/>
  <c r="ER62" i="25"/>
  <c r="ER61" i="25"/>
  <c r="ER69" i="25"/>
  <c r="ER65" i="25"/>
  <c r="ER59" i="25"/>
  <c r="ER75" i="25"/>
  <c r="ER64" i="25"/>
  <c r="ER55" i="25"/>
  <c r="ER54" i="25"/>
  <c r="ER66" i="25"/>
  <c r="ER58" i="25"/>
  <c r="ER63" i="25"/>
  <c r="ER57" i="25"/>
  <c r="ER56" i="25"/>
  <c r="ER53" i="25"/>
  <c r="ER47" i="25"/>
  <c r="ER60" i="25"/>
  <c r="ER45" i="25"/>
  <c r="ER50" i="25"/>
  <c r="ER46" i="25"/>
  <c r="ER51" i="25"/>
  <c r="ER52" i="25"/>
  <c r="ER48" i="25"/>
  <c r="ER39" i="25"/>
  <c r="ER49" i="25"/>
  <c r="ER43" i="25"/>
  <c r="ER41" i="25"/>
  <c r="ER44" i="25"/>
  <c r="ER38" i="25"/>
  <c r="ER37" i="25"/>
  <c r="ER31" i="25"/>
  <c r="ER36" i="25"/>
  <c r="ER42" i="25"/>
  <c r="ER35" i="25"/>
  <c r="ER34" i="25"/>
  <c r="ER33" i="25"/>
  <c r="ER40" i="25"/>
  <c r="ER32" i="25"/>
  <c r="ER28" i="25"/>
  <c r="ER23" i="25"/>
  <c r="ER29" i="25"/>
  <c r="ER24" i="25"/>
  <c r="ER30" i="25"/>
  <c r="ER21" i="25"/>
  <c r="ER25" i="25"/>
  <c r="ER20" i="25"/>
  <c r="ER26" i="25"/>
  <c r="ER19" i="25"/>
  <c r="ER27" i="25"/>
  <c r="ER18" i="25"/>
  <c r="ER22" i="25"/>
  <c r="ER15" i="25"/>
  <c r="ER16" i="25"/>
  <c r="ES5" i="25"/>
  <c r="ER12" i="25"/>
  <c r="ER13" i="25"/>
  <c r="ER8" i="25"/>
  <c r="ER17" i="25"/>
  <c r="ER14" i="25"/>
  <c r="ER11" i="25"/>
  <c r="ER10" i="25"/>
  <c r="ER9" i="25"/>
  <c r="ER7" i="25"/>
  <c r="ES109" i="25" l="1"/>
  <c r="ES112" i="25"/>
  <c r="ES113" i="25"/>
  <c r="ES108" i="25"/>
  <c r="FG115" i="25"/>
  <c r="ES114" i="25"/>
  <c r="ES111" i="25"/>
  <c r="ES110" i="25"/>
  <c r="ES99" i="25"/>
  <c r="ES103" i="25"/>
  <c r="ES97" i="25"/>
  <c r="ES104" i="25"/>
  <c r="ES106" i="25"/>
  <c r="ES105" i="25"/>
  <c r="ES100" i="25"/>
  <c r="ES101" i="25"/>
  <c r="ES102" i="25"/>
  <c r="ES96" i="25"/>
  <c r="ES89" i="25"/>
  <c r="ES94" i="25"/>
  <c r="ES95" i="25"/>
  <c r="ES98" i="25"/>
  <c r="ES91" i="25"/>
  <c r="ES107" i="25"/>
  <c r="ES90" i="25"/>
  <c r="ES88" i="25"/>
  <c r="ES87" i="25"/>
  <c r="ES93" i="25"/>
  <c r="ES92" i="25"/>
  <c r="ES85" i="25"/>
  <c r="ES84" i="25"/>
  <c r="ES82" i="25"/>
  <c r="ES86" i="25"/>
  <c r="ES80" i="25"/>
  <c r="ES79" i="25"/>
  <c r="ES81" i="25"/>
  <c r="ES83" i="25"/>
  <c r="ES78" i="25"/>
  <c r="ES73" i="25"/>
  <c r="ES72" i="25"/>
  <c r="ES77" i="25"/>
  <c r="ES71" i="25"/>
  <c r="ES76" i="25"/>
  <c r="ES70" i="25"/>
  <c r="ES75" i="25"/>
  <c r="ES69" i="25"/>
  <c r="ES61" i="25"/>
  <c r="ES74" i="25"/>
  <c r="ES68" i="25"/>
  <c r="ES65" i="25"/>
  <c r="ES64" i="25"/>
  <c r="ES66" i="25"/>
  <c r="ES63" i="25"/>
  <c r="ES51" i="25"/>
  <c r="ES62" i="25"/>
  <c r="ES55" i="25"/>
  <c r="ES54" i="25"/>
  <c r="ES58" i="25"/>
  <c r="ES67" i="25"/>
  <c r="ES57" i="25"/>
  <c r="ES56" i="25"/>
  <c r="ES53" i="25"/>
  <c r="ES47" i="25"/>
  <c r="ES41" i="25"/>
  <c r="ES60" i="25"/>
  <c r="ES59" i="25"/>
  <c r="ES50" i="25"/>
  <c r="ES46" i="25"/>
  <c r="ES52" i="25"/>
  <c r="ES48" i="25"/>
  <c r="ES49" i="25"/>
  <c r="ES43" i="25"/>
  <c r="ES44" i="25"/>
  <c r="ES37" i="25"/>
  <c r="ES31" i="25"/>
  <c r="ES39" i="25"/>
  <c r="ES36" i="25"/>
  <c r="ES42" i="25"/>
  <c r="ES45" i="25"/>
  <c r="ES35" i="25"/>
  <c r="ES34" i="25"/>
  <c r="ES33" i="25"/>
  <c r="ES27" i="25"/>
  <c r="ES40" i="25"/>
  <c r="ES32" i="25"/>
  <c r="ES26" i="25"/>
  <c r="ES29" i="25"/>
  <c r="ES24" i="25"/>
  <c r="ES30" i="25"/>
  <c r="ES21" i="25"/>
  <c r="ES25" i="25"/>
  <c r="ES20" i="25"/>
  <c r="ES19" i="25"/>
  <c r="ES38" i="25"/>
  <c r="ES18" i="25"/>
  <c r="ES12" i="25"/>
  <c r="ES22" i="25"/>
  <c r="ES17" i="25"/>
  <c r="ES11" i="25"/>
  <c r="ES15" i="25"/>
  <c r="ES28" i="25"/>
  <c r="ES16" i="25"/>
  <c r="ET5" i="25"/>
  <c r="ES23" i="25"/>
  <c r="ES13" i="25"/>
  <c r="ES14" i="25"/>
  <c r="ES10" i="25"/>
  <c r="ES9" i="25"/>
  <c r="ES8" i="25"/>
  <c r="ES7" i="25"/>
  <c r="ET114" i="25" l="1"/>
  <c r="FH115" i="25"/>
  <c r="ET113" i="25"/>
  <c r="ET112" i="25"/>
  <c r="ET111" i="25"/>
  <c r="ET110" i="25"/>
  <c r="ET108" i="25"/>
  <c r="ET99" i="25"/>
  <c r="ET104" i="25"/>
  <c r="ET101" i="25"/>
  <c r="ET109" i="25"/>
  <c r="ET96" i="25"/>
  <c r="ET102" i="25"/>
  <c r="ET100" i="25"/>
  <c r="ET97" i="25"/>
  <c r="ET93" i="25"/>
  <c r="ET103" i="25"/>
  <c r="ET105" i="25"/>
  <c r="ET94" i="25"/>
  <c r="ET107" i="25"/>
  <c r="ET98" i="25"/>
  <c r="ET106" i="25"/>
  <c r="ET91" i="25"/>
  <c r="ET89" i="25"/>
  <c r="ET90" i="25"/>
  <c r="ET92" i="25"/>
  <c r="ET85" i="25"/>
  <c r="ET95" i="25"/>
  <c r="ET84" i="25"/>
  <c r="ET88" i="25"/>
  <c r="ET82" i="25"/>
  <c r="ET87" i="25"/>
  <c r="ET80" i="25"/>
  <c r="ET79" i="25"/>
  <c r="ET81" i="25"/>
  <c r="ET86" i="25"/>
  <c r="ET83" i="25"/>
  <c r="ET73" i="25"/>
  <c r="ET72" i="25"/>
  <c r="ET77" i="25"/>
  <c r="ET71" i="25"/>
  <c r="ET76" i="25"/>
  <c r="ET70" i="25"/>
  <c r="ET75" i="25"/>
  <c r="ET69" i="25"/>
  <c r="ET61" i="25"/>
  <c r="ET74" i="25"/>
  <c r="ET68" i="25"/>
  <c r="ET65" i="25"/>
  <c r="ET64" i="25"/>
  <c r="ET58" i="25"/>
  <c r="ET66" i="25"/>
  <c r="ET63" i="25"/>
  <c r="ET62" i="25"/>
  <c r="ET55" i="25"/>
  <c r="ET54" i="25"/>
  <c r="ET67" i="25"/>
  <c r="ET57" i="25"/>
  <c r="ET56" i="25"/>
  <c r="ET53" i="25"/>
  <c r="ET78" i="25"/>
  <c r="ET60" i="25"/>
  <c r="ET59" i="25"/>
  <c r="ET52" i="25"/>
  <c r="ET46" i="25"/>
  <c r="ET47" i="25"/>
  <c r="ET51" i="25"/>
  <c r="ET48" i="25"/>
  <c r="ET49" i="25"/>
  <c r="ET44" i="25"/>
  <c r="ET41" i="25"/>
  <c r="ET38" i="25"/>
  <c r="ET45" i="25"/>
  <c r="ET39" i="25"/>
  <c r="ET36" i="25"/>
  <c r="ET42" i="25"/>
  <c r="ET50" i="25"/>
  <c r="ET35" i="25"/>
  <c r="ET34" i="25"/>
  <c r="ET33" i="25"/>
  <c r="ET43" i="25"/>
  <c r="ET40" i="25"/>
  <c r="ET32" i="25"/>
  <c r="ET29" i="25"/>
  <c r="ET24" i="25"/>
  <c r="ET31" i="25"/>
  <c r="ET30" i="25"/>
  <c r="ET21" i="25"/>
  <c r="ET25" i="25"/>
  <c r="ET20" i="25"/>
  <c r="ET26" i="25"/>
  <c r="ET19" i="25"/>
  <c r="ET18" i="25"/>
  <c r="ET27" i="25"/>
  <c r="ET22" i="25"/>
  <c r="ET37" i="25"/>
  <c r="ET28" i="25"/>
  <c r="ET23" i="25"/>
  <c r="ET16" i="25"/>
  <c r="EU5" i="25"/>
  <c r="ET12" i="25"/>
  <c r="ET13" i="25"/>
  <c r="ET14" i="25"/>
  <c r="ET10" i="25"/>
  <c r="ET9" i="25"/>
  <c r="ET8" i="25"/>
  <c r="ET7" i="25"/>
  <c r="ET17" i="25"/>
  <c r="ET11" i="25"/>
  <c r="ET15" i="25"/>
  <c r="EU111" i="25" l="1"/>
  <c r="FI115" i="25"/>
  <c r="EU110" i="25"/>
  <c r="EU114" i="25"/>
  <c r="EU112" i="25"/>
  <c r="EU108" i="25"/>
  <c r="EU107" i="25"/>
  <c r="EU104" i="25"/>
  <c r="EU113" i="25"/>
  <c r="EU102" i="25"/>
  <c r="EU109" i="25"/>
  <c r="EU99" i="25"/>
  <c r="EU100" i="25"/>
  <c r="EU106" i="25"/>
  <c r="EU101" i="25"/>
  <c r="EU97" i="25"/>
  <c r="EU98" i="25"/>
  <c r="EU105" i="25"/>
  <c r="EU96" i="25"/>
  <c r="EU94" i="25"/>
  <c r="EU92" i="25"/>
  <c r="EU95" i="25"/>
  <c r="EU89" i="25"/>
  <c r="EU103" i="25"/>
  <c r="EU91" i="25"/>
  <c r="EU90" i="25"/>
  <c r="EU93" i="25"/>
  <c r="EU86" i="25"/>
  <c r="EU85" i="25"/>
  <c r="EU84" i="25"/>
  <c r="EU88" i="25"/>
  <c r="EU81" i="25"/>
  <c r="EU79" i="25"/>
  <c r="EU87" i="25"/>
  <c r="EU78" i="25"/>
  <c r="EU83" i="25"/>
  <c r="EU82" i="25"/>
  <c r="EU72" i="25"/>
  <c r="EU77" i="25"/>
  <c r="EU71" i="25"/>
  <c r="EU76" i="25"/>
  <c r="EU70" i="25"/>
  <c r="EU80" i="25"/>
  <c r="EU75" i="25"/>
  <c r="EU69" i="25"/>
  <c r="EU74" i="25"/>
  <c r="EU68" i="25"/>
  <c r="EU60" i="25"/>
  <c r="EU65" i="25"/>
  <c r="EU64" i="25"/>
  <c r="EU73" i="25"/>
  <c r="EU66" i="25"/>
  <c r="EU63" i="25"/>
  <c r="EU67" i="25"/>
  <c r="EU62" i="25"/>
  <c r="EU50" i="25"/>
  <c r="EU55" i="25"/>
  <c r="EU61" i="25"/>
  <c r="EU54" i="25"/>
  <c r="EU58" i="25"/>
  <c r="EU57" i="25"/>
  <c r="EU56" i="25"/>
  <c r="EU53" i="25"/>
  <c r="EU59" i="25"/>
  <c r="EU52" i="25"/>
  <c r="EU46" i="25"/>
  <c r="EU47" i="25"/>
  <c r="EU51" i="25"/>
  <c r="EU48" i="25"/>
  <c r="EU49" i="25"/>
  <c r="EU44" i="25"/>
  <c r="EU45" i="25"/>
  <c r="EU39" i="25"/>
  <c r="EU36" i="25"/>
  <c r="EU42" i="25"/>
  <c r="EU35" i="25"/>
  <c r="EU41" i="25"/>
  <c r="EU34" i="25"/>
  <c r="EU33" i="25"/>
  <c r="EU43" i="25"/>
  <c r="EU40" i="25"/>
  <c r="EU32" i="25"/>
  <c r="EU26" i="25"/>
  <c r="EU38" i="25"/>
  <c r="EU37" i="25"/>
  <c r="EU31" i="25"/>
  <c r="EU25" i="25"/>
  <c r="EU30" i="25"/>
  <c r="EU21" i="25"/>
  <c r="EU20" i="25"/>
  <c r="EU19" i="25"/>
  <c r="EU27" i="25"/>
  <c r="EU22" i="25"/>
  <c r="EU17" i="25"/>
  <c r="EU28" i="25"/>
  <c r="EU23" i="25"/>
  <c r="EU16" i="25"/>
  <c r="EU10" i="25"/>
  <c r="EU29" i="25"/>
  <c r="EU12" i="25"/>
  <c r="EU24" i="25"/>
  <c r="EU18" i="25"/>
  <c r="ET4" i="25"/>
  <c r="EU13" i="25"/>
  <c r="EU14" i="25"/>
  <c r="EU9" i="25"/>
  <c r="EU8" i="25"/>
  <c r="EU7" i="25"/>
  <c r="EU11" i="25"/>
  <c r="EU15" i="25"/>
  <c r="EV5" i="25"/>
  <c r="EV114" i="25" l="1"/>
  <c r="EV111" i="25"/>
  <c r="FJ115" i="25"/>
  <c r="EV112" i="25"/>
  <c r="EV108" i="25"/>
  <c r="EV107" i="25"/>
  <c r="EV104" i="25"/>
  <c r="EV113" i="25"/>
  <c r="EV103" i="25"/>
  <c r="EV109" i="25"/>
  <c r="EV110" i="25"/>
  <c r="EV100" i="25"/>
  <c r="EV95" i="25"/>
  <c r="EV98" i="25"/>
  <c r="EV92" i="25"/>
  <c r="EV101" i="25"/>
  <c r="EV102" i="25"/>
  <c r="EV99" i="25"/>
  <c r="EV93" i="25"/>
  <c r="EV97" i="25"/>
  <c r="EV96" i="25"/>
  <c r="EV106" i="25"/>
  <c r="EV89" i="25"/>
  <c r="EV91" i="25"/>
  <c r="EV105" i="25"/>
  <c r="EV90" i="25"/>
  <c r="EV88" i="25"/>
  <c r="EV94" i="25"/>
  <c r="EV84" i="25"/>
  <c r="EV83" i="25"/>
  <c r="EV81" i="25"/>
  <c r="EV87" i="25"/>
  <c r="EV86" i="25"/>
  <c r="EV78" i="25"/>
  <c r="EV82" i="25"/>
  <c r="EV85" i="25"/>
  <c r="EV72" i="25"/>
  <c r="EV77" i="25"/>
  <c r="EV71" i="25"/>
  <c r="EV76" i="25"/>
  <c r="EV70" i="25"/>
  <c r="EV80" i="25"/>
  <c r="EV75" i="25"/>
  <c r="EV69" i="25"/>
  <c r="EV74" i="25"/>
  <c r="EV68" i="25"/>
  <c r="EV65" i="25"/>
  <c r="EV64" i="25"/>
  <c r="EV73" i="25"/>
  <c r="EV66" i="25"/>
  <c r="EV63" i="25"/>
  <c r="EV57" i="25"/>
  <c r="EV67" i="25"/>
  <c r="EV62" i="25"/>
  <c r="EV55" i="25"/>
  <c r="EV61" i="25"/>
  <c r="EV54" i="25"/>
  <c r="EV79" i="25"/>
  <c r="EV58" i="25"/>
  <c r="EV56" i="25"/>
  <c r="EV53" i="25"/>
  <c r="EV59" i="25"/>
  <c r="EV52" i="25"/>
  <c r="EV60" i="25"/>
  <c r="EV51" i="25"/>
  <c r="EV45" i="25"/>
  <c r="EV46" i="25"/>
  <c r="EV47" i="25"/>
  <c r="EV48" i="25"/>
  <c r="EV49" i="25"/>
  <c r="EV44" i="25"/>
  <c r="EV50" i="25"/>
  <c r="EV42" i="25"/>
  <c r="EV35" i="25"/>
  <c r="EV41" i="25"/>
  <c r="EV34" i="25"/>
  <c r="EV33" i="25"/>
  <c r="EV43" i="25"/>
  <c r="EV40" i="25"/>
  <c r="EV32" i="25"/>
  <c r="EV38" i="25"/>
  <c r="EV37" i="25"/>
  <c r="EV31" i="25"/>
  <c r="EV36" i="25"/>
  <c r="EV25" i="25"/>
  <c r="EV20" i="25"/>
  <c r="EV19" i="25"/>
  <c r="EV26" i="25"/>
  <c r="EV18" i="25"/>
  <c r="EV39" i="25"/>
  <c r="EV27" i="25"/>
  <c r="EV22" i="25"/>
  <c r="EV28" i="25"/>
  <c r="EV23" i="25"/>
  <c r="EV29" i="25"/>
  <c r="EV24" i="25"/>
  <c r="EV16" i="25"/>
  <c r="EV30" i="25"/>
  <c r="EV12" i="25"/>
  <c r="EV13" i="25"/>
  <c r="EV14" i="25"/>
  <c r="EV9" i="25"/>
  <c r="EV8" i="25"/>
  <c r="EV7" i="25"/>
  <c r="EV21" i="25"/>
  <c r="EV11" i="25"/>
  <c r="EV10" i="25"/>
  <c r="EV17" i="25"/>
  <c r="EV15" i="25"/>
  <c r="EW5" i="25"/>
  <c r="EW112" i="25" l="1"/>
  <c r="EW113" i="25"/>
  <c r="FK115" i="25"/>
  <c r="EW114" i="25"/>
  <c r="EW107" i="25"/>
  <c r="EW111" i="25"/>
  <c r="EW103" i="25"/>
  <c r="EW109" i="25"/>
  <c r="EW108" i="25"/>
  <c r="EW110" i="25"/>
  <c r="EW100" i="25"/>
  <c r="EW104" i="25"/>
  <c r="EW106" i="25"/>
  <c r="EW102" i="25"/>
  <c r="EW101" i="25"/>
  <c r="EW98" i="25"/>
  <c r="EW99" i="25"/>
  <c r="EW93" i="25"/>
  <c r="EW92" i="25"/>
  <c r="EW97" i="25"/>
  <c r="EW105" i="25"/>
  <c r="EW94" i="25"/>
  <c r="EW91" i="25"/>
  <c r="EW90" i="25"/>
  <c r="EW95" i="25"/>
  <c r="EW84" i="25"/>
  <c r="EW83" i="25"/>
  <c r="EW88" i="25"/>
  <c r="EW87" i="25"/>
  <c r="EW86" i="25"/>
  <c r="EW80" i="25"/>
  <c r="EW89" i="25"/>
  <c r="EW85" i="25"/>
  <c r="EW78" i="25"/>
  <c r="EW81" i="25"/>
  <c r="EW96" i="25"/>
  <c r="EW82" i="25"/>
  <c r="EW77" i="25"/>
  <c r="EW71" i="25"/>
  <c r="EW76" i="25"/>
  <c r="EW70" i="25"/>
  <c r="EW75" i="25"/>
  <c r="EW69" i="25"/>
  <c r="EW74" i="25"/>
  <c r="EW68" i="25"/>
  <c r="EW79" i="25"/>
  <c r="EW73" i="25"/>
  <c r="EW72" i="25"/>
  <c r="EW65" i="25"/>
  <c r="EW64" i="25"/>
  <c r="EW66" i="25"/>
  <c r="EW63" i="25"/>
  <c r="EW67" i="25"/>
  <c r="EW62" i="25"/>
  <c r="EW61" i="25"/>
  <c r="EW55" i="25"/>
  <c r="EW54" i="25"/>
  <c r="EW58" i="25"/>
  <c r="EW56" i="25"/>
  <c r="EW53" i="25"/>
  <c r="EW57" i="25"/>
  <c r="EW59" i="25"/>
  <c r="EW52" i="25"/>
  <c r="EW60" i="25"/>
  <c r="EW51" i="25"/>
  <c r="EW45" i="25"/>
  <c r="EW47" i="25"/>
  <c r="EW48" i="25"/>
  <c r="EW49" i="25"/>
  <c r="EW44" i="25"/>
  <c r="EW50" i="25"/>
  <c r="EW35" i="25"/>
  <c r="EW41" i="25"/>
  <c r="EW34" i="25"/>
  <c r="EW46" i="25"/>
  <c r="EW33" i="25"/>
  <c r="EW43" i="25"/>
  <c r="EW40" i="25"/>
  <c r="EW32" i="25"/>
  <c r="EW38" i="25"/>
  <c r="EW37" i="25"/>
  <c r="EW31" i="25"/>
  <c r="EW25" i="25"/>
  <c r="EW39" i="25"/>
  <c r="EW36" i="25"/>
  <c r="EW30" i="25"/>
  <c r="EW24" i="25"/>
  <c r="EW20" i="25"/>
  <c r="EW19" i="25"/>
  <c r="EW26" i="25"/>
  <c r="EW27" i="25"/>
  <c r="EW22" i="25"/>
  <c r="EW28" i="25"/>
  <c r="EW23" i="25"/>
  <c r="EW16" i="25"/>
  <c r="EW42" i="25"/>
  <c r="EW29" i="25"/>
  <c r="EW21" i="25"/>
  <c r="EW15" i="25"/>
  <c r="EW9" i="25"/>
  <c r="EW12" i="25"/>
  <c r="EW8" i="25"/>
  <c r="EW7" i="25"/>
  <c r="EW18" i="25"/>
  <c r="EW13" i="25"/>
  <c r="EW14" i="25"/>
  <c r="EW11" i="25"/>
  <c r="EW10" i="25"/>
  <c r="EW17" i="25"/>
  <c r="EX5" i="25"/>
  <c r="EX114" i="25" l="1"/>
  <c r="EX113" i="25"/>
  <c r="FL115" i="25"/>
  <c r="EX111" i="25"/>
  <c r="EX106" i="25"/>
  <c r="EX103" i="25"/>
  <c r="EX109" i="25"/>
  <c r="EX102" i="25"/>
  <c r="EX112" i="25"/>
  <c r="EX104" i="25"/>
  <c r="EX101" i="25"/>
  <c r="EX94" i="25"/>
  <c r="EX108" i="25"/>
  <c r="EX99" i="25"/>
  <c r="EX97" i="25"/>
  <c r="EX91" i="25"/>
  <c r="EX96" i="25"/>
  <c r="EX93" i="25"/>
  <c r="EX90" i="25"/>
  <c r="EX105" i="25"/>
  <c r="EX107" i="25"/>
  <c r="EX110" i="25"/>
  <c r="EX100" i="25"/>
  <c r="EX92" i="25"/>
  <c r="EX95" i="25"/>
  <c r="EX83" i="25"/>
  <c r="EX88" i="25"/>
  <c r="EX87" i="25"/>
  <c r="EX86" i="25"/>
  <c r="EX98" i="25"/>
  <c r="EX84" i="25"/>
  <c r="EX81" i="25"/>
  <c r="EX89" i="25"/>
  <c r="EX82" i="25"/>
  <c r="EX85" i="25"/>
  <c r="EX80" i="25"/>
  <c r="EX79" i="25"/>
  <c r="EX77" i="25"/>
  <c r="EX71" i="25"/>
  <c r="EX76" i="25"/>
  <c r="EX70" i="25"/>
  <c r="EX75" i="25"/>
  <c r="EX69" i="25"/>
  <c r="EX74" i="25"/>
  <c r="EX68" i="25"/>
  <c r="EX73" i="25"/>
  <c r="EX67" i="25"/>
  <c r="EX65" i="25"/>
  <c r="EX64" i="25"/>
  <c r="EX66" i="25"/>
  <c r="EX63" i="25"/>
  <c r="EX62" i="25"/>
  <c r="EX56" i="25"/>
  <c r="EX61" i="25"/>
  <c r="EX54" i="25"/>
  <c r="EX58" i="25"/>
  <c r="EX53" i="25"/>
  <c r="EX57" i="25"/>
  <c r="EX72" i="25"/>
  <c r="EX59" i="25"/>
  <c r="EX52" i="25"/>
  <c r="EX60" i="25"/>
  <c r="EX78" i="25"/>
  <c r="EX51" i="25"/>
  <c r="EX50" i="25"/>
  <c r="EX44" i="25"/>
  <c r="EX47" i="25"/>
  <c r="EX48" i="25"/>
  <c r="EX49" i="25"/>
  <c r="EX55" i="25"/>
  <c r="EX45" i="25"/>
  <c r="EX46" i="25"/>
  <c r="EX41" i="25"/>
  <c r="EX34" i="25"/>
  <c r="EX33" i="25"/>
  <c r="EX43" i="25"/>
  <c r="EX40" i="25"/>
  <c r="EX32" i="25"/>
  <c r="EX38" i="25"/>
  <c r="EX37" i="25"/>
  <c r="EX39" i="25"/>
  <c r="EX36" i="25"/>
  <c r="EX30" i="25"/>
  <c r="EX42" i="25"/>
  <c r="EX31" i="25"/>
  <c r="EX25" i="25"/>
  <c r="EX19" i="25"/>
  <c r="EX26" i="25"/>
  <c r="EX35" i="25"/>
  <c r="EX18" i="25"/>
  <c r="EX27" i="25"/>
  <c r="EX22" i="25"/>
  <c r="EX17" i="25"/>
  <c r="EX28" i="25"/>
  <c r="EX23" i="25"/>
  <c r="EX29" i="25"/>
  <c r="EX24" i="25"/>
  <c r="EX21" i="25"/>
  <c r="EX12" i="25"/>
  <c r="EX13" i="25"/>
  <c r="EX7" i="25"/>
  <c r="EX14" i="25"/>
  <c r="EX8" i="25"/>
  <c r="EX11" i="25"/>
  <c r="EX10" i="25"/>
  <c r="EX9" i="25"/>
  <c r="EX15" i="25"/>
  <c r="EY5" i="25"/>
  <c r="EX20" i="25"/>
  <c r="EX16" i="25"/>
  <c r="FM115" i="25" l="1"/>
  <c r="EY111" i="25"/>
  <c r="EY113" i="25"/>
  <c r="EY110" i="25"/>
  <c r="EY109" i="25"/>
  <c r="EY102" i="25"/>
  <c r="EY112" i="25"/>
  <c r="EY107" i="25"/>
  <c r="EY101" i="25"/>
  <c r="EY106" i="25"/>
  <c r="EY105" i="25"/>
  <c r="EY99" i="25"/>
  <c r="EY104" i="25"/>
  <c r="EY108" i="25"/>
  <c r="EY93" i="25"/>
  <c r="EY92" i="25"/>
  <c r="EY97" i="25"/>
  <c r="EY98" i="25"/>
  <c r="EY95" i="25"/>
  <c r="EY91" i="25"/>
  <c r="EY90" i="25"/>
  <c r="EY103" i="25"/>
  <c r="EY94" i="25"/>
  <c r="EY100" i="25"/>
  <c r="EY83" i="25"/>
  <c r="EY114" i="25"/>
  <c r="EY88" i="25"/>
  <c r="EY87" i="25"/>
  <c r="EY86" i="25"/>
  <c r="EY96" i="25"/>
  <c r="EY89" i="25"/>
  <c r="EY85" i="25"/>
  <c r="EY84" i="25"/>
  <c r="EY81" i="25"/>
  <c r="EY82" i="25"/>
  <c r="EY80" i="25"/>
  <c r="EY79" i="25"/>
  <c r="EY76" i="25"/>
  <c r="EY70" i="25"/>
  <c r="EY75" i="25"/>
  <c r="EY69" i="25"/>
  <c r="EY74" i="25"/>
  <c r="EY68" i="25"/>
  <c r="EY73" i="25"/>
  <c r="EY67" i="25"/>
  <c r="EY78" i="25"/>
  <c r="EY72" i="25"/>
  <c r="EY64" i="25"/>
  <c r="EY66" i="25"/>
  <c r="EY63" i="25"/>
  <c r="EY71" i="25"/>
  <c r="EY62" i="25"/>
  <c r="EY61" i="25"/>
  <c r="EY77" i="25"/>
  <c r="EY60" i="25"/>
  <c r="EY54" i="25"/>
  <c r="EY58" i="25"/>
  <c r="EY53" i="25"/>
  <c r="EY57" i="25"/>
  <c r="EY56" i="25"/>
  <c r="EY59" i="25"/>
  <c r="EY52" i="25"/>
  <c r="EY51" i="25"/>
  <c r="EY50" i="25"/>
  <c r="EY44" i="25"/>
  <c r="EY65" i="25"/>
  <c r="EY55" i="25"/>
  <c r="EY48" i="25"/>
  <c r="EY49" i="25"/>
  <c r="EY45" i="25"/>
  <c r="EY46" i="25"/>
  <c r="EY41" i="25"/>
  <c r="EY34" i="25"/>
  <c r="EY47" i="25"/>
  <c r="EY33" i="25"/>
  <c r="EY43" i="25"/>
  <c r="EY40" i="25"/>
  <c r="EY32" i="25"/>
  <c r="EY38" i="25"/>
  <c r="EY37" i="25"/>
  <c r="EY39" i="25"/>
  <c r="EY36" i="25"/>
  <c r="EY30" i="25"/>
  <c r="EY24" i="25"/>
  <c r="EY42" i="25"/>
  <c r="EY35" i="25"/>
  <c r="EY29" i="25"/>
  <c r="EY23" i="25"/>
  <c r="EY19" i="25"/>
  <c r="EY26" i="25"/>
  <c r="EY18" i="25"/>
  <c r="EY27" i="25"/>
  <c r="EY22" i="25"/>
  <c r="EY28" i="25"/>
  <c r="EY21" i="25"/>
  <c r="EY15" i="25"/>
  <c r="EY20" i="25"/>
  <c r="EY14" i="25"/>
  <c r="EY8" i="25"/>
  <c r="EY12" i="25"/>
  <c r="EY13" i="25"/>
  <c r="EY25" i="25"/>
  <c r="EY7" i="25"/>
  <c r="EX4" i="25"/>
  <c r="EY31" i="25"/>
  <c r="EY11" i="25"/>
  <c r="EY10" i="25"/>
  <c r="EY9" i="25"/>
  <c r="EY17" i="25"/>
  <c r="EZ5" i="25"/>
  <c r="EY16" i="25"/>
  <c r="FN115" i="25" l="1"/>
  <c r="EZ113" i="25"/>
  <c r="EZ112" i="25"/>
  <c r="EZ114" i="25"/>
  <c r="EZ110" i="25"/>
  <c r="EZ109" i="25"/>
  <c r="EZ105" i="25"/>
  <c r="EZ102" i="25"/>
  <c r="EZ107" i="25"/>
  <c r="EZ106" i="25"/>
  <c r="EZ111" i="25"/>
  <c r="EZ103" i="25"/>
  <c r="EZ108" i="25"/>
  <c r="EZ101" i="25"/>
  <c r="EZ93" i="25"/>
  <c r="EZ92" i="25"/>
  <c r="EZ97" i="25"/>
  <c r="EZ91" i="25"/>
  <c r="EZ98" i="25"/>
  <c r="EZ95" i="25"/>
  <c r="EZ100" i="25"/>
  <c r="EZ99" i="25"/>
  <c r="EZ104" i="25"/>
  <c r="EZ94" i="25"/>
  <c r="EZ89" i="25"/>
  <c r="EZ96" i="25"/>
  <c r="EZ90" i="25"/>
  <c r="EZ88" i="25"/>
  <c r="EZ87" i="25"/>
  <c r="EZ86" i="25"/>
  <c r="EZ85" i="25"/>
  <c r="EZ84" i="25"/>
  <c r="EZ82" i="25"/>
  <c r="EZ83" i="25"/>
  <c r="EZ80" i="25"/>
  <c r="EZ79" i="25"/>
  <c r="EZ76" i="25"/>
  <c r="EZ70" i="25"/>
  <c r="EZ75" i="25"/>
  <c r="EZ69" i="25"/>
  <c r="EZ81" i="25"/>
  <c r="EZ74" i="25"/>
  <c r="EZ73" i="25"/>
  <c r="EZ78" i="25"/>
  <c r="EZ72" i="25"/>
  <c r="EZ66" i="25"/>
  <c r="EZ64" i="25"/>
  <c r="EZ68" i="25"/>
  <c r="EZ63" i="25"/>
  <c r="EZ71" i="25"/>
  <c r="EZ62" i="25"/>
  <c r="EZ67" i="25"/>
  <c r="EZ61" i="25"/>
  <c r="EZ77" i="25"/>
  <c r="EZ58" i="25"/>
  <c r="EZ53" i="25"/>
  <c r="EZ57" i="25"/>
  <c r="EZ56" i="25"/>
  <c r="EZ59" i="25"/>
  <c r="EZ52" i="25"/>
  <c r="EZ60" i="25"/>
  <c r="EZ51" i="25"/>
  <c r="EZ50" i="25"/>
  <c r="EZ65" i="25"/>
  <c r="EZ55" i="25"/>
  <c r="EZ49" i="25"/>
  <c r="EZ43" i="25"/>
  <c r="EZ48" i="25"/>
  <c r="EZ44" i="25"/>
  <c r="EZ45" i="25"/>
  <c r="EZ54" i="25"/>
  <c r="EZ46" i="25"/>
  <c r="EZ47" i="25"/>
  <c r="EZ40" i="25"/>
  <c r="EZ33" i="25"/>
  <c r="EZ32" i="25"/>
  <c r="EZ38" i="25"/>
  <c r="EZ37" i="25"/>
  <c r="EZ39" i="25"/>
  <c r="EZ36" i="25"/>
  <c r="EZ42" i="25"/>
  <c r="EZ35" i="25"/>
  <c r="EZ26" i="25"/>
  <c r="EZ18" i="25"/>
  <c r="EZ27" i="25"/>
  <c r="EZ22" i="25"/>
  <c r="EZ28" i="25"/>
  <c r="EZ34" i="25"/>
  <c r="EZ23" i="25"/>
  <c r="EZ41" i="25"/>
  <c r="EZ29" i="25"/>
  <c r="EZ21" i="25"/>
  <c r="EZ24" i="25"/>
  <c r="EZ20" i="25"/>
  <c r="EZ31" i="25"/>
  <c r="EZ30" i="25"/>
  <c r="EZ25" i="25"/>
  <c r="EZ19" i="25"/>
  <c r="EZ13" i="25"/>
  <c r="EZ7" i="25"/>
  <c r="EZ14" i="25"/>
  <c r="EZ11" i="25"/>
  <c r="EZ10" i="25"/>
  <c r="EZ9" i="25"/>
  <c r="EZ8" i="25"/>
  <c r="EZ17" i="25"/>
  <c r="EZ15" i="25"/>
  <c r="FA5" i="25"/>
  <c r="EZ16" i="25"/>
  <c r="EZ12" i="25"/>
  <c r="FA114" i="25" l="1"/>
  <c r="FO115" i="25"/>
  <c r="FA112" i="25"/>
  <c r="FA113" i="25"/>
  <c r="FA107" i="25"/>
  <c r="FA106" i="25"/>
  <c r="FA101" i="25"/>
  <c r="FA108" i="25"/>
  <c r="FA105" i="25"/>
  <c r="FA103" i="25"/>
  <c r="FA109" i="25"/>
  <c r="FA102" i="25"/>
  <c r="FA96" i="25"/>
  <c r="FA95" i="25"/>
  <c r="FA111" i="25"/>
  <c r="FA97" i="25"/>
  <c r="FA91" i="25"/>
  <c r="FA98" i="25"/>
  <c r="FA92" i="25"/>
  <c r="FA93" i="25"/>
  <c r="FA99" i="25"/>
  <c r="FA104" i="25"/>
  <c r="FA94" i="25"/>
  <c r="FA100" i="25"/>
  <c r="FA110" i="25"/>
  <c r="FA89" i="25"/>
  <c r="FA88" i="25"/>
  <c r="FA87" i="25"/>
  <c r="FA86" i="25"/>
  <c r="FA85" i="25"/>
  <c r="FA84" i="25"/>
  <c r="FA82" i="25"/>
  <c r="FA83" i="25"/>
  <c r="FA80" i="25"/>
  <c r="FA79" i="25"/>
  <c r="FA90" i="25"/>
  <c r="FA75" i="25"/>
  <c r="FA69" i="25"/>
  <c r="FA81" i="25"/>
  <c r="FA74" i="25"/>
  <c r="FA68" i="25"/>
  <c r="FA73" i="25"/>
  <c r="FA78" i="25"/>
  <c r="FA72" i="25"/>
  <c r="FA66" i="25"/>
  <c r="FA77" i="25"/>
  <c r="FA71" i="25"/>
  <c r="FA63" i="25"/>
  <c r="FA76" i="25"/>
  <c r="FA62" i="25"/>
  <c r="FA67" i="25"/>
  <c r="FA61" i="25"/>
  <c r="FA60" i="25"/>
  <c r="FA70" i="25"/>
  <c r="FA65" i="25"/>
  <c r="FA59" i="25"/>
  <c r="FA58" i="25"/>
  <c r="FA53" i="25"/>
  <c r="FA57" i="25"/>
  <c r="FA56" i="25"/>
  <c r="FA52" i="25"/>
  <c r="FA64" i="25"/>
  <c r="FA51" i="25"/>
  <c r="FA50" i="25"/>
  <c r="FA55" i="25"/>
  <c r="FA49" i="25"/>
  <c r="FA43" i="25"/>
  <c r="FA54" i="25"/>
  <c r="FA44" i="25"/>
  <c r="FA45" i="25"/>
  <c r="FA46" i="25"/>
  <c r="FA47" i="25"/>
  <c r="FA40" i="25"/>
  <c r="FA42" i="25"/>
  <c r="FA33" i="25"/>
  <c r="FA48" i="25"/>
  <c r="FA32" i="25"/>
  <c r="FA38" i="25"/>
  <c r="FA37" i="25"/>
  <c r="FA39" i="25"/>
  <c r="FA36" i="25"/>
  <c r="FA35" i="25"/>
  <c r="FA29" i="25"/>
  <c r="FA23" i="25"/>
  <c r="FA41" i="25"/>
  <c r="FA34" i="25"/>
  <c r="FA28" i="25"/>
  <c r="FA22" i="25"/>
  <c r="FA18" i="25"/>
  <c r="FA27" i="25"/>
  <c r="FA21" i="25"/>
  <c r="FA24" i="25"/>
  <c r="FA20" i="25"/>
  <c r="FA14" i="25"/>
  <c r="FA31" i="25"/>
  <c r="FA30" i="25"/>
  <c r="FA25" i="25"/>
  <c r="FA19" i="25"/>
  <c r="FA13" i="25"/>
  <c r="FA7" i="25"/>
  <c r="FA26" i="25"/>
  <c r="FA11" i="25"/>
  <c r="FA10" i="25"/>
  <c r="FA9" i="25"/>
  <c r="FA8" i="25"/>
  <c r="FA17" i="25"/>
  <c r="FB5" i="25"/>
  <c r="FA15" i="25"/>
  <c r="FA16" i="25"/>
  <c r="FA12" i="25"/>
  <c r="FB114" i="25" l="1"/>
  <c r="FB111" i="25"/>
  <c r="FP115" i="25"/>
  <c r="FB110" i="25"/>
  <c r="FB113" i="25"/>
  <c r="FB106" i="25"/>
  <c r="FB101" i="25"/>
  <c r="FB112" i="25"/>
  <c r="FB108" i="25"/>
  <c r="FB105" i="25"/>
  <c r="FB99" i="25"/>
  <c r="FB107" i="25"/>
  <c r="FB109" i="25"/>
  <c r="FB102" i="25"/>
  <c r="FB98" i="25"/>
  <c r="FB96" i="25"/>
  <c r="FB95" i="25"/>
  <c r="FB94" i="25"/>
  <c r="FB104" i="25"/>
  <c r="FB103" i="25"/>
  <c r="FB97" i="25"/>
  <c r="FB90" i="25"/>
  <c r="FB91" i="25"/>
  <c r="FB100" i="25"/>
  <c r="FB92" i="25"/>
  <c r="FB89" i="25"/>
  <c r="FB93" i="25"/>
  <c r="FB88" i="25"/>
  <c r="FB87" i="25"/>
  <c r="FB86" i="25"/>
  <c r="FB85" i="25"/>
  <c r="FB84" i="25"/>
  <c r="FB83" i="25"/>
  <c r="FB80" i="25"/>
  <c r="FB79" i="25"/>
  <c r="FB78" i="25"/>
  <c r="FB81" i="25"/>
  <c r="FB75" i="25"/>
  <c r="FB69" i="25"/>
  <c r="FB74" i="25"/>
  <c r="FB82" i="25"/>
  <c r="FB73" i="25"/>
  <c r="FB72" i="25"/>
  <c r="FB77" i="25"/>
  <c r="FB71" i="25"/>
  <c r="FB68" i="25"/>
  <c r="FB63" i="25"/>
  <c r="FB76" i="25"/>
  <c r="FB66" i="25"/>
  <c r="FB62" i="25"/>
  <c r="FB67" i="25"/>
  <c r="FB60" i="25"/>
  <c r="FB70" i="25"/>
  <c r="FB65" i="25"/>
  <c r="FB57" i="25"/>
  <c r="FB56" i="25"/>
  <c r="FB52" i="25"/>
  <c r="FB64" i="25"/>
  <c r="FB61" i="25"/>
  <c r="FB59" i="25"/>
  <c r="FB51" i="25"/>
  <c r="FB55" i="25"/>
  <c r="FB49" i="25"/>
  <c r="FB54" i="25"/>
  <c r="FB48" i="25"/>
  <c r="FB42" i="25"/>
  <c r="FB58" i="25"/>
  <c r="FB43" i="25"/>
  <c r="FB44" i="25"/>
  <c r="FB45" i="25"/>
  <c r="FB46" i="25"/>
  <c r="FB50" i="25"/>
  <c r="FB47" i="25"/>
  <c r="FB40" i="25"/>
  <c r="FB39" i="25"/>
  <c r="FB53" i="25"/>
  <c r="FB32" i="25"/>
  <c r="FB38" i="25"/>
  <c r="FB37" i="25"/>
  <c r="FB36" i="25"/>
  <c r="FB35" i="25"/>
  <c r="FB41" i="25"/>
  <c r="FB34" i="25"/>
  <c r="FB27" i="25"/>
  <c r="FB22" i="25"/>
  <c r="FB28" i="25"/>
  <c r="FB23" i="25"/>
  <c r="FB21" i="25"/>
  <c r="FB29" i="25"/>
  <c r="FB24" i="25"/>
  <c r="FB20" i="25"/>
  <c r="FB33" i="25"/>
  <c r="FB31" i="25"/>
  <c r="FB30" i="25"/>
  <c r="FB25" i="25"/>
  <c r="FB19" i="25"/>
  <c r="FB26" i="25"/>
  <c r="FB11" i="25"/>
  <c r="FB10" i="25"/>
  <c r="FB9" i="25"/>
  <c r="FB8" i="25"/>
  <c r="FB7" i="25"/>
  <c r="FB13" i="25"/>
  <c r="FB18" i="25"/>
  <c r="FB14" i="25"/>
  <c r="FB17" i="25"/>
  <c r="FB15" i="25"/>
  <c r="FC5" i="25"/>
  <c r="FB16" i="25"/>
  <c r="FB12" i="25"/>
  <c r="FC113" i="25" l="1"/>
  <c r="FQ115" i="25"/>
  <c r="FC110" i="25"/>
  <c r="FC114" i="25"/>
  <c r="FC112" i="25"/>
  <c r="FC109" i="25"/>
  <c r="FC108" i="25"/>
  <c r="FC105" i="25"/>
  <c r="FC100" i="25"/>
  <c r="FC107" i="25"/>
  <c r="FC106" i="25"/>
  <c r="FC98" i="25"/>
  <c r="FC101" i="25"/>
  <c r="FC96" i="25"/>
  <c r="FC95" i="25"/>
  <c r="FC94" i="25"/>
  <c r="FC104" i="25"/>
  <c r="FC103" i="25"/>
  <c r="FC90" i="25"/>
  <c r="FC111" i="25"/>
  <c r="FC102" i="25"/>
  <c r="FC97" i="25"/>
  <c r="FC92" i="25"/>
  <c r="FC89" i="25"/>
  <c r="FC93" i="25"/>
  <c r="FC88" i="25"/>
  <c r="FC87" i="25"/>
  <c r="FC86" i="25"/>
  <c r="FC91" i="25"/>
  <c r="FC85" i="25"/>
  <c r="FC99" i="25"/>
  <c r="FC84" i="25"/>
  <c r="FC83" i="25"/>
  <c r="FC80" i="25"/>
  <c r="FC79" i="25"/>
  <c r="FC78" i="25"/>
  <c r="FC81" i="25"/>
  <c r="FC74" i="25"/>
  <c r="FC68" i="25"/>
  <c r="FC82" i="25"/>
  <c r="FC73" i="25"/>
  <c r="FC67" i="25"/>
  <c r="FC72" i="25"/>
  <c r="FC77" i="25"/>
  <c r="FC71" i="25"/>
  <c r="FC65" i="25"/>
  <c r="FC76" i="25"/>
  <c r="FC70" i="25"/>
  <c r="FC66" i="25"/>
  <c r="FC62" i="25"/>
  <c r="FC69" i="25"/>
  <c r="FC75" i="25"/>
  <c r="FC64" i="25"/>
  <c r="FC58" i="25"/>
  <c r="FC52" i="25"/>
  <c r="FC61" i="25"/>
  <c r="FC59" i="25"/>
  <c r="FC51" i="25"/>
  <c r="FC60" i="25"/>
  <c r="FC55" i="25"/>
  <c r="FC63" i="25"/>
  <c r="FC54" i="25"/>
  <c r="FC48" i="25"/>
  <c r="FC42" i="25"/>
  <c r="FC53" i="25"/>
  <c r="FC57" i="25"/>
  <c r="FC49" i="25"/>
  <c r="FC44" i="25"/>
  <c r="FC56" i="25"/>
  <c r="FC45" i="25"/>
  <c r="FC46" i="25"/>
  <c r="FC50" i="25"/>
  <c r="FC47" i="25"/>
  <c r="FC32" i="25"/>
  <c r="FC43" i="25"/>
  <c r="FC40" i="25"/>
  <c r="FC38" i="25"/>
  <c r="FC37" i="25"/>
  <c r="FC31" i="25"/>
  <c r="FC36" i="25"/>
  <c r="FC39" i="25"/>
  <c r="FC35" i="25"/>
  <c r="FC41" i="25"/>
  <c r="FC34" i="25"/>
  <c r="FC28" i="25"/>
  <c r="FC22" i="25"/>
  <c r="FC33" i="25"/>
  <c r="FC27" i="25"/>
  <c r="FC17" i="25"/>
  <c r="FC23" i="25"/>
  <c r="FC21" i="25"/>
  <c r="FC29" i="25"/>
  <c r="FC24" i="25"/>
  <c r="FC20" i="25"/>
  <c r="FC30" i="25"/>
  <c r="FC25" i="25"/>
  <c r="FC19" i="25"/>
  <c r="FC13" i="25"/>
  <c r="FC26" i="25"/>
  <c r="FC18" i="25"/>
  <c r="FC12" i="25"/>
  <c r="FC11" i="25"/>
  <c r="FC10" i="25"/>
  <c r="FC9" i="25"/>
  <c r="FC8" i="25"/>
  <c r="FC7" i="25"/>
  <c r="FC14" i="25"/>
  <c r="FB4" i="25"/>
  <c r="FC15" i="25"/>
  <c r="FD5" i="25"/>
  <c r="FC16" i="25"/>
  <c r="FR115" i="25" l="1"/>
  <c r="FD114" i="25"/>
  <c r="FD113" i="25"/>
  <c r="FD112" i="25"/>
  <c r="FD109" i="25"/>
  <c r="FD100" i="25"/>
  <c r="FD110" i="25"/>
  <c r="FD107" i="25"/>
  <c r="FD104" i="25"/>
  <c r="FD105" i="25"/>
  <c r="FD108" i="25"/>
  <c r="FD97" i="25"/>
  <c r="FD103" i="25"/>
  <c r="FD98" i="25"/>
  <c r="FD89" i="25"/>
  <c r="FD95" i="25"/>
  <c r="FD99" i="25"/>
  <c r="FD94" i="25"/>
  <c r="FD106" i="25"/>
  <c r="FD102" i="25"/>
  <c r="FD111" i="25"/>
  <c r="FD92" i="25"/>
  <c r="FD93" i="25"/>
  <c r="FD96" i="25"/>
  <c r="FD90" i="25"/>
  <c r="FD87" i="25"/>
  <c r="FD86" i="25"/>
  <c r="FD91" i="25"/>
  <c r="FD85" i="25"/>
  <c r="FD84" i="25"/>
  <c r="FD83" i="25"/>
  <c r="FD101" i="25"/>
  <c r="FD88" i="25"/>
  <c r="FD80" i="25"/>
  <c r="FD79" i="25"/>
  <c r="FD81" i="25"/>
  <c r="FD82" i="25"/>
  <c r="FD74" i="25"/>
  <c r="FD68" i="25"/>
  <c r="FD73" i="25"/>
  <c r="FD72" i="25"/>
  <c r="FD78" i="25"/>
  <c r="FD77" i="25"/>
  <c r="FD71" i="25"/>
  <c r="FD76" i="25"/>
  <c r="FD70" i="25"/>
  <c r="FD66" i="25"/>
  <c r="FD62" i="25"/>
  <c r="FD69" i="25"/>
  <c r="FD61" i="25"/>
  <c r="FD67" i="25"/>
  <c r="FD75" i="25"/>
  <c r="FD59" i="25"/>
  <c r="FD65" i="25"/>
  <c r="FD64" i="25"/>
  <c r="FD60" i="25"/>
  <c r="FD55" i="25"/>
  <c r="FD63" i="25"/>
  <c r="FD54" i="25"/>
  <c r="FD53" i="25"/>
  <c r="FD47" i="25"/>
  <c r="FD58" i="25"/>
  <c r="FD57" i="25"/>
  <c r="FD56" i="25"/>
  <c r="FD49" i="25"/>
  <c r="FD44" i="25"/>
  <c r="FD45" i="25"/>
  <c r="FD51" i="25"/>
  <c r="FD46" i="25"/>
  <c r="FD52" i="25"/>
  <c r="FD50" i="25"/>
  <c r="FD39" i="25"/>
  <c r="FD42" i="25"/>
  <c r="FD48" i="25"/>
  <c r="FD41" i="25"/>
  <c r="FD38" i="25"/>
  <c r="FD43" i="25"/>
  <c r="FD40" i="25"/>
  <c r="FD37" i="25"/>
  <c r="FD31" i="25"/>
  <c r="FD36" i="25"/>
  <c r="FD35" i="25"/>
  <c r="FD34" i="25"/>
  <c r="FD33" i="25"/>
  <c r="FD22" i="25"/>
  <c r="FD28" i="25"/>
  <c r="FD23" i="25"/>
  <c r="FD21" i="25"/>
  <c r="FD29" i="25"/>
  <c r="FD24" i="25"/>
  <c r="FD20" i="25"/>
  <c r="FD30" i="25"/>
  <c r="FD25" i="25"/>
  <c r="FD19" i="25"/>
  <c r="FD26" i="25"/>
  <c r="FD18" i="25"/>
  <c r="FD14" i="25"/>
  <c r="FD11" i="25"/>
  <c r="FD10" i="25"/>
  <c r="FD32" i="25"/>
  <c r="FD27" i="25"/>
  <c r="FD17" i="25"/>
  <c r="FD15" i="25"/>
  <c r="FE5" i="25"/>
  <c r="FD16" i="25"/>
  <c r="FD8" i="25"/>
  <c r="FD12" i="25"/>
  <c r="FD7" i="25"/>
  <c r="FD9" i="25"/>
  <c r="FD13" i="25"/>
  <c r="FE114" i="25" l="1"/>
  <c r="FE113" i="25"/>
  <c r="FE109" i="25"/>
  <c r="FE108" i="25"/>
  <c r="FE112" i="25"/>
  <c r="FE110" i="25"/>
  <c r="FE99" i="25"/>
  <c r="FE111" i="25"/>
  <c r="FE104" i="25"/>
  <c r="FS115" i="25"/>
  <c r="FE105" i="25"/>
  <c r="FE97" i="25"/>
  <c r="FE107" i="25"/>
  <c r="FE98" i="25"/>
  <c r="FE89" i="25"/>
  <c r="FE95" i="25"/>
  <c r="FE103" i="25"/>
  <c r="FE96" i="25"/>
  <c r="FE93" i="25"/>
  <c r="FE90" i="25"/>
  <c r="FE100" i="25"/>
  <c r="FE94" i="25"/>
  <c r="FE106" i="25"/>
  <c r="FE92" i="25"/>
  <c r="FE102" i="25"/>
  <c r="FE88" i="25"/>
  <c r="FE87" i="25"/>
  <c r="FE101" i="25"/>
  <c r="FE91" i="25"/>
  <c r="FE85" i="25"/>
  <c r="FE84" i="25"/>
  <c r="FE82" i="25"/>
  <c r="FE83" i="25"/>
  <c r="FE80" i="25"/>
  <c r="FE79" i="25"/>
  <c r="FE86" i="25"/>
  <c r="FE81" i="25"/>
  <c r="FE73" i="25"/>
  <c r="FE67" i="25"/>
  <c r="FE72" i="25"/>
  <c r="FE78" i="25"/>
  <c r="FE77" i="25"/>
  <c r="FE71" i="25"/>
  <c r="FE76" i="25"/>
  <c r="FE70" i="25"/>
  <c r="FE75" i="25"/>
  <c r="FE69" i="25"/>
  <c r="FE74" i="25"/>
  <c r="FE61" i="25"/>
  <c r="FE65" i="25"/>
  <c r="FE64" i="25"/>
  <c r="FE63" i="25"/>
  <c r="FE59" i="25"/>
  <c r="FE51" i="25"/>
  <c r="FE62" i="25"/>
  <c r="FE60" i="25"/>
  <c r="FE68" i="25"/>
  <c r="FE55" i="25"/>
  <c r="FE54" i="25"/>
  <c r="FE66" i="25"/>
  <c r="FE53" i="25"/>
  <c r="FE47" i="25"/>
  <c r="FE41" i="25"/>
  <c r="FE58" i="25"/>
  <c r="FE57" i="25"/>
  <c r="FE56" i="25"/>
  <c r="FE45" i="25"/>
  <c r="FE46" i="25"/>
  <c r="FE52" i="25"/>
  <c r="FE50" i="25"/>
  <c r="FE42" i="25"/>
  <c r="FE48" i="25"/>
  <c r="FE43" i="25"/>
  <c r="FE40" i="25"/>
  <c r="FE37" i="25"/>
  <c r="FE31" i="25"/>
  <c r="FE49" i="25"/>
  <c r="FE38" i="25"/>
  <c r="FE36" i="25"/>
  <c r="FE44" i="25"/>
  <c r="FE39" i="25"/>
  <c r="FE35" i="25"/>
  <c r="FE34" i="25"/>
  <c r="FE33" i="25"/>
  <c r="FE27" i="25"/>
  <c r="FE32" i="25"/>
  <c r="FE26" i="25"/>
  <c r="FE28" i="25"/>
  <c r="FE23" i="25"/>
  <c r="FE21" i="25"/>
  <c r="FE29" i="25"/>
  <c r="FE24" i="25"/>
  <c r="FE20" i="25"/>
  <c r="FE30" i="25"/>
  <c r="FE25" i="25"/>
  <c r="FE19" i="25"/>
  <c r="FE18" i="25"/>
  <c r="FE12" i="25"/>
  <c r="FE17" i="25"/>
  <c r="FE11" i="25"/>
  <c r="FE14" i="25"/>
  <c r="FE15" i="25"/>
  <c r="FF5" i="25"/>
  <c r="FE16" i="25"/>
  <c r="FE22" i="25"/>
  <c r="FE13" i="25"/>
  <c r="FE7" i="25"/>
  <c r="FE10" i="25"/>
  <c r="FE9" i="25"/>
  <c r="FE8" i="25"/>
  <c r="FF114" i="25" l="1"/>
  <c r="FT115" i="25"/>
  <c r="FF109" i="25"/>
  <c r="FF110" i="25"/>
  <c r="FF99" i="25"/>
  <c r="FF111" i="25"/>
  <c r="FF104" i="25"/>
  <c r="FF105" i="25"/>
  <c r="FF100" i="25"/>
  <c r="FF106" i="25"/>
  <c r="FF108" i="25"/>
  <c r="FF96" i="25"/>
  <c r="FF103" i="25"/>
  <c r="FF113" i="25"/>
  <c r="FF93" i="25"/>
  <c r="FF102" i="25"/>
  <c r="FF98" i="25"/>
  <c r="FF95" i="25"/>
  <c r="FF94" i="25"/>
  <c r="FF101" i="25"/>
  <c r="FF97" i="25"/>
  <c r="FF112" i="25"/>
  <c r="FF92" i="25"/>
  <c r="FF107" i="25"/>
  <c r="FF89" i="25"/>
  <c r="FF91" i="25"/>
  <c r="FF90" i="25"/>
  <c r="FF85" i="25"/>
  <c r="FF84" i="25"/>
  <c r="FF82" i="25"/>
  <c r="FF88" i="25"/>
  <c r="FF86" i="25"/>
  <c r="FF83" i="25"/>
  <c r="FF87" i="25"/>
  <c r="FF80" i="25"/>
  <c r="FF79" i="25"/>
  <c r="FF81" i="25"/>
  <c r="FF73" i="25"/>
  <c r="FF72" i="25"/>
  <c r="FF78" i="25"/>
  <c r="FF77" i="25"/>
  <c r="FF71" i="25"/>
  <c r="FF76" i="25"/>
  <c r="FF70" i="25"/>
  <c r="FF75" i="25"/>
  <c r="FF69" i="25"/>
  <c r="FF61" i="25"/>
  <c r="FF67" i="25"/>
  <c r="FF65" i="25"/>
  <c r="FF64" i="25"/>
  <c r="FF58" i="25"/>
  <c r="FF63" i="25"/>
  <c r="FF62" i="25"/>
  <c r="FF60" i="25"/>
  <c r="FF68" i="25"/>
  <c r="FF55" i="25"/>
  <c r="FF74" i="25"/>
  <c r="FF54" i="25"/>
  <c r="FF66" i="25"/>
  <c r="FF53" i="25"/>
  <c r="FF57" i="25"/>
  <c r="FF56" i="25"/>
  <c r="FF52" i="25"/>
  <c r="FF46" i="25"/>
  <c r="FF45" i="25"/>
  <c r="FF51" i="25"/>
  <c r="FF50" i="25"/>
  <c r="FF47" i="25"/>
  <c r="FF48" i="25"/>
  <c r="FF38" i="25"/>
  <c r="FF43" i="25"/>
  <c r="FF41" i="25"/>
  <c r="FF49" i="25"/>
  <c r="FF44" i="25"/>
  <c r="FF59" i="25"/>
  <c r="FF36" i="25"/>
  <c r="FF39" i="25"/>
  <c r="FF35" i="25"/>
  <c r="FF34" i="25"/>
  <c r="FF42" i="25"/>
  <c r="FF33" i="25"/>
  <c r="FF32" i="25"/>
  <c r="FF28" i="25"/>
  <c r="FF23" i="25"/>
  <c r="FF21" i="25"/>
  <c r="FF29" i="25"/>
  <c r="FF24" i="25"/>
  <c r="FF20" i="25"/>
  <c r="FF30" i="25"/>
  <c r="FF25" i="25"/>
  <c r="FF19" i="25"/>
  <c r="FF40" i="25"/>
  <c r="FF31" i="25"/>
  <c r="FF26" i="25"/>
  <c r="FF18" i="25"/>
  <c r="FF37" i="25"/>
  <c r="FF27" i="25"/>
  <c r="FF22" i="25"/>
  <c r="FF15" i="25"/>
  <c r="FG5" i="25"/>
  <c r="FF17" i="25"/>
  <c r="FF16" i="25"/>
  <c r="FF12" i="25"/>
  <c r="FF13" i="25"/>
  <c r="FF10" i="25"/>
  <c r="FF9" i="25"/>
  <c r="FF8" i="25"/>
  <c r="FF7" i="25"/>
  <c r="FF14" i="25"/>
  <c r="FF11" i="25"/>
  <c r="FG114" i="25" l="1"/>
  <c r="FU115" i="25"/>
  <c r="FG112" i="25"/>
  <c r="FG108" i="25"/>
  <c r="FG107" i="25"/>
  <c r="FG111" i="25"/>
  <c r="FG104" i="25"/>
  <c r="FG106" i="25"/>
  <c r="FG110" i="25"/>
  <c r="FG102" i="25"/>
  <c r="FG97" i="25"/>
  <c r="FG95" i="25"/>
  <c r="FG103" i="25"/>
  <c r="FG96" i="25"/>
  <c r="FG94" i="25"/>
  <c r="FG113" i="25"/>
  <c r="FG100" i="25"/>
  <c r="FG109" i="25"/>
  <c r="FG105" i="25"/>
  <c r="FG92" i="25"/>
  <c r="FG89" i="25"/>
  <c r="FG93" i="25"/>
  <c r="FG88" i="25"/>
  <c r="FG91" i="25"/>
  <c r="FG90" i="25"/>
  <c r="FG101" i="25"/>
  <c r="FG86" i="25"/>
  <c r="FG85" i="25"/>
  <c r="FG84" i="25"/>
  <c r="FG99" i="25"/>
  <c r="FG81" i="25"/>
  <c r="FG87" i="25"/>
  <c r="FG80" i="25"/>
  <c r="FG79" i="25"/>
  <c r="FG78" i="25"/>
  <c r="FG82" i="25"/>
  <c r="FG72" i="25"/>
  <c r="FG77" i="25"/>
  <c r="FG71" i="25"/>
  <c r="FG83" i="25"/>
  <c r="FG76" i="25"/>
  <c r="FG70" i="25"/>
  <c r="FG98" i="25"/>
  <c r="FG75" i="25"/>
  <c r="FG69" i="25"/>
  <c r="FG74" i="25"/>
  <c r="FG68" i="25"/>
  <c r="FG67" i="25"/>
  <c r="FG60" i="25"/>
  <c r="FG65" i="25"/>
  <c r="FG73" i="25"/>
  <c r="FG64" i="25"/>
  <c r="FG63" i="25"/>
  <c r="FG66" i="25"/>
  <c r="FG62" i="25"/>
  <c r="FG61" i="25"/>
  <c r="FG50" i="25"/>
  <c r="FG55" i="25"/>
  <c r="FG54" i="25"/>
  <c r="FG53" i="25"/>
  <c r="FG57" i="25"/>
  <c r="FG56" i="25"/>
  <c r="FG58" i="25"/>
  <c r="FG52" i="25"/>
  <c r="FG46" i="25"/>
  <c r="FG59" i="25"/>
  <c r="FG51" i="25"/>
  <c r="FG47" i="25"/>
  <c r="FG48" i="25"/>
  <c r="FG43" i="25"/>
  <c r="FG41" i="25"/>
  <c r="FG49" i="25"/>
  <c r="FG44" i="25"/>
  <c r="FG38" i="25"/>
  <c r="FG36" i="25"/>
  <c r="FG39" i="25"/>
  <c r="FG35" i="25"/>
  <c r="FG45" i="25"/>
  <c r="FG34" i="25"/>
  <c r="FG42" i="25"/>
  <c r="FG33" i="25"/>
  <c r="FG32" i="25"/>
  <c r="FG26" i="25"/>
  <c r="FG40" i="25"/>
  <c r="FG37" i="25"/>
  <c r="FG31" i="25"/>
  <c r="FG25" i="25"/>
  <c r="FG21" i="25"/>
  <c r="FG29" i="25"/>
  <c r="FG24" i="25"/>
  <c r="FG20" i="25"/>
  <c r="FG30" i="25"/>
  <c r="FG19" i="25"/>
  <c r="FG17" i="25"/>
  <c r="FG27" i="25"/>
  <c r="FG22" i="25"/>
  <c r="FG16" i="25"/>
  <c r="FG10" i="25"/>
  <c r="FG28" i="25"/>
  <c r="FG15" i="25"/>
  <c r="FH5" i="25"/>
  <c r="FG18" i="25"/>
  <c r="FG23" i="25"/>
  <c r="FG12" i="25"/>
  <c r="FG13" i="25"/>
  <c r="FG9" i="25"/>
  <c r="FG8" i="25"/>
  <c r="FG7" i="25"/>
  <c r="FG14" i="25"/>
  <c r="FG11" i="25"/>
  <c r="FH114" i="25" l="1"/>
  <c r="FH113" i="25"/>
  <c r="FV115" i="25"/>
  <c r="FH112" i="25"/>
  <c r="FH111" i="25"/>
  <c r="FH108" i="25"/>
  <c r="FH107" i="25"/>
  <c r="FH104" i="25"/>
  <c r="FH103" i="25"/>
  <c r="FH106" i="25"/>
  <c r="FH101" i="25"/>
  <c r="FH110" i="25"/>
  <c r="FH105" i="25"/>
  <c r="FH99" i="25"/>
  <c r="FH95" i="25"/>
  <c r="FH102" i="25"/>
  <c r="FH97" i="25"/>
  <c r="FH92" i="25"/>
  <c r="FH96" i="25"/>
  <c r="FH94" i="25"/>
  <c r="FH100" i="25"/>
  <c r="FH98" i="25"/>
  <c r="FH109" i="25"/>
  <c r="FH89" i="25"/>
  <c r="FH93" i="25"/>
  <c r="FH88" i="25"/>
  <c r="FH91" i="25"/>
  <c r="FH90" i="25"/>
  <c r="FH84" i="25"/>
  <c r="FH83" i="25"/>
  <c r="FH81" i="25"/>
  <c r="FH87" i="25"/>
  <c r="FH78" i="25"/>
  <c r="FH86" i="25"/>
  <c r="FH85" i="25"/>
  <c r="FH82" i="25"/>
  <c r="FH72" i="25"/>
  <c r="FH77" i="25"/>
  <c r="FH71" i="25"/>
  <c r="FH76" i="25"/>
  <c r="FH70" i="25"/>
  <c r="FH80" i="25"/>
  <c r="FH75" i="25"/>
  <c r="FH69" i="25"/>
  <c r="FH79" i="25"/>
  <c r="FH74" i="25"/>
  <c r="FH68" i="25"/>
  <c r="FH67" i="25"/>
  <c r="FH65" i="25"/>
  <c r="FH73" i="25"/>
  <c r="FH64" i="25"/>
  <c r="FH63" i="25"/>
  <c r="FH57" i="25"/>
  <c r="FH66" i="25"/>
  <c r="FH62" i="25"/>
  <c r="FH60" i="25"/>
  <c r="FH55" i="25"/>
  <c r="FH54" i="25"/>
  <c r="FH53" i="25"/>
  <c r="FH56" i="25"/>
  <c r="FH58" i="25"/>
  <c r="FH52" i="25"/>
  <c r="FH59" i="25"/>
  <c r="FH51" i="25"/>
  <c r="FH45" i="25"/>
  <c r="FH61" i="25"/>
  <c r="FH46" i="25"/>
  <c r="FH50" i="25"/>
  <c r="FH47" i="25"/>
  <c r="FH48" i="25"/>
  <c r="FH49" i="25"/>
  <c r="FH44" i="25"/>
  <c r="FH43" i="25"/>
  <c r="FH39" i="25"/>
  <c r="FH35" i="25"/>
  <c r="FH34" i="25"/>
  <c r="FH42" i="25"/>
  <c r="FH33" i="25"/>
  <c r="FH41" i="25"/>
  <c r="FH32" i="25"/>
  <c r="FH40" i="25"/>
  <c r="FH37" i="25"/>
  <c r="FH31" i="25"/>
  <c r="FH29" i="25"/>
  <c r="FH24" i="25"/>
  <c r="FH20" i="25"/>
  <c r="FH30" i="25"/>
  <c r="FH25" i="25"/>
  <c r="FH19" i="25"/>
  <c r="FH18" i="25"/>
  <c r="FH38" i="25"/>
  <c r="FH26" i="25"/>
  <c r="FH27" i="25"/>
  <c r="FH22" i="25"/>
  <c r="FH28" i="25"/>
  <c r="FH23" i="25"/>
  <c r="FH17" i="25"/>
  <c r="FH16" i="25"/>
  <c r="FG4" i="25"/>
  <c r="EX3" i="25"/>
  <c r="FH36" i="25"/>
  <c r="FH12" i="25"/>
  <c r="FH21" i="25"/>
  <c r="FH13" i="25"/>
  <c r="FH9" i="25"/>
  <c r="FH8" i="25"/>
  <c r="FH7" i="25"/>
  <c r="FH14" i="25"/>
  <c r="FH11" i="25"/>
  <c r="FH10" i="25"/>
  <c r="FH15" i="25"/>
  <c r="FI5" i="25"/>
  <c r="FI112" i="25" l="1"/>
  <c r="FW115" i="25"/>
  <c r="FI114" i="25"/>
  <c r="FI111" i="25"/>
  <c r="FI108" i="25"/>
  <c r="FI107" i="25"/>
  <c r="FI113" i="25"/>
  <c r="FI110" i="25"/>
  <c r="FI103" i="25"/>
  <c r="FI105" i="25"/>
  <c r="FI99" i="25"/>
  <c r="FI104" i="25"/>
  <c r="FI97" i="25"/>
  <c r="FI109" i="25"/>
  <c r="FI98" i="25"/>
  <c r="FI96" i="25"/>
  <c r="FI94" i="25"/>
  <c r="FI100" i="25"/>
  <c r="FI106" i="25"/>
  <c r="FI93" i="25"/>
  <c r="FI92" i="25"/>
  <c r="FI102" i="25"/>
  <c r="FI91" i="25"/>
  <c r="FI89" i="25"/>
  <c r="FI90" i="25"/>
  <c r="FI101" i="25"/>
  <c r="FI95" i="25"/>
  <c r="FI84" i="25"/>
  <c r="FI83" i="25"/>
  <c r="FI87" i="25"/>
  <c r="FI86" i="25"/>
  <c r="FI80" i="25"/>
  <c r="FI85" i="25"/>
  <c r="FI78" i="25"/>
  <c r="FI81" i="25"/>
  <c r="FI82" i="25"/>
  <c r="FI77" i="25"/>
  <c r="FI71" i="25"/>
  <c r="FI76" i="25"/>
  <c r="FI70" i="25"/>
  <c r="FI75" i="25"/>
  <c r="FI69" i="25"/>
  <c r="FI79" i="25"/>
  <c r="FI74" i="25"/>
  <c r="FI68" i="25"/>
  <c r="FI88" i="25"/>
  <c r="FI73" i="25"/>
  <c r="FI67" i="25"/>
  <c r="FI65" i="25"/>
  <c r="FI64" i="25"/>
  <c r="FI63" i="25"/>
  <c r="FI66" i="25"/>
  <c r="FI62" i="25"/>
  <c r="FI61" i="25"/>
  <c r="FI55" i="25"/>
  <c r="FI54" i="25"/>
  <c r="FI72" i="25"/>
  <c r="FI53" i="25"/>
  <c r="FI56" i="25"/>
  <c r="FI58" i="25"/>
  <c r="FI57" i="25"/>
  <c r="FI52" i="25"/>
  <c r="FI59" i="25"/>
  <c r="FI51" i="25"/>
  <c r="FI45" i="25"/>
  <c r="FI46" i="25"/>
  <c r="FI50" i="25"/>
  <c r="FI47" i="25"/>
  <c r="FI48" i="25"/>
  <c r="FI49" i="25"/>
  <c r="FI44" i="25"/>
  <c r="FI39" i="25"/>
  <c r="FI35" i="25"/>
  <c r="FI34" i="25"/>
  <c r="FI42" i="25"/>
  <c r="FI33" i="25"/>
  <c r="FI41" i="25"/>
  <c r="FI32" i="25"/>
  <c r="FI40" i="25"/>
  <c r="FI37" i="25"/>
  <c r="FI31" i="25"/>
  <c r="FI25" i="25"/>
  <c r="FI38" i="25"/>
  <c r="FI36" i="25"/>
  <c r="FI30" i="25"/>
  <c r="FI24" i="25"/>
  <c r="FI20" i="25"/>
  <c r="FI19" i="25"/>
  <c r="FI26" i="25"/>
  <c r="FI27" i="25"/>
  <c r="FI22" i="25"/>
  <c r="FI16" i="25"/>
  <c r="FI60" i="25"/>
  <c r="FI28" i="25"/>
  <c r="FI23" i="25"/>
  <c r="FI21" i="25"/>
  <c r="FI15" i="25"/>
  <c r="FI9" i="25"/>
  <c r="FI18" i="25"/>
  <c r="FI17" i="25"/>
  <c r="FI43" i="25"/>
  <c r="FI29" i="25"/>
  <c r="FI12" i="25"/>
  <c r="FI13" i="25"/>
  <c r="FI8" i="25"/>
  <c r="FI7" i="25"/>
  <c r="FI14" i="25"/>
  <c r="FI11" i="25"/>
  <c r="FI10" i="25"/>
  <c r="FJ5" i="25"/>
  <c r="FJ114" i="25" l="1"/>
  <c r="FJ113" i="25"/>
  <c r="FJ112" i="25"/>
  <c r="FJ111" i="25"/>
  <c r="FJ110" i="25"/>
  <c r="FJ106" i="25"/>
  <c r="FJ103" i="25"/>
  <c r="FJ102" i="25"/>
  <c r="FX115" i="25"/>
  <c r="FJ105" i="25"/>
  <c r="FJ99" i="25"/>
  <c r="FJ100" i="25"/>
  <c r="FJ94" i="25"/>
  <c r="FJ101" i="25"/>
  <c r="FJ109" i="25"/>
  <c r="FJ98" i="25"/>
  <c r="FJ108" i="25"/>
  <c r="FJ96" i="25"/>
  <c r="FJ93" i="25"/>
  <c r="FJ92" i="25"/>
  <c r="FJ91" i="25"/>
  <c r="FJ107" i="25"/>
  <c r="FJ104" i="25"/>
  <c r="FJ95" i="25"/>
  <c r="FJ89" i="25"/>
  <c r="FJ97" i="25"/>
  <c r="FJ90" i="25"/>
  <c r="FJ83" i="25"/>
  <c r="FJ87" i="25"/>
  <c r="FJ86" i="25"/>
  <c r="FJ88" i="25"/>
  <c r="FJ81" i="25"/>
  <c r="FJ82" i="25"/>
  <c r="FJ85" i="25"/>
  <c r="FJ79" i="25"/>
  <c r="FJ77" i="25"/>
  <c r="FJ71" i="25"/>
  <c r="FJ76" i="25"/>
  <c r="FJ70" i="25"/>
  <c r="FJ78" i="25"/>
  <c r="FJ80" i="25"/>
  <c r="FJ75" i="25"/>
  <c r="FJ69" i="25"/>
  <c r="FJ74" i="25"/>
  <c r="FJ68" i="25"/>
  <c r="FJ84" i="25"/>
  <c r="FJ73" i="25"/>
  <c r="FJ67" i="25"/>
  <c r="FJ65" i="25"/>
  <c r="FJ64" i="25"/>
  <c r="FJ63" i="25"/>
  <c r="FJ66" i="25"/>
  <c r="FJ62" i="25"/>
  <c r="FJ56" i="25"/>
  <c r="FJ61" i="25"/>
  <c r="FJ72" i="25"/>
  <c r="FJ54" i="25"/>
  <c r="FJ53" i="25"/>
  <c r="FJ58" i="25"/>
  <c r="FJ57" i="25"/>
  <c r="FJ52" i="25"/>
  <c r="FJ59" i="25"/>
  <c r="FJ51" i="25"/>
  <c r="FJ50" i="25"/>
  <c r="FJ44" i="25"/>
  <c r="FJ60" i="25"/>
  <c r="FJ46" i="25"/>
  <c r="FJ47" i="25"/>
  <c r="FJ48" i="25"/>
  <c r="FJ55" i="25"/>
  <c r="FJ49" i="25"/>
  <c r="FJ45" i="25"/>
  <c r="FJ34" i="25"/>
  <c r="FJ42" i="25"/>
  <c r="FJ33" i="25"/>
  <c r="FJ41" i="25"/>
  <c r="FJ32" i="25"/>
  <c r="FJ40" i="25"/>
  <c r="FJ37" i="25"/>
  <c r="FJ38" i="25"/>
  <c r="FJ36" i="25"/>
  <c r="FJ30" i="25"/>
  <c r="FJ43" i="25"/>
  <c r="FJ19" i="25"/>
  <c r="FJ35" i="25"/>
  <c r="FJ25" i="25"/>
  <c r="FJ18" i="25"/>
  <c r="FJ26" i="25"/>
  <c r="FJ39" i="25"/>
  <c r="FJ17" i="25"/>
  <c r="FJ31" i="25"/>
  <c r="FJ27" i="25"/>
  <c r="FJ22" i="25"/>
  <c r="FJ28" i="25"/>
  <c r="FJ23" i="25"/>
  <c r="FJ21" i="25"/>
  <c r="FJ29" i="25"/>
  <c r="FJ16" i="25"/>
  <c r="FJ8" i="25"/>
  <c r="FJ7" i="25"/>
  <c r="FJ12" i="25"/>
  <c r="FJ24" i="25"/>
  <c r="FJ13" i="25"/>
  <c r="FJ14" i="25"/>
  <c r="FJ11" i="25"/>
  <c r="FJ10" i="25"/>
  <c r="FJ9" i="25"/>
  <c r="FK5" i="25"/>
  <c r="FJ20" i="25"/>
  <c r="FJ15" i="25"/>
  <c r="FY115" i="25" l="1"/>
  <c r="FK114" i="25"/>
  <c r="FK111" i="25"/>
  <c r="FK110" i="25"/>
  <c r="FK113" i="25"/>
  <c r="FK102" i="25"/>
  <c r="FK100" i="25"/>
  <c r="FK103" i="25"/>
  <c r="FK104" i="25"/>
  <c r="FK109" i="25"/>
  <c r="FK98" i="25"/>
  <c r="FK107" i="25"/>
  <c r="FK105" i="25"/>
  <c r="FK96" i="25"/>
  <c r="FK94" i="25"/>
  <c r="FK106" i="25"/>
  <c r="FK112" i="25"/>
  <c r="FK108" i="25"/>
  <c r="FK101" i="25"/>
  <c r="FK92" i="25"/>
  <c r="FK97" i="25"/>
  <c r="FK93" i="25"/>
  <c r="FK90" i="25"/>
  <c r="FK91" i="25"/>
  <c r="FK95" i="25"/>
  <c r="FK99" i="25"/>
  <c r="FK83" i="25"/>
  <c r="FK87" i="25"/>
  <c r="FK86" i="25"/>
  <c r="FK89" i="25"/>
  <c r="FK88" i="25"/>
  <c r="FK85" i="25"/>
  <c r="FK79" i="25"/>
  <c r="FK84" i="25"/>
  <c r="FK81" i="25"/>
  <c r="FK82" i="25"/>
  <c r="FK80" i="25"/>
  <c r="FK76" i="25"/>
  <c r="FK70" i="25"/>
  <c r="FK78" i="25"/>
  <c r="FK75" i="25"/>
  <c r="FK69" i="25"/>
  <c r="FK74" i="25"/>
  <c r="FK68" i="25"/>
  <c r="FK73" i="25"/>
  <c r="FK67" i="25"/>
  <c r="FK72" i="25"/>
  <c r="FK65" i="25"/>
  <c r="FK64" i="25"/>
  <c r="FK71" i="25"/>
  <c r="FK63" i="25"/>
  <c r="FK66" i="25"/>
  <c r="FK62" i="25"/>
  <c r="FK77" i="25"/>
  <c r="FK61" i="25"/>
  <c r="FK60" i="25"/>
  <c r="FK54" i="25"/>
  <c r="FK53" i="25"/>
  <c r="FK58" i="25"/>
  <c r="FK57" i="25"/>
  <c r="FK56" i="25"/>
  <c r="FK52" i="25"/>
  <c r="FK59" i="25"/>
  <c r="FK51" i="25"/>
  <c r="FK50" i="25"/>
  <c r="FK44" i="25"/>
  <c r="FK55" i="25"/>
  <c r="FK47" i="25"/>
  <c r="FK48" i="25"/>
  <c r="FK49" i="25"/>
  <c r="FK45" i="25"/>
  <c r="FK34" i="25"/>
  <c r="FK46" i="25"/>
  <c r="FK42" i="25"/>
  <c r="FK33" i="25"/>
  <c r="FK41" i="25"/>
  <c r="FK32" i="25"/>
  <c r="FK40" i="25"/>
  <c r="FK37" i="25"/>
  <c r="FK31" i="25"/>
  <c r="FK38" i="25"/>
  <c r="FK36" i="25"/>
  <c r="FK30" i="25"/>
  <c r="FK24" i="25"/>
  <c r="FK43" i="25"/>
  <c r="FK39" i="25"/>
  <c r="FK35" i="25"/>
  <c r="FK29" i="25"/>
  <c r="FK23" i="25"/>
  <c r="FK19" i="25"/>
  <c r="FK25" i="25"/>
  <c r="FK18" i="25"/>
  <c r="FK26" i="25"/>
  <c r="FK27" i="25"/>
  <c r="FK22" i="25"/>
  <c r="FK28" i="25"/>
  <c r="FK21" i="25"/>
  <c r="FK15" i="25"/>
  <c r="FK20" i="25"/>
  <c r="FK14" i="25"/>
  <c r="FK8" i="25"/>
  <c r="FK12" i="25"/>
  <c r="FK13" i="25"/>
  <c r="FK7" i="25"/>
  <c r="FK11" i="25"/>
  <c r="FK10" i="25"/>
  <c r="FK9" i="25"/>
  <c r="FL5" i="25"/>
  <c r="FK16" i="25"/>
  <c r="FK17" i="25"/>
  <c r="FL113" i="25" l="1"/>
  <c r="FL112" i="25"/>
  <c r="FL111" i="25"/>
  <c r="FL105" i="25"/>
  <c r="FL102" i="25"/>
  <c r="FL110" i="25"/>
  <c r="FL100" i="25"/>
  <c r="FL103" i="25"/>
  <c r="FL101" i="25"/>
  <c r="FL107" i="25"/>
  <c r="FL106" i="25"/>
  <c r="FL93" i="25"/>
  <c r="FL92" i="25"/>
  <c r="FL91" i="25"/>
  <c r="FL104" i="25"/>
  <c r="FL114" i="25"/>
  <c r="FL99" i="25"/>
  <c r="FL96" i="25"/>
  <c r="FL109" i="25"/>
  <c r="FL108" i="25"/>
  <c r="FL98" i="25"/>
  <c r="FL97" i="25"/>
  <c r="FZ115" i="25"/>
  <c r="FL90" i="25"/>
  <c r="FL95" i="25"/>
  <c r="FL87" i="25"/>
  <c r="FL86" i="25"/>
  <c r="FL89" i="25"/>
  <c r="FL88" i="25"/>
  <c r="FL85" i="25"/>
  <c r="FL81" i="25"/>
  <c r="FL82" i="25"/>
  <c r="FL94" i="25"/>
  <c r="FL80" i="25"/>
  <c r="FL79" i="25"/>
  <c r="FL76" i="25"/>
  <c r="FL70" i="25"/>
  <c r="FL78" i="25"/>
  <c r="FL75" i="25"/>
  <c r="FL69" i="25"/>
  <c r="FL83" i="25"/>
  <c r="FL74" i="25"/>
  <c r="FL84" i="25"/>
  <c r="FL73" i="25"/>
  <c r="FL72" i="25"/>
  <c r="FL66" i="25"/>
  <c r="FL64" i="25"/>
  <c r="FL71" i="25"/>
  <c r="FL63" i="25"/>
  <c r="FL62" i="25"/>
  <c r="FL77" i="25"/>
  <c r="FL61" i="25"/>
  <c r="FL68" i="25"/>
  <c r="FL53" i="25"/>
  <c r="FL58" i="25"/>
  <c r="FL57" i="25"/>
  <c r="FL56" i="25"/>
  <c r="FL52" i="25"/>
  <c r="FL59" i="25"/>
  <c r="FL51" i="25"/>
  <c r="FL67" i="25"/>
  <c r="FL50" i="25"/>
  <c r="FL65" i="25"/>
  <c r="FL60" i="25"/>
  <c r="FL55" i="25"/>
  <c r="FL49" i="25"/>
  <c r="FL43" i="25"/>
  <c r="FL47" i="25"/>
  <c r="FL48" i="25"/>
  <c r="FL44" i="25"/>
  <c r="FL54" i="25"/>
  <c r="FL45" i="25"/>
  <c r="FL46" i="25"/>
  <c r="FL40" i="25"/>
  <c r="FL42" i="25"/>
  <c r="FL33" i="25"/>
  <c r="FL41" i="25"/>
  <c r="FL32" i="25"/>
  <c r="FL37" i="25"/>
  <c r="FL38" i="25"/>
  <c r="FL36" i="25"/>
  <c r="FL39" i="25"/>
  <c r="FL35" i="25"/>
  <c r="FL25" i="25"/>
  <c r="FL30" i="25"/>
  <c r="FL18" i="25"/>
  <c r="FL26" i="25"/>
  <c r="FL34" i="25"/>
  <c r="FL27" i="25"/>
  <c r="FL22" i="25"/>
  <c r="FL31" i="25"/>
  <c r="FL28" i="25"/>
  <c r="FL23" i="25"/>
  <c r="FL21" i="25"/>
  <c r="FL29" i="25"/>
  <c r="FL20" i="25"/>
  <c r="FL24" i="25"/>
  <c r="FL12" i="25"/>
  <c r="FK4" i="25"/>
  <c r="FK3" i="25"/>
  <c r="FL13" i="25"/>
  <c r="FL7" i="25"/>
  <c r="FL11" i="25"/>
  <c r="FL10" i="25"/>
  <c r="FL9" i="25"/>
  <c r="FL8" i="25"/>
  <c r="FL14" i="25"/>
  <c r="FM5" i="25"/>
  <c r="FL15" i="25"/>
  <c r="FL17" i="25"/>
  <c r="FL16" i="25"/>
  <c r="FL19" i="25"/>
  <c r="FM114" i="25" l="1"/>
  <c r="GA115" i="25"/>
  <c r="FM110" i="25"/>
  <c r="FM113" i="25"/>
  <c r="FM112" i="25"/>
  <c r="FM111" i="25"/>
  <c r="FM109" i="25"/>
  <c r="FM101" i="25"/>
  <c r="FM106" i="25"/>
  <c r="FM102" i="25"/>
  <c r="FM103" i="25"/>
  <c r="FM104" i="25"/>
  <c r="FM107" i="25"/>
  <c r="FM100" i="25"/>
  <c r="FM108" i="25"/>
  <c r="FM93" i="25"/>
  <c r="FM92" i="25"/>
  <c r="FM91" i="25"/>
  <c r="FM99" i="25"/>
  <c r="FM97" i="25"/>
  <c r="FM98" i="25"/>
  <c r="FM95" i="25"/>
  <c r="FM94" i="25"/>
  <c r="FM105" i="25"/>
  <c r="FM90" i="25"/>
  <c r="FM96" i="25"/>
  <c r="FM87" i="25"/>
  <c r="FM86" i="25"/>
  <c r="FM89" i="25"/>
  <c r="FM88" i="25"/>
  <c r="FM85" i="25"/>
  <c r="FM84" i="25"/>
  <c r="FM81" i="25"/>
  <c r="FM82" i="25"/>
  <c r="FM80" i="25"/>
  <c r="FM79" i="25"/>
  <c r="FM83" i="25"/>
  <c r="FM78" i="25"/>
  <c r="FM75" i="25"/>
  <c r="FM69" i="25"/>
  <c r="FM74" i="25"/>
  <c r="FM68" i="25"/>
  <c r="FM73" i="25"/>
  <c r="FM72" i="25"/>
  <c r="FM66" i="25"/>
  <c r="FM77" i="25"/>
  <c r="FM71" i="25"/>
  <c r="FM76" i="25"/>
  <c r="FM63" i="25"/>
  <c r="FM62" i="25"/>
  <c r="FM61" i="25"/>
  <c r="FM70" i="25"/>
  <c r="FM60" i="25"/>
  <c r="FM59" i="25"/>
  <c r="FM53" i="25"/>
  <c r="FM64" i="25"/>
  <c r="FM58" i="25"/>
  <c r="FM57" i="25"/>
  <c r="FM56" i="25"/>
  <c r="FM52" i="25"/>
  <c r="FM51" i="25"/>
  <c r="FM67" i="25"/>
  <c r="FM50" i="25"/>
  <c r="FM65" i="25"/>
  <c r="FM55" i="25"/>
  <c r="FM49" i="25"/>
  <c r="FM43" i="25"/>
  <c r="FM54" i="25"/>
  <c r="FM48" i="25"/>
  <c r="FM44" i="25"/>
  <c r="FM45" i="25"/>
  <c r="FM46" i="25"/>
  <c r="FM40" i="25"/>
  <c r="FM42" i="25"/>
  <c r="FM33" i="25"/>
  <c r="FM47" i="25"/>
  <c r="FM41" i="25"/>
  <c r="FM32" i="25"/>
  <c r="FM37" i="25"/>
  <c r="FM31" i="25"/>
  <c r="FM38" i="25"/>
  <c r="FM36" i="25"/>
  <c r="FM39" i="25"/>
  <c r="FM35" i="25"/>
  <c r="FM29" i="25"/>
  <c r="FM23" i="25"/>
  <c r="FM34" i="25"/>
  <c r="FM28" i="25"/>
  <c r="FM22" i="25"/>
  <c r="FM30" i="25"/>
  <c r="FM18" i="25"/>
  <c r="FM26" i="25"/>
  <c r="FM27" i="25"/>
  <c r="FM21" i="25"/>
  <c r="FM20" i="25"/>
  <c r="FM14" i="25"/>
  <c r="FM24" i="25"/>
  <c r="FM19" i="25"/>
  <c r="FM13" i="25"/>
  <c r="FM7" i="25"/>
  <c r="FN5" i="25"/>
  <c r="FM25" i="25"/>
  <c r="FM11" i="25"/>
  <c r="FM10" i="25"/>
  <c r="FM9" i="25"/>
  <c r="FM8" i="25"/>
  <c r="FM12" i="25"/>
  <c r="FM15" i="25"/>
  <c r="FM17" i="25"/>
  <c r="FM16" i="25"/>
  <c r="FN113" i="25" l="1"/>
  <c r="FN111" i="25"/>
  <c r="FN110" i="25"/>
  <c r="FN101" i="25"/>
  <c r="FN106" i="25"/>
  <c r="FN107" i="25"/>
  <c r="FN105" i="25"/>
  <c r="FN108" i="25"/>
  <c r="FN104" i="25"/>
  <c r="FN98" i="25"/>
  <c r="FN102" i="25"/>
  <c r="FN100" i="25"/>
  <c r="FN96" i="25"/>
  <c r="FN95" i="25"/>
  <c r="FN112" i="25"/>
  <c r="FN90" i="25"/>
  <c r="FN103" i="25"/>
  <c r="FN99" i="25"/>
  <c r="FN114" i="25"/>
  <c r="FN97" i="25"/>
  <c r="FN93" i="25"/>
  <c r="FN94" i="25"/>
  <c r="FN92" i="25"/>
  <c r="GB115" i="25"/>
  <c r="FN91" i="25"/>
  <c r="FN89" i="25"/>
  <c r="FN87" i="25"/>
  <c r="FN86" i="25"/>
  <c r="FN88" i="25"/>
  <c r="FN85" i="25"/>
  <c r="FN84" i="25"/>
  <c r="FN109" i="25"/>
  <c r="FN82" i="25"/>
  <c r="FN80" i="25"/>
  <c r="FN79" i="25"/>
  <c r="FN78" i="25"/>
  <c r="FN83" i="25"/>
  <c r="FN75" i="25"/>
  <c r="FN69" i="25"/>
  <c r="FN81" i="25"/>
  <c r="FN74" i="25"/>
  <c r="FN73" i="25"/>
  <c r="FN72" i="25"/>
  <c r="FN77" i="25"/>
  <c r="FN71" i="25"/>
  <c r="FN63" i="25"/>
  <c r="FN62" i="25"/>
  <c r="FN66" i="25"/>
  <c r="FN70" i="25"/>
  <c r="FN60" i="25"/>
  <c r="FN68" i="25"/>
  <c r="FN67" i="25"/>
  <c r="FN65" i="25"/>
  <c r="FN64" i="25"/>
  <c r="FN58" i="25"/>
  <c r="FN57" i="25"/>
  <c r="FN56" i="25"/>
  <c r="FN52" i="25"/>
  <c r="FN51" i="25"/>
  <c r="FN59" i="25"/>
  <c r="FN76" i="25"/>
  <c r="FN55" i="25"/>
  <c r="FN49" i="25"/>
  <c r="FN54" i="25"/>
  <c r="FN48" i="25"/>
  <c r="FN42" i="25"/>
  <c r="FN61" i="25"/>
  <c r="FN50" i="25"/>
  <c r="FN44" i="25"/>
  <c r="FN45" i="25"/>
  <c r="FN46" i="25"/>
  <c r="FN40" i="25"/>
  <c r="FN53" i="25"/>
  <c r="FN47" i="25"/>
  <c r="FN39" i="25"/>
  <c r="FN41" i="25"/>
  <c r="FN32" i="25"/>
  <c r="FN37" i="25"/>
  <c r="FN38" i="25"/>
  <c r="FN36" i="25"/>
  <c r="FN35" i="25"/>
  <c r="FN43" i="25"/>
  <c r="FN34" i="25"/>
  <c r="FN26" i="25"/>
  <c r="FN27" i="25"/>
  <c r="FN22" i="25"/>
  <c r="FN31" i="25"/>
  <c r="FN28" i="25"/>
  <c r="FN21" i="25"/>
  <c r="FN23" i="25"/>
  <c r="FN33" i="25"/>
  <c r="FN20" i="25"/>
  <c r="FN29" i="25"/>
  <c r="FN24" i="25"/>
  <c r="FN19" i="25"/>
  <c r="FN25" i="25"/>
  <c r="FN30" i="25"/>
  <c r="FN13" i="25"/>
  <c r="FO5" i="25"/>
  <c r="FN11" i="25"/>
  <c r="FN10" i="25"/>
  <c r="FN9" i="25"/>
  <c r="FN8" i="25"/>
  <c r="FN7" i="25"/>
  <c r="FN14" i="25"/>
  <c r="FN15" i="25"/>
  <c r="FN17" i="25"/>
  <c r="FN16" i="25"/>
  <c r="FN18" i="25"/>
  <c r="FN12" i="25"/>
  <c r="FO113" i="25" l="1"/>
  <c r="GC115" i="25"/>
  <c r="FO110" i="25"/>
  <c r="FO106" i="25"/>
  <c r="FO107" i="25"/>
  <c r="FO105" i="25"/>
  <c r="FO100" i="25"/>
  <c r="FO109" i="25"/>
  <c r="FO108" i="25"/>
  <c r="FO103" i="25"/>
  <c r="FO104" i="25"/>
  <c r="FO101" i="25"/>
  <c r="FO98" i="25"/>
  <c r="FO114" i="25"/>
  <c r="FO96" i="25"/>
  <c r="FO95" i="25"/>
  <c r="FO94" i="25"/>
  <c r="FO99" i="25"/>
  <c r="FO111" i="25"/>
  <c r="FO90" i="25"/>
  <c r="FO112" i="25"/>
  <c r="FO97" i="25"/>
  <c r="FO93" i="25"/>
  <c r="FO91" i="25"/>
  <c r="FO102" i="25"/>
  <c r="FO89" i="25"/>
  <c r="FO88" i="25"/>
  <c r="FO87" i="25"/>
  <c r="FO86" i="25"/>
  <c r="FO85" i="25"/>
  <c r="FO84" i="25"/>
  <c r="FO83" i="25"/>
  <c r="FO92" i="25"/>
  <c r="FO82" i="25"/>
  <c r="FO80" i="25"/>
  <c r="FO79" i="25"/>
  <c r="FO78" i="25"/>
  <c r="FO81" i="25"/>
  <c r="FO74" i="25"/>
  <c r="FO68" i="25"/>
  <c r="FO73" i="25"/>
  <c r="FO67" i="25"/>
  <c r="FO72" i="25"/>
  <c r="FO77" i="25"/>
  <c r="FO71" i="25"/>
  <c r="FO65" i="25"/>
  <c r="FO76" i="25"/>
  <c r="FO70" i="25"/>
  <c r="FO69" i="25"/>
  <c r="FO62" i="25"/>
  <c r="FO66" i="25"/>
  <c r="FO61" i="25"/>
  <c r="FO75" i="25"/>
  <c r="FO64" i="25"/>
  <c r="FO58" i="25"/>
  <c r="FO57" i="25"/>
  <c r="FO56" i="25"/>
  <c r="FO52" i="25"/>
  <c r="FO51" i="25"/>
  <c r="FO59" i="25"/>
  <c r="FO63" i="25"/>
  <c r="FO55" i="25"/>
  <c r="FO60" i="25"/>
  <c r="FO54" i="25"/>
  <c r="FO48" i="25"/>
  <c r="FO42" i="25"/>
  <c r="FO53" i="25"/>
  <c r="FO50" i="25"/>
  <c r="FO44" i="25"/>
  <c r="FO49" i="25"/>
  <c r="FO45" i="25"/>
  <c r="FO46" i="25"/>
  <c r="FO47" i="25"/>
  <c r="FO41" i="25"/>
  <c r="FO32" i="25"/>
  <c r="FO37" i="25"/>
  <c r="FO31" i="25"/>
  <c r="FO38" i="25"/>
  <c r="FO36" i="25"/>
  <c r="FO40" i="25"/>
  <c r="FO35" i="25"/>
  <c r="FO43" i="25"/>
  <c r="FO39" i="25"/>
  <c r="FO34" i="25"/>
  <c r="FO28" i="25"/>
  <c r="FO22" i="25"/>
  <c r="FO33" i="25"/>
  <c r="FO27" i="25"/>
  <c r="FO17" i="25"/>
  <c r="FO21" i="25"/>
  <c r="FO23" i="25"/>
  <c r="FO20" i="25"/>
  <c r="FO29" i="25"/>
  <c r="FO24" i="25"/>
  <c r="FO19" i="25"/>
  <c r="FO13" i="25"/>
  <c r="FO25" i="25"/>
  <c r="FO30" i="25"/>
  <c r="FO18" i="25"/>
  <c r="FO12" i="25"/>
  <c r="FO26" i="25"/>
  <c r="FO11" i="25"/>
  <c r="FO10" i="25"/>
  <c r="FO9" i="25"/>
  <c r="FO8" i="25"/>
  <c r="FO7" i="25"/>
  <c r="FO14" i="25"/>
  <c r="FP5" i="25"/>
  <c r="FO15" i="25"/>
  <c r="FO16" i="25"/>
  <c r="GD115" i="25" l="1"/>
  <c r="FP110" i="25"/>
  <c r="FP114" i="25"/>
  <c r="FP113" i="25"/>
  <c r="FP107" i="25"/>
  <c r="FP105" i="25"/>
  <c r="FP100" i="25"/>
  <c r="FP109" i="25"/>
  <c r="FP108" i="25"/>
  <c r="FP103" i="25"/>
  <c r="FP99" i="25"/>
  <c r="FP101" i="25"/>
  <c r="FP102" i="25"/>
  <c r="FP97" i="25"/>
  <c r="FP96" i="25"/>
  <c r="FP95" i="25"/>
  <c r="FP94" i="25"/>
  <c r="FP89" i="25"/>
  <c r="FP112" i="25"/>
  <c r="FP106" i="25"/>
  <c r="FP104" i="25"/>
  <c r="FP111" i="25"/>
  <c r="FP91" i="25"/>
  <c r="FP98" i="25"/>
  <c r="FP93" i="25"/>
  <c r="FP90" i="25"/>
  <c r="FP87" i="25"/>
  <c r="FP86" i="25"/>
  <c r="FP88" i="25"/>
  <c r="FP85" i="25"/>
  <c r="FP84" i="25"/>
  <c r="FP83" i="25"/>
  <c r="FP92" i="25"/>
  <c r="FP80" i="25"/>
  <c r="FP79" i="25"/>
  <c r="FP81" i="25"/>
  <c r="FP74" i="25"/>
  <c r="FP68" i="25"/>
  <c r="FP82" i="25"/>
  <c r="FP73" i="25"/>
  <c r="FP72" i="25"/>
  <c r="FP77" i="25"/>
  <c r="FP71" i="25"/>
  <c r="FP76" i="25"/>
  <c r="FP70" i="25"/>
  <c r="FP62" i="25"/>
  <c r="FP66" i="25"/>
  <c r="FP61" i="25"/>
  <c r="FP75" i="25"/>
  <c r="FP59" i="25"/>
  <c r="FP67" i="25"/>
  <c r="FP65" i="25"/>
  <c r="FP64" i="25"/>
  <c r="FP78" i="25"/>
  <c r="FP58" i="25"/>
  <c r="FP63" i="25"/>
  <c r="FP55" i="25"/>
  <c r="FP60" i="25"/>
  <c r="FP54" i="25"/>
  <c r="FP69" i="25"/>
  <c r="FP53" i="25"/>
  <c r="FP47" i="25"/>
  <c r="FP57" i="25"/>
  <c r="FP51" i="25"/>
  <c r="FP48" i="25"/>
  <c r="FP43" i="25"/>
  <c r="FP56" i="25"/>
  <c r="FP44" i="25"/>
  <c r="FP52" i="25"/>
  <c r="FP49" i="25"/>
  <c r="FP45" i="25"/>
  <c r="FP46" i="25"/>
  <c r="FP39" i="25"/>
  <c r="FP38" i="25"/>
  <c r="FP37" i="25"/>
  <c r="FP31" i="25"/>
  <c r="FP50" i="25"/>
  <c r="FP36" i="25"/>
  <c r="FP40" i="25"/>
  <c r="FP35" i="25"/>
  <c r="FP34" i="25"/>
  <c r="FP33" i="25"/>
  <c r="FP27" i="25"/>
  <c r="FP22" i="25"/>
  <c r="FP21" i="25"/>
  <c r="FP28" i="25"/>
  <c r="FP23" i="25"/>
  <c r="FP20" i="25"/>
  <c r="FP41" i="25"/>
  <c r="FP29" i="25"/>
  <c r="FP24" i="25"/>
  <c r="FP19" i="25"/>
  <c r="FP42" i="25"/>
  <c r="FP25" i="25"/>
  <c r="FP30" i="25"/>
  <c r="FP18" i="25"/>
  <c r="FP32" i="25"/>
  <c r="FP26" i="25"/>
  <c r="FP13" i="25"/>
  <c r="FP11" i="25"/>
  <c r="FP10" i="25"/>
  <c r="FP9" i="25"/>
  <c r="FP8" i="25"/>
  <c r="FP7" i="25"/>
  <c r="FP14" i="25"/>
  <c r="FQ5" i="25"/>
  <c r="FP15" i="25"/>
  <c r="FP17" i="25"/>
  <c r="FP16" i="25"/>
  <c r="FP12" i="25"/>
  <c r="GE115" i="25" l="1"/>
  <c r="FQ109" i="25"/>
  <c r="FQ114" i="25"/>
  <c r="FQ108" i="25"/>
  <c r="FQ110" i="25"/>
  <c r="FQ112" i="25"/>
  <c r="FQ111" i="25"/>
  <c r="FQ99" i="25"/>
  <c r="FQ102" i="25"/>
  <c r="FQ97" i="25"/>
  <c r="FQ107" i="25"/>
  <c r="FQ113" i="25"/>
  <c r="FQ100" i="25"/>
  <c r="FQ89" i="25"/>
  <c r="FQ106" i="25"/>
  <c r="FQ104" i="25"/>
  <c r="FQ103" i="25"/>
  <c r="FQ101" i="25"/>
  <c r="FQ105" i="25"/>
  <c r="FQ95" i="25"/>
  <c r="FQ93" i="25"/>
  <c r="FQ91" i="25"/>
  <c r="FQ96" i="25"/>
  <c r="FQ88" i="25"/>
  <c r="FQ87" i="25"/>
  <c r="FQ98" i="25"/>
  <c r="FQ92" i="25"/>
  <c r="FQ86" i="25"/>
  <c r="FQ85" i="25"/>
  <c r="FQ84" i="25"/>
  <c r="FQ82" i="25"/>
  <c r="FQ94" i="25"/>
  <c r="FQ90" i="25"/>
  <c r="FQ80" i="25"/>
  <c r="FQ79" i="25"/>
  <c r="FQ83" i="25"/>
  <c r="FQ81" i="25"/>
  <c r="FQ73" i="25"/>
  <c r="FQ67" i="25"/>
  <c r="FQ72" i="25"/>
  <c r="FQ77" i="25"/>
  <c r="FQ71" i="25"/>
  <c r="FQ76" i="25"/>
  <c r="FQ70" i="25"/>
  <c r="FQ75" i="25"/>
  <c r="FQ69" i="25"/>
  <c r="FQ66" i="25"/>
  <c r="FQ61" i="25"/>
  <c r="FQ68" i="25"/>
  <c r="FQ65" i="25"/>
  <c r="FQ64" i="25"/>
  <c r="FQ78" i="25"/>
  <c r="FQ63" i="25"/>
  <c r="FQ51" i="25"/>
  <c r="FQ59" i="25"/>
  <c r="FQ74" i="25"/>
  <c r="FQ55" i="25"/>
  <c r="FQ60" i="25"/>
  <c r="FQ54" i="25"/>
  <c r="FQ53" i="25"/>
  <c r="FQ47" i="25"/>
  <c r="FQ41" i="25"/>
  <c r="FQ57" i="25"/>
  <c r="FQ56" i="25"/>
  <c r="FQ44" i="25"/>
  <c r="FQ52" i="25"/>
  <c r="FQ49" i="25"/>
  <c r="FQ45" i="25"/>
  <c r="FQ46" i="25"/>
  <c r="FQ62" i="25"/>
  <c r="FQ50" i="25"/>
  <c r="FQ42" i="25"/>
  <c r="FQ48" i="25"/>
  <c r="FQ37" i="25"/>
  <c r="FQ31" i="25"/>
  <c r="FQ36" i="25"/>
  <c r="FQ58" i="25"/>
  <c r="FQ40" i="25"/>
  <c r="FQ38" i="25"/>
  <c r="FQ35" i="25"/>
  <c r="FQ43" i="25"/>
  <c r="FQ39" i="25"/>
  <c r="FQ34" i="25"/>
  <c r="FQ33" i="25"/>
  <c r="FQ27" i="25"/>
  <c r="FQ32" i="25"/>
  <c r="FQ26" i="25"/>
  <c r="FQ22" i="25"/>
  <c r="FQ21" i="25"/>
  <c r="FQ28" i="25"/>
  <c r="FQ23" i="25"/>
  <c r="FQ20" i="25"/>
  <c r="FQ29" i="25"/>
  <c r="FQ24" i="25"/>
  <c r="FQ19" i="25"/>
  <c r="FQ25" i="25"/>
  <c r="FQ30" i="25"/>
  <c r="FQ18" i="25"/>
  <c r="FQ12" i="25"/>
  <c r="FQ17" i="25"/>
  <c r="FQ11" i="25"/>
  <c r="FQ7" i="25"/>
  <c r="FQ14" i="25"/>
  <c r="FR5" i="25"/>
  <c r="FQ9" i="25"/>
  <c r="FQ15" i="25"/>
  <c r="FQ16" i="25"/>
  <c r="FQ13" i="25"/>
  <c r="FQ10" i="25"/>
  <c r="FQ8" i="25"/>
  <c r="FP4" i="25"/>
  <c r="FR114" i="25" l="1"/>
  <c r="GF115" i="25"/>
  <c r="FR110" i="25"/>
  <c r="FR112" i="25"/>
  <c r="FR111" i="25"/>
  <c r="FR109" i="25"/>
  <c r="FR99" i="25"/>
  <c r="FR108" i="25"/>
  <c r="FR104" i="25"/>
  <c r="FR102" i="25"/>
  <c r="FR107" i="25"/>
  <c r="FR96" i="25"/>
  <c r="FR106" i="25"/>
  <c r="FR93" i="25"/>
  <c r="FR105" i="25"/>
  <c r="FR103" i="25"/>
  <c r="FR100" i="25"/>
  <c r="FR88" i="25"/>
  <c r="FR97" i="25"/>
  <c r="FR113" i="25"/>
  <c r="FR101" i="25"/>
  <c r="FR98" i="25"/>
  <c r="FR95" i="25"/>
  <c r="FR92" i="25"/>
  <c r="FR94" i="25"/>
  <c r="FR91" i="25"/>
  <c r="FR89" i="25"/>
  <c r="FR87" i="25"/>
  <c r="FR85" i="25"/>
  <c r="FR84" i="25"/>
  <c r="FR82" i="25"/>
  <c r="FR86" i="25"/>
  <c r="FR80" i="25"/>
  <c r="FR79" i="25"/>
  <c r="FR83" i="25"/>
  <c r="FR90" i="25"/>
  <c r="FR81" i="25"/>
  <c r="FR73" i="25"/>
  <c r="FR72" i="25"/>
  <c r="FR77" i="25"/>
  <c r="FR71" i="25"/>
  <c r="FR76" i="25"/>
  <c r="FR70" i="25"/>
  <c r="FR75" i="25"/>
  <c r="FR69" i="25"/>
  <c r="FR78" i="25"/>
  <c r="FR66" i="25"/>
  <c r="FR61" i="25"/>
  <c r="FR68" i="25"/>
  <c r="FR65" i="25"/>
  <c r="FR64" i="25"/>
  <c r="FR58" i="25"/>
  <c r="FR67" i="25"/>
  <c r="FR63" i="25"/>
  <c r="FR74" i="25"/>
  <c r="FR59" i="25"/>
  <c r="FR55" i="25"/>
  <c r="FR60" i="25"/>
  <c r="FR54" i="25"/>
  <c r="FR53" i="25"/>
  <c r="FR57" i="25"/>
  <c r="FR56" i="25"/>
  <c r="FR52" i="25"/>
  <c r="FR46" i="25"/>
  <c r="FR62" i="25"/>
  <c r="FR44" i="25"/>
  <c r="FR49" i="25"/>
  <c r="FR45" i="25"/>
  <c r="FR47" i="25"/>
  <c r="FR38" i="25"/>
  <c r="FR50" i="25"/>
  <c r="FR42" i="25"/>
  <c r="FR48" i="25"/>
  <c r="FR41" i="25"/>
  <c r="FR36" i="25"/>
  <c r="FR40" i="25"/>
  <c r="FR35" i="25"/>
  <c r="FR43" i="25"/>
  <c r="FR39" i="25"/>
  <c r="FR34" i="25"/>
  <c r="FR51" i="25"/>
  <c r="FR33" i="25"/>
  <c r="FR32" i="25"/>
  <c r="FR27" i="25"/>
  <c r="FR22" i="25"/>
  <c r="FR21" i="25"/>
  <c r="FR28" i="25"/>
  <c r="FR23" i="25"/>
  <c r="FR31" i="25"/>
  <c r="FR20" i="25"/>
  <c r="FR29" i="25"/>
  <c r="FR24" i="25"/>
  <c r="FR19" i="25"/>
  <c r="FR25" i="25"/>
  <c r="FR37" i="25"/>
  <c r="FR30" i="25"/>
  <c r="FR18" i="25"/>
  <c r="FR26" i="25"/>
  <c r="FR14" i="25"/>
  <c r="FS5" i="25"/>
  <c r="FR15" i="25"/>
  <c r="FR16" i="25"/>
  <c r="FR17" i="25"/>
  <c r="FR11" i="25"/>
  <c r="FR12" i="25"/>
  <c r="FR13" i="25"/>
  <c r="FR10" i="25"/>
  <c r="FR9" i="25"/>
  <c r="FR8" i="25"/>
  <c r="FR7" i="25"/>
  <c r="FS107" i="25" l="1"/>
  <c r="FS113" i="25"/>
  <c r="FS112" i="25"/>
  <c r="FS111" i="25"/>
  <c r="FS109" i="25"/>
  <c r="FS108" i="25"/>
  <c r="FS104" i="25"/>
  <c r="FS114" i="25"/>
  <c r="FS105" i="25"/>
  <c r="FS99" i="25"/>
  <c r="FS106" i="25"/>
  <c r="FS103" i="25"/>
  <c r="FS100" i="25"/>
  <c r="FS97" i="25"/>
  <c r="FS101" i="25"/>
  <c r="FS98" i="25"/>
  <c r="FS95" i="25"/>
  <c r="FS110" i="25"/>
  <c r="FS90" i="25"/>
  <c r="FS93" i="25"/>
  <c r="FS96" i="25"/>
  <c r="GG115" i="25"/>
  <c r="FS91" i="25"/>
  <c r="FS102" i="25"/>
  <c r="FS89" i="25"/>
  <c r="FS92" i="25"/>
  <c r="FS86" i="25"/>
  <c r="FS94" i="25"/>
  <c r="FS85" i="25"/>
  <c r="FS88" i="25"/>
  <c r="FS84" i="25"/>
  <c r="FS81" i="25"/>
  <c r="FS80" i="25"/>
  <c r="FS79" i="25"/>
  <c r="FS78" i="25"/>
  <c r="FS83" i="25"/>
  <c r="FS82" i="25"/>
  <c r="FS72" i="25"/>
  <c r="FS87" i="25"/>
  <c r="FS77" i="25"/>
  <c r="FS71" i="25"/>
  <c r="FS76" i="25"/>
  <c r="FS70" i="25"/>
  <c r="FS75" i="25"/>
  <c r="FS69" i="25"/>
  <c r="FS74" i="25"/>
  <c r="FS68" i="25"/>
  <c r="FS60" i="25"/>
  <c r="FS73" i="25"/>
  <c r="FS65" i="25"/>
  <c r="FS64" i="25"/>
  <c r="FS67" i="25"/>
  <c r="FS63" i="25"/>
  <c r="FS62" i="25"/>
  <c r="FS59" i="25"/>
  <c r="FS50" i="25"/>
  <c r="FS55" i="25"/>
  <c r="FS54" i="25"/>
  <c r="FS66" i="25"/>
  <c r="FS53" i="25"/>
  <c r="FS57" i="25"/>
  <c r="FS56" i="25"/>
  <c r="FS52" i="25"/>
  <c r="FS46" i="25"/>
  <c r="FS61" i="25"/>
  <c r="FS58" i="25"/>
  <c r="FS49" i="25"/>
  <c r="FS45" i="25"/>
  <c r="FS47" i="25"/>
  <c r="FS42" i="25"/>
  <c r="FS48" i="25"/>
  <c r="FS41" i="25"/>
  <c r="FS51" i="25"/>
  <c r="FS43" i="25"/>
  <c r="FS36" i="25"/>
  <c r="FS40" i="25"/>
  <c r="FS38" i="25"/>
  <c r="FS35" i="25"/>
  <c r="FS44" i="25"/>
  <c r="FS39" i="25"/>
  <c r="FS34" i="25"/>
  <c r="FS33" i="25"/>
  <c r="FS32" i="25"/>
  <c r="FS26" i="25"/>
  <c r="FS37" i="25"/>
  <c r="FS31" i="25"/>
  <c r="FS25" i="25"/>
  <c r="FS21" i="25"/>
  <c r="FS28" i="25"/>
  <c r="FS23" i="25"/>
  <c r="FS20" i="25"/>
  <c r="FS29" i="25"/>
  <c r="FS24" i="25"/>
  <c r="FS19" i="25"/>
  <c r="FS30" i="25"/>
  <c r="FS17" i="25"/>
  <c r="FS16" i="25"/>
  <c r="FS10" i="25"/>
  <c r="FS27" i="25"/>
  <c r="FS15" i="25"/>
  <c r="FS22" i="25"/>
  <c r="FS12" i="25"/>
  <c r="FT5" i="25"/>
  <c r="FS13" i="25"/>
  <c r="FS9" i="25"/>
  <c r="FS8" i="25"/>
  <c r="FS7" i="25"/>
  <c r="FS14" i="25"/>
  <c r="FS18" i="25"/>
  <c r="FS11" i="25"/>
  <c r="FT114" i="25" l="1"/>
  <c r="FT113" i="25"/>
  <c r="FT109" i="25"/>
  <c r="FT108" i="25"/>
  <c r="FT107" i="25"/>
  <c r="FT104" i="25"/>
  <c r="FT103" i="25"/>
  <c r="FT100" i="25"/>
  <c r="FT105" i="25"/>
  <c r="FT106" i="25"/>
  <c r="FT95" i="25"/>
  <c r="FT112" i="25"/>
  <c r="FT111" i="25"/>
  <c r="FT99" i="25"/>
  <c r="FT92" i="25"/>
  <c r="FT101" i="25"/>
  <c r="FT97" i="25"/>
  <c r="FT98" i="25"/>
  <c r="FT110" i="25"/>
  <c r="FT102" i="25"/>
  <c r="GH115" i="25"/>
  <c r="FT94" i="25"/>
  <c r="FT96" i="25"/>
  <c r="FT89" i="25"/>
  <c r="FT88" i="25"/>
  <c r="FT90" i="25"/>
  <c r="FT91" i="25"/>
  <c r="FT84" i="25"/>
  <c r="FT83" i="25"/>
  <c r="FT93" i="25"/>
  <c r="FT81" i="25"/>
  <c r="FT87" i="25"/>
  <c r="FT86" i="25"/>
  <c r="FT80" i="25"/>
  <c r="FT79" i="25"/>
  <c r="FT78" i="25"/>
  <c r="FT85" i="25"/>
  <c r="FT82" i="25"/>
  <c r="FT72" i="25"/>
  <c r="FT77" i="25"/>
  <c r="FT71" i="25"/>
  <c r="FT76" i="25"/>
  <c r="FT70" i="25"/>
  <c r="FT75" i="25"/>
  <c r="FT69" i="25"/>
  <c r="FT74" i="25"/>
  <c r="FT68" i="25"/>
  <c r="FT73" i="25"/>
  <c r="FT65" i="25"/>
  <c r="FT64" i="25"/>
  <c r="FT67" i="25"/>
  <c r="FT63" i="25"/>
  <c r="FT57" i="25"/>
  <c r="FT62" i="25"/>
  <c r="FT55" i="25"/>
  <c r="FT54" i="25"/>
  <c r="FT66" i="25"/>
  <c r="FT60" i="25"/>
  <c r="FT53" i="25"/>
  <c r="FT56" i="25"/>
  <c r="FT52" i="25"/>
  <c r="FT61" i="25"/>
  <c r="FT58" i="25"/>
  <c r="FT51" i="25"/>
  <c r="FT45" i="25"/>
  <c r="FT46" i="25"/>
  <c r="FT47" i="25"/>
  <c r="FT50" i="25"/>
  <c r="FT48" i="25"/>
  <c r="FT41" i="25"/>
  <c r="FT43" i="25"/>
  <c r="FT59" i="25"/>
  <c r="FT44" i="25"/>
  <c r="FT49" i="25"/>
  <c r="FT40" i="25"/>
  <c r="FT38" i="25"/>
  <c r="FT35" i="25"/>
  <c r="FT39" i="25"/>
  <c r="FT34" i="25"/>
  <c r="FT33" i="25"/>
  <c r="FT32" i="25"/>
  <c r="FT37" i="25"/>
  <c r="FT31" i="25"/>
  <c r="FT42" i="25"/>
  <c r="FT28" i="25"/>
  <c r="FT23" i="25"/>
  <c r="FT20" i="25"/>
  <c r="FT29" i="25"/>
  <c r="FT24" i="25"/>
  <c r="FT19" i="25"/>
  <c r="FT30" i="25"/>
  <c r="FT25" i="25"/>
  <c r="FT18" i="25"/>
  <c r="FT26" i="25"/>
  <c r="FT36" i="25"/>
  <c r="FT27" i="25"/>
  <c r="FT22" i="25"/>
  <c r="FT15" i="25"/>
  <c r="FT16" i="25"/>
  <c r="FT17" i="25"/>
  <c r="FT21" i="25"/>
  <c r="FT12" i="25"/>
  <c r="FT13" i="25"/>
  <c r="FT9" i="25"/>
  <c r="FT8" i="25"/>
  <c r="FT7" i="25"/>
  <c r="FT11" i="25"/>
  <c r="FT10" i="25"/>
  <c r="FU5" i="25"/>
  <c r="FT14" i="25"/>
  <c r="FU114" i="25" l="1"/>
  <c r="FU112" i="25"/>
  <c r="FU113" i="25"/>
  <c r="FU108" i="25"/>
  <c r="FU107" i="25"/>
  <c r="FU109" i="25"/>
  <c r="FU103" i="25"/>
  <c r="FU105" i="25"/>
  <c r="GI115" i="25"/>
  <c r="FU106" i="25"/>
  <c r="FU101" i="25"/>
  <c r="FU97" i="25"/>
  <c r="FU100" i="25"/>
  <c r="FU104" i="25"/>
  <c r="FU99" i="25"/>
  <c r="FU98" i="25"/>
  <c r="FU110" i="25"/>
  <c r="FU95" i="25"/>
  <c r="FU102" i="25"/>
  <c r="FU94" i="25"/>
  <c r="FU93" i="25"/>
  <c r="FU89" i="25"/>
  <c r="FU88" i="25"/>
  <c r="FU96" i="25"/>
  <c r="FU92" i="25"/>
  <c r="FU90" i="25"/>
  <c r="FU91" i="25"/>
  <c r="FU84" i="25"/>
  <c r="FU83" i="25"/>
  <c r="FU111" i="25"/>
  <c r="FU80" i="25"/>
  <c r="FU85" i="25"/>
  <c r="FU78" i="25"/>
  <c r="FU86" i="25"/>
  <c r="FU81" i="25"/>
  <c r="FU82" i="25"/>
  <c r="FU87" i="25"/>
  <c r="FU77" i="25"/>
  <c r="FU71" i="25"/>
  <c r="FU76" i="25"/>
  <c r="FU70" i="25"/>
  <c r="FU75" i="25"/>
  <c r="FU69" i="25"/>
  <c r="FU79" i="25"/>
  <c r="FU74" i="25"/>
  <c r="FU68" i="25"/>
  <c r="FU73" i="25"/>
  <c r="FU67" i="25"/>
  <c r="FU65" i="25"/>
  <c r="FU64" i="25"/>
  <c r="FU63" i="25"/>
  <c r="FU62" i="25"/>
  <c r="FU72" i="25"/>
  <c r="FU66" i="25"/>
  <c r="FU61" i="25"/>
  <c r="FU55" i="25"/>
  <c r="FU54" i="25"/>
  <c r="FU60" i="25"/>
  <c r="FU53" i="25"/>
  <c r="FU56" i="25"/>
  <c r="FU52" i="25"/>
  <c r="FU57" i="25"/>
  <c r="FU58" i="25"/>
  <c r="FU51" i="25"/>
  <c r="FU45" i="25"/>
  <c r="FU59" i="25"/>
  <c r="FU46" i="25"/>
  <c r="FU47" i="25"/>
  <c r="FU50" i="25"/>
  <c r="FU48" i="25"/>
  <c r="FU43" i="25"/>
  <c r="FU44" i="25"/>
  <c r="FU49" i="25"/>
  <c r="FU38" i="25"/>
  <c r="FU35" i="25"/>
  <c r="FU39" i="25"/>
  <c r="FU34" i="25"/>
  <c r="FU33" i="25"/>
  <c r="FU32" i="25"/>
  <c r="FU37" i="25"/>
  <c r="FU31" i="25"/>
  <c r="FU25" i="25"/>
  <c r="FU42" i="25"/>
  <c r="FU41" i="25"/>
  <c r="FU36" i="25"/>
  <c r="FU30" i="25"/>
  <c r="FU24" i="25"/>
  <c r="FU20" i="25"/>
  <c r="FU29" i="25"/>
  <c r="FU19" i="25"/>
  <c r="FU40" i="25"/>
  <c r="FU26" i="25"/>
  <c r="FU16" i="25"/>
  <c r="FU27" i="25"/>
  <c r="FU22" i="25"/>
  <c r="FU21" i="25"/>
  <c r="FU15" i="25"/>
  <c r="FU9" i="25"/>
  <c r="FU23" i="25"/>
  <c r="FU17" i="25"/>
  <c r="FU12" i="25"/>
  <c r="FU28" i="25"/>
  <c r="FU13" i="25"/>
  <c r="FU8" i="25"/>
  <c r="FU7" i="25"/>
  <c r="FU11" i="25"/>
  <c r="FU10" i="25"/>
  <c r="FU18" i="25"/>
  <c r="FU14" i="25"/>
  <c r="FV5" i="25"/>
  <c r="FT4" i="25"/>
  <c r="FV114" i="25" l="1"/>
  <c r="FV113" i="25"/>
  <c r="GJ115" i="25"/>
  <c r="FV111" i="25"/>
  <c r="FV112" i="25"/>
  <c r="FV108" i="25"/>
  <c r="FV107" i="25"/>
  <c r="FV106" i="25"/>
  <c r="FV103" i="25"/>
  <c r="FV102" i="25"/>
  <c r="FV105" i="25"/>
  <c r="FV101" i="25"/>
  <c r="FV104" i="25"/>
  <c r="FV109" i="25"/>
  <c r="FV94" i="25"/>
  <c r="FV97" i="25"/>
  <c r="FV91" i="25"/>
  <c r="FV99" i="25"/>
  <c r="FV98" i="25"/>
  <c r="FV110" i="25"/>
  <c r="FV95" i="25"/>
  <c r="FV96" i="25"/>
  <c r="FV93" i="25"/>
  <c r="FV92" i="25"/>
  <c r="FV100" i="25"/>
  <c r="FV89" i="25"/>
  <c r="FV88" i="25"/>
  <c r="FV90" i="25"/>
  <c r="FV83" i="25"/>
  <c r="FV87" i="25"/>
  <c r="FV86" i="25"/>
  <c r="FV85" i="25"/>
  <c r="FV81" i="25"/>
  <c r="FV82" i="25"/>
  <c r="FV84" i="25"/>
  <c r="FV77" i="25"/>
  <c r="FV71" i="25"/>
  <c r="FV76" i="25"/>
  <c r="FV70" i="25"/>
  <c r="FV80" i="25"/>
  <c r="FV75" i="25"/>
  <c r="FV69" i="25"/>
  <c r="FV79" i="25"/>
  <c r="FV74" i="25"/>
  <c r="FV68" i="25"/>
  <c r="FV78" i="25"/>
  <c r="FV73" i="25"/>
  <c r="FV67" i="25"/>
  <c r="FV65" i="25"/>
  <c r="FV64" i="25"/>
  <c r="FV63" i="25"/>
  <c r="FV62" i="25"/>
  <c r="FV56" i="25"/>
  <c r="FV72" i="25"/>
  <c r="FV66" i="25"/>
  <c r="FV61" i="25"/>
  <c r="FV54" i="25"/>
  <c r="FV60" i="25"/>
  <c r="FV53" i="25"/>
  <c r="FV52" i="25"/>
  <c r="FV57" i="25"/>
  <c r="FV58" i="25"/>
  <c r="FV51" i="25"/>
  <c r="FV59" i="25"/>
  <c r="FV50" i="25"/>
  <c r="FV44" i="25"/>
  <c r="FV45" i="25"/>
  <c r="FV46" i="25"/>
  <c r="FV55" i="25"/>
  <c r="FV47" i="25"/>
  <c r="FV48" i="25"/>
  <c r="FV43" i="25"/>
  <c r="FV49" i="25"/>
  <c r="FV39" i="25"/>
  <c r="FV34" i="25"/>
  <c r="FV33" i="25"/>
  <c r="FV32" i="25"/>
  <c r="FV37" i="25"/>
  <c r="FV42" i="25"/>
  <c r="FV41" i="25"/>
  <c r="FV36" i="25"/>
  <c r="FV30" i="25"/>
  <c r="FV40" i="25"/>
  <c r="FV29" i="25"/>
  <c r="FV35" i="25"/>
  <c r="FV24" i="25"/>
  <c r="FV19" i="25"/>
  <c r="FV31" i="25"/>
  <c r="FV18" i="25"/>
  <c r="FV25" i="25"/>
  <c r="FV38" i="25"/>
  <c r="FV17" i="25"/>
  <c r="FV26" i="25"/>
  <c r="FV27" i="25"/>
  <c r="FV22" i="25"/>
  <c r="FV21" i="25"/>
  <c r="FV28" i="25"/>
  <c r="FV23" i="25"/>
  <c r="FV16" i="25"/>
  <c r="FV12" i="25"/>
  <c r="FV13" i="25"/>
  <c r="FV8" i="25"/>
  <c r="FV7" i="25"/>
  <c r="FV11" i="25"/>
  <c r="FV10" i="25"/>
  <c r="FV9" i="25"/>
  <c r="FV20" i="25"/>
  <c r="FV14" i="25"/>
  <c r="FW5" i="25"/>
  <c r="FV15" i="25"/>
  <c r="GK115" i="25" l="1"/>
  <c r="FW114" i="25"/>
  <c r="FW113" i="25"/>
  <c r="FW111" i="25"/>
  <c r="FW112" i="25"/>
  <c r="FW108" i="25"/>
  <c r="FW102" i="25"/>
  <c r="FW104" i="25"/>
  <c r="FW109" i="25"/>
  <c r="FW106" i="25"/>
  <c r="FW107" i="25"/>
  <c r="FW99" i="25"/>
  <c r="FW105" i="25"/>
  <c r="FW101" i="25"/>
  <c r="FW97" i="25"/>
  <c r="FW98" i="25"/>
  <c r="FW110" i="25"/>
  <c r="FW103" i="25"/>
  <c r="FW95" i="25"/>
  <c r="FW96" i="25"/>
  <c r="FW94" i="25"/>
  <c r="FW93" i="25"/>
  <c r="FW92" i="25"/>
  <c r="FW91" i="25"/>
  <c r="FW100" i="25"/>
  <c r="FW89" i="25"/>
  <c r="FW88" i="25"/>
  <c r="FW90" i="25"/>
  <c r="FW83" i="25"/>
  <c r="FW87" i="25"/>
  <c r="FW86" i="25"/>
  <c r="FW85" i="25"/>
  <c r="FW79" i="25"/>
  <c r="FW84" i="25"/>
  <c r="FW81" i="25"/>
  <c r="FW82" i="25"/>
  <c r="FW76" i="25"/>
  <c r="FW70" i="25"/>
  <c r="FW80" i="25"/>
  <c r="FW75" i="25"/>
  <c r="FW69" i="25"/>
  <c r="FW74" i="25"/>
  <c r="FW68" i="25"/>
  <c r="FW78" i="25"/>
  <c r="FW73" i="25"/>
  <c r="FW67" i="25"/>
  <c r="FW72" i="25"/>
  <c r="FW71" i="25"/>
  <c r="FW65" i="25"/>
  <c r="FW64" i="25"/>
  <c r="FW63" i="25"/>
  <c r="FW77" i="25"/>
  <c r="FW62" i="25"/>
  <c r="FW66" i="25"/>
  <c r="FW61" i="25"/>
  <c r="FW60" i="25"/>
  <c r="FW54" i="25"/>
  <c r="FW53" i="25"/>
  <c r="FW52" i="25"/>
  <c r="FW57" i="25"/>
  <c r="FW56" i="25"/>
  <c r="FW58" i="25"/>
  <c r="FW51" i="25"/>
  <c r="FW59" i="25"/>
  <c r="FW50" i="25"/>
  <c r="FW44" i="25"/>
  <c r="FW55" i="25"/>
  <c r="FW46" i="25"/>
  <c r="FW47" i="25"/>
  <c r="FW48" i="25"/>
  <c r="FW43" i="25"/>
  <c r="FW49" i="25"/>
  <c r="FW39" i="25"/>
  <c r="FW34" i="25"/>
  <c r="FW45" i="25"/>
  <c r="FW33" i="25"/>
  <c r="FW32" i="25"/>
  <c r="FW37" i="25"/>
  <c r="FW31" i="25"/>
  <c r="FW42" i="25"/>
  <c r="FW41" i="25"/>
  <c r="FW36" i="25"/>
  <c r="FW30" i="25"/>
  <c r="FW24" i="25"/>
  <c r="FW40" i="25"/>
  <c r="FW38" i="25"/>
  <c r="FW35" i="25"/>
  <c r="FW29" i="25"/>
  <c r="FW23" i="25"/>
  <c r="FW19" i="25"/>
  <c r="FW18" i="25"/>
  <c r="FW25" i="25"/>
  <c r="FW26" i="25"/>
  <c r="FW27" i="25"/>
  <c r="FW22" i="25"/>
  <c r="FW21" i="25"/>
  <c r="FW15" i="25"/>
  <c r="FW28" i="25"/>
  <c r="FW20" i="25"/>
  <c r="FW14" i="25"/>
  <c r="FW8" i="25"/>
  <c r="FW16" i="25"/>
  <c r="FW17" i="25"/>
  <c r="FW12" i="25"/>
  <c r="FW7" i="25"/>
  <c r="FW13" i="25"/>
  <c r="FW11" i="25"/>
  <c r="FW10" i="25"/>
  <c r="FW9" i="25"/>
  <c r="I1" i="25"/>
  <c r="I1" i="28"/>
  <c r="U1"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Laboureix Sabrina</author>
  </authors>
  <commentList>
    <comment ref="Y3" authorId="0" shapeId="0" xr:uid="{EE40B3CE-71D5-4278-A9BA-366DFB411AB7}">
      <text>
        <r>
          <rPr>
            <sz val="9"/>
            <color indexed="81"/>
            <rFont val="Segoe UI"/>
            <family val="2"/>
          </rPr>
          <t>Einteilung basierend auf Stufen in Risikomanagement-Richtlinie</t>
        </r>
      </text>
    </comment>
    <comment ref="P4" authorId="0" shapeId="0" xr:uid="{88084441-DDEB-41C4-8864-307F03AC8945}">
      <text>
        <r>
          <rPr>
            <sz val="9"/>
            <color indexed="81"/>
            <rFont val="Segoe UI"/>
            <family val="2"/>
          </rPr>
          <t>Entspricht der ersten Erfassung der Projektidee/Ausarbeitung einer ersten Projektskizze</t>
        </r>
      </text>
    </comment>
    <comment ref="R4" authorId="0" shapeId="0" xr:uid="{20CA9F1D-7479-4A76-81FC-B50048D7839B}">
      <text>
        <r>
          <rPr>
            <sz val="9"/>
            <color indexed="81"/>
            <rFont val="Segoe UI"/>
            <family val="2"/>
          </rPr>
          <t>Entspricht: Idee erfasst, 0%</t>
        </r>
      </text>
    </comment>
    <comment ref="P5" authorId="0" shapeId="0" xr:uid="{7DFAE9FF-03A2-4109-981A-C1165892B6B3}">
      <text>
        <r>
          <rPr>
            <sz val="9"/>
            <color indexed="81"/>
            <rFont val="Segoe UI"/>
            <family val="2"/>
          </rPr>
          <t xml:space="preserve">entspricht der Erarbeitung des Projektauftrags bis zum Abschluss des Projektauftrags
</t>
        </r>
      </text>
    </comment>
    <comment ref="P6" authorId="0" shapeId="0" xr:uid="{19B6AC45-D858-4F9D-998D-E2F51EEE2545}">
      <text>
        <r>
          <rPr>
            <sz val="9"/>
            <color indexed="81"/>
            <rFont val="Segoe UI"/>
            <family val="2"/>
          </rPr>
          <t>Umsetzungsphase, Projektexekution</t>
        </r>
      </text>
    </comment>
    <comment ref="P7" authorId="0" shapeId="0" xr:uid="{20EE55AA-90FD-4276-A93C-F7A4BABD6E08}">
      <text>
        <r>
          <rPr>
            <sz val="9"/>
            <color indexed="81"/>
            <rFont val="Segoe UI"/>
            <family val="2"/>
          </rPr>
          <t xml:space="preserve">kann zu jedem Zeitpunkt auftreten, wenn unklar ist, wie es mit dem Projekt weitergeht
</t>
        </r>
      </text>
    </comment>
    <comment ref="P8" authorId="0" shapeId="0" xr:uid="{73148DE6-7014-4273-9667-6364E0955402}">
      <text>
        <r>
          <rPr>
            <sz val="9"/>
            <color indexed="81"/>
            <rFont val="Segoe UI"/>
            <family val="2"/>
          </rPr>
          <t>Projekt ist abgeschlossen, Projektauftrag unterzeichnet und Projektteam entlastet</t>
        </r>
      </text>
    </comment>
    <comment ref="P9" authorId="0" shapeId="0" xr:uid="{517A3D41-97FE-4BBD-AA97-FD04A20B5774}">
      <text>
        <r>
          <rPr>
            <sz val="9"/>
            <color indexed="81"/>
            <rFont val="Segoe UI"/>
            <family val="2"/>
          </rPr>
          <t>Projekt wurde offiziell abgebrochen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tc={6D7E13FF-0C71-439B-B9D2-7482EE16C632}</author>
    <author>tc={19644FA8-79AF-47C8-BE7B-771669E77D23}</author>
    <author>tc={2F6FBA47-8E38-476B-8B6E-8D93FED96EC4}</author>
    <author>tc={77B9DED6-2BEF-4B80-BC99-3FE37B2EB011}</author>
    <author>tc={5D02FA89-1D52-4E88-9E21-A39E9E5421FF}</author>
    <author>tc={F1C7B15D-5A4B-45F1-818C-6B8A618450F1}</author>
  </authors>
  <commentList>
    <comment ref="C114" authorId="0" shapeId="0" xr:uid="{6D7E13FF-0C71-439B-B9D2-7482EE16C63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21 Arbeitstage pro Monat</t>
      </text>
    </comment>
    <comment ref="D114" authorId="1" shapeId="0" xr:uid="{19644FA8-79AF-47C8-BE7B-771669E77D2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gerundet</t>
      </text>
    </comment>
    <comment ref="N123" authorId="2" shapeId="0" xr:uid="{2F6FBA47-8E38-476B-8B6E-8D93FED96E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Achtung bei Formel: da keine Werte vorhanden, wurde die Formel mit WENNFEHLER berechnet. Sobald Werte da sind, dann wie bei Nicht gestartet etc. mit …=0;""...</t>
      </text>
    </comment>
    <comment ref="O123" authorId="3" shapeId="0" xr:uid="{77B9DED6-2BEF-4B80-BC99-3FE37B2EB01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Achtung bei Formel: da keine Werte vorhanden, wurde die Formel mit WENNFEHLER berechnet. Sobald Werte da sind, dann wie bei Nicht gestartet etc. mit …=0;""...</t>
      </text>
    </comment>
    <comment ref="AA123" authorId="4" shapeId="0" xr:uid="{5D02FA89-1D52-4E88-9E21-A39E9E5421F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Achtung bei Formel: da keine Werte vorhanden, wurde die Formel mit WENNFEHLER berechnet. Sobald Werte da sind, dann wie bei Nicht gestartet etc. mit …=0;""...</t>
      </text>
    </comment>
    <comment ref="AB123" authorId="5" shapeId="0" xr:uid="{F1C7B15D-5A4B-45F1-818C-6B8A618450F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Achtung bei Formel: da keine Werte vorhanden, wurde die Formel mit WENNFEHLER berechnet. Sobald Werte da sind, dann wie bei Nicht gestartet etc. mit …=0;""...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Laboureix Sabrina</author>
    <author>tc={F96954CB-5E8F-42E5-9F87-9B4BCD326EAE}</author>
  </authors>
  <commentList>
    <comment ref="B4" authorId="0" shapeId="0" xr:uid="{A65AC561-4698-4C7D-A3F7-61B5481AEDAC}">
      <text>
        <r>
          <rPr>
            <sz val="9"/>
            <color indexed="81"/>
            <rFont val="Segoe UI"/>
            <family val="2"/>
          </rPr>
          <t>LV-Nummer laut aktueller Leistungsvereinbarung</t>
        </r>
      </text>
    </comment>
    <comment ref="D4" authorId="0" shapeId="0" xr:uid="{3F7B5FAD-DF72-4B3D-9E37-B1E557BA0616}">
      <text>
        <r>
          <rPr>
            <sz val="9"/>
            <color indexed="81"/>
            <rFont val="Segoe UI"/>
            <family val="2"/>
          </rPr>
          <t>von PPM vergeben</t>
        </r>
        <r>
          <rPr>
            <sz val="9"/>
            <color indexed="81"/>
            <rFont val="Segoe UI"/>
            <family val="2"/>
          </rPr>
          <t xml:space="preserve">
max 15 Zeichen, ohne Abstand, ohne Umlaute</t>
        </r>
      </text>
    </comment>
    <comment ref="E4" authorId="0" shapeId="0" xr:uid="{EC3D2A66-668F-4780-8411-4FEE8D937472}">
      <text>
        <r>
          <rPr>
            <sz val="9"/>
            <color indexed="81"/>
            <rFont val="Segoe UI"/>
            <family val="2"/>
          </rPr>
          <t>Bezeichnung in LV</t>
        </r>
      </text>
    </comment>
    <comment ref="H4" authorId="0" shapeId="0" xr:uid="{C0D70A97-C5CB-44AA-B3DD-C182360C7B4F}">
      <text>
        <r>
          <rPr>
            <sz val="9"/>
            <color indexed="81"/>
            <rFont val="Segoe UI"/>
            <family val="2"/>
          </rPr>
          <t>Eine eindeutige Projektleitung/Ansprechperson festlegen</t>
        </r>
      </text>
    </comment>
    <comment ref="I4" authorId="0" shapeId="0" xr:uid="{22A1CE26-0A2D-4B28-87F3-685101811A5C}">
      <text>
        <r>
          <rPr>
            <sz val="9"/>
            <color indexed="81"/>
            <rFont val="Segoe UI"/>
            <family val="2"/>
          </rPr>
          <t>Projektauftraggeber:in = Rektoratsmitglied</t>
        </r>
      </text>
    </comment>
    <comment ref="L4" authorId="0" shapeId="0" xr:uid="{08BAAF5B-BA65-4E23-BC96-63F17FAB6C53}">
      <text>
        <r>
          <rPr>
            <sz val="9"/>
            <color indexed="81"/>
            <rFont val="Segoe UI"/>
            <family val="2"/>
          </rPr>
          <t>Angabe ob (unterzeichneter) Projektauftrag vorliegt</t>
        </r>
      </text>
    </comment>
    <comment ref="M4" authorId="0" shapeId="0" xr:uid="{08A28CE4-5173-4B98-8D52-482566F96FE4}">
      <text>
        <r>
          <rPr>
            <sz val="9"/>
            <color indexed="81"/>
            <rFont val="Segoe UI"/>
            <family val="2"/>
          </rPr>
          <t xml:space="preserve">Abgabe Projektstatusbericht zum aktuellen Berichtszeitpunkt erfolgt?
</t>
        </r>
      </text>
    </comment>
    <comment ref="N4" authorId="0" shapeId="0" xr:uid="{6FB36167-8C10-4CFB-84EF-9C586E9C1DF3}">
      <text>
        <r>
          <rPr>
            <sz val="9"/>
            <color indexed="81"/>
            <rFont val="Segoe UI"/>
            <family val="2"/>
          </rPr>
          <t>Grundsätzlich bei Schlüsselprojekten JA, kann aber durch PAG/Rektorat angepasst werden oder zusätzliche LA vereinbart werden</t>
        </r>
      </text>
    </comment>
    <comment ref="O4" authorId="0" shapeId="0" xr:uid="{34594C27-938A-4AAF-A6B3-5BCD5E8338A6}">
      <text>
        <r>
          <rPr>
            <sz val="9"/>
            <color indexed="81"/>
            <rFont val="Segoe UI"/>
            <family val="2"/>
          </rPr>
          <t>Wenn ja im Kommentar Kooperationspartner ergänzen</t>
        </r>
      </text>
    </comment>
    <comment ref="R4" authorId="0" shapeId="0" xr:uid="{D396B291-CEB4-46AB-9D8A-AD426784BB29}">
      <text>
        <r>
          <rPr>
            <sz val="9"/>
            <color indexed="81"/>
            <rFont val="Segoe UI"/>
            <family val="2"/>
          </rPr>
          <t>Offen: Wie kommt es zur Priorisierung und auf welcher Basis erfolgt Einstufung?</t>
        </r>
      </text>
    </comment>
    <comment ref="S4" authorId="0" shapeId="0" xr:uid="{8C74F847-750A-4259-B0D0-9F55F8369478}">
      <text>
        <r>
          <rPr>
            <sz val="9"/>
            <color indexed="81"/>
            <rFont val="Segoe UI"/>
            <family val="2"/>
          </rPr>
          <t>Betrifft Prognose für verbleibende Projektlaufzeit
Offen: Konkretisierung wie kommte s zur Risikoeinschätzung und auf welcher Basis</t>
        </r>
      </text>
    </comment>
    <comment ref="T4" authorId="0" shapeId="0" xr:uid="{9453B873-1D47-4ED5-8D8D-7835BB9C957B}">
      <text>
        <r>
          <rPr>
            <sz val="9"/>
            <color indexed="81"/>
            <rFont val="Segoe UI"/>
            <family val="2"/>
          </rPr>
          <t xml:space="preserve">= das 
Wenn kein konkretes Datum bekannt ist, dann wird als Start der Monatserste und als Ende der Monatsletzte angenommen.
</t>
        </r>
      </text>
    </comment>
    <comment ref="U4" authorId="0" shapeId="0" xr:uid="{7261F163-693E-46E9-BF5C-1CF9E4D2016C}">
      <text>
        <r>
          <rPr>
            <sz val="9"/>
            <color indexed="81"/>
            <rFont val="Segoe UI"/>
            <family val="2"/>
          </rPr>
          <t>Wenn kein konkretes Datum bekannt ist, dann wird als Start der Monatserste und als Ende der Monatsletzte angenommen.</t>
        </r>
      </text>
    </comment>
    <comment ref="V4" authorId="0" shapeId="0" xr:uid="{DFB70969-3E98-4C30-BBBC-E8D2FB1E829D}">
      <text>
        <r>
          <rPr>
            <sz val="9"/>
            <color indexed="81"/>
            <rFont val="Segoe UI"/>
            <family val="2"/>
          </rPr>
          <t xml:space="preserve">Dauer entspricht den Nettoarbeitstagen ohne Wochenende und ohne Feiertage 
Anmerkung: Urlaube und andere individuelle Abwesenheiten werden nicht berücksichtigt
</t>
        </r>
      </text>
    </comment>
    <comment ref="X4" authorId="0" shapeId="0" xr:uid="{ECD10539-4D6A-42DE-927C-0DABD4206183}">
      <text>
        <r>
          <rPr>
            <b/>
            <sz val="9"/>
            <color indexed="81"/>
            <rFont val="Segoe UI"/>
            <family val="2"/>
          </rPr>
          <t>Letztstand laut SAP Auszug per 15.02.2026</t>
        </r>
      </text>
    </comment>
    <comment ref="Y4" authorId="0" shapeId="0" xr:uid="{DA4C6CC8-BC04-45A6-8E2B-0034EC2CF5D7}">
      <text>
        <r>
          <rPr>
            <b/>
            <sz val="9"/>
            <color indexed="81"/>
            <rFont val="Segoe UI"/>
            <family val="2"/>
          </rPr>
          <t>laut SAP von 03/25 ohne Rechnugnsabgrenzung</t>
        </r>
        <r>
          <rPr>
            <sz val="9"/>
            <color indexed="81"/>
            <rFont val="Segoe UI"/>
            <family val="2"/>
          </rPr>
          <t xml:space="preserve">
</t>
        </r>
      </text>
    </comment>
    <comment ref="Z4" authorId="0" shapeId="0" xr:uid="{4A690331-A85F-43A5-9715-A32184DC14DF}">
      <text>
        <r>
          <rPr>
            <b/>
            <sz val="9"/>
            <color indexed="81"/>
            <rFont val="Segoe UI"/>
            <family val="2"/>
          </rPr>
          <t>laut SAP von 03/25 ohne Rechnugnsabgrenzung</t>
        </r>
        <r>
          <rPr>
            <sz val="9"/>
            <color indexed="81"/>
            <rFont val="Segoe UI"/>
            <family val="2"/>
          </rPr>
          <t xml:space="preserve">
</t>
        </r>
      </text>
    </comment>
    <comment ref="AB4" authorId="0" shapeId="0" xr:uid="{E8753204-4A1C-4013-B956-91D60294ADB5}">
      <text>
        <r>
          <rPr>
            <b/>
            <sz val="9"/>
            <color indexed="81"/>
            <rFont val="Segoe UI"/>
            <family val="2"/>
          </rPr>
          <t>SAP Auszug per 15.02.2026</t>
        </r>
        <r>
          <rPr>
            <sz val="9"/>
            <color indexed="81"/>
            <rFont val="Segoe UI"/>
            <family val="2"/>
          </rPr>
          <t xml:space="preserve">
</t>
        </r>
      </text>
    </comment>
    <comment ref="AE4" authorId="0" shapeId="0" xr:uid="{866AB525-F434-44B4-85DB-5ACE0C37D324}">
      <text>
        <r>
          <rPr>
            <sz val="9"/>
            <color indexed="81"/>
            <rFont val="Segoe UI"/>
            <family val="2"/>
          </rPr>
          <t>Letztstand SAP Auszug per 15.02.2026</t>
        </r>
      </text>
    </comment>
    <comment ref="AI4" authorId="0" shapeId="0" xr:uid="{1466B1F0-C0C0-4BFB-8C7C-52D1B96EA7D4}">
      <text>
        <r>
          <rPr>
            <sz val="9"/>
            <color indexed="81"/>
            <rFont val="Segoe UI"/>
            <family val="2"/>
          </rPr>
          <t xml:space="preserve">Alternative Begriffe: Projektfortschritt, Leistungsfortschritt, Erledigungsgrad
</t>
        </r>
      </text>
    </comment>
    <comment ref="O8" authorId="1" shapeId="0" xr:uid="{F96954CB-5E8F-42E5-9F87-9B4BCD326EA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Kooperation mit Elefantenuni</t>
      </text>
    </comment>
    <comment ref="X8" authorId="0" shapeId="0" xr:uid="{5A1D481B-68C1-4DAE-9F07-6D4BFC406813}">
      <text>
        <r>
          <rPr>
            <sz val="9"/>
            <color indexed="81"/>
            <rFont val="Segoe UI"/>
            <family val="2"/>
          </rPr>
          <t>unklare Aufteilung mit Vorhaben D3.3.2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Laboureix Sabrina</author>
  </authors>
  <commentList>
    <comment ref="D4" authorId="0" shapeId="0" xr:uid="{B124F2EC-3AD5-4188-A8E4-D3DA4AAE0CB8}">
      <text>
        <r>
          <rPr>
            <sz val="9"/>
            <color indexed="81"/>
            <rFont val="Segoe UI"/>
            <family val="2"/>
          </rPr>
          <t xml:space="preserve">Betrachtungszeitraum Start
NICHT LÖSCHEN, wird für Berechnungen benötigt
</t>
        </r>
      </text>
    </comment>
    <comment ref="E4" authorId="0" shapeId="0" xr:uid="{DDC17229-6642-4EBD-98B9-068ADF95BB47}">
      <text>
        <r>
          <rPr>
            <sz val="9"/>
            <color indexed="81"/>
            <rFont val="Segoe UI"/>
            <family val="2"/>
          </rPr>
          <t>Start der LV-Periode
NICHT Ändern, wird für Berechnungen benötigt</t>
        </r>
      </text>
    </comment>
    <comment ref="B6" authorId="0" shapeId="0" xr:uid="{13EE8D39-8504-4621-B419-D585CCE61CF1}">
      <text>
        <r>
          <rPr>
            <sz val="9"/>
            <color indexed="81"/>
            <rFont val="Segoe UI"/>
            <family val="2"/>
          </rPr>
          <t>Einheitliche Nomenklatur überlegen. Identifier soll langfristig eindeutig sein</t>
        </r>
      </text>
    </comment>
    <comment ref="E6" authorId="0" shapeId="0" xr:uid="{61A3F7D4-B0B5-4202-A737-5194521D59BF}">
      <text>
        <r>
          <rPr>
            <sz val="9"/>
            <color indexed="81"/>
            <rFont val="Segoe UI"/>
            <family val="2"/>
          </rPr>
          <t xml:space="preserve">Wenn kein konkretes Datum bekannt ist, dann wird als Start der Monatserste und als Ende der Monatsletzte angenommen.
</t>
        </r>
      </text>
    </comment>
    <comment ref="F6" authorId="0" shapeId="0" xr:uid="{AEF852D4-5E36-4C63-B32F-F39B5AB19454}">
      <text>
        <r>
          <rPr>
            <sz val="9"/>
            <color indexed="81"/>
            <rFont val="Segoe UI"/>
            <family val="2"/>
          </rPr>
          <t>Wenn kein konkretes Datum bekannt ist, dann wird als Start der Monatserste und als Ende der Monatsletzte angenommen.</t>
        </r>
      </text>
    </comment>
    <comment ref="G6" authorId="0" shapeId="0" xr:uid="{77073F08-D557-4603-8029-BF793222BD0E}">
      <text>
        <r>
          <rPr>
            <sz val="9"/>
            <color indexed="81"/>
            <rFont val="Segoe UI"/>
            <family val="2"/>
          </rPr>
          <t xml:space="preserve">Dauer entspricht den Nettoarbeitstagen ohne Wochenende und ohne Feiertage 
Anmerkung: Urlaube und andere individuelle Abwesenheiten werden nicht berücksichtigt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Laboureix Sabrina</author>
  </authors>
  <commentList>
    <comment ref="B4" authorId="0" shapeId="0" xr:uid="{F9EDC3EF-68F6-44B0-AE7D-1BEFEFFCD2CE}">
      <text>
        <r>
          <rPr>
            <sz val="9"/>
            <color indexed="81"/>
            <rFont val="Segoe UI"/>
            <family val="2"/>
          </rPr>
          <t>Nummer des LV-Vorhabens oder fortlaufende Projektnummer</t>
        </r>
      </text>
    </comment>
  </commentList>
</comments>
</file>

<file path=xl/sharedStrings.xml><?xml version="1.0" encoding="utf-8"?>
<sst xmlns="http://schemas.openxmlformats.org/spreadsheetml/2006/main" count="692" uniqueCount="325">
  <si>
    <t>Start</t>
  </si>
  <si>
    <t>Ende</t>
  </si>
  <si>
    <t>Dauer</t>
  </si>
  <si>
    <t>In Arbeit</t>
  </si>
  <si>
    <t>Blockiert</t>
  </si>
  <si>
    <t>Wochenbeginn:</t>
  </si>
  <si>
    <t>Zusätzliche Zeilen oberhalb dieser Zeile einfügen</t>
  </si>
  <si>
    <t>Achtung: Um zusätzliche Zeilen einzufügen muss eine befüllte Zeile kopiert und eingefügt werden. Anschließend können die Inhalte überschrieben werden. Nur so bleiben die Formeln und Formatierungen erhalten!</t>
  </si>
  <si>
    <t>F</t>
  </si>
  <si>
    <t>Projekt</t>
  </si>
  <si>
    <t>PAG</t>
  </si>
  <si>
    <t>Betrachtungszeitraum Start:</t>
  </si>
  <si>
    <t>LV-Periode:</t>
  </si>
  <si>
    <t>2025-2027</t>
  </si>
  <si>
    <t>Abgeschlossen</t>
  </si>
  <si>
    <t>Rektor</t>
  </si>
  <si>
    <t>Datum</t>
  </si>
  <si>
    <t>Neujahr</t>
  </si>
  <si>
    <t>Heilige Drei Könige</t>
  </si>
  <si>
    <t>Gesetzliche Feiertage/Arbeitsfreie Tage</t>
  </si>
  <si>
    <t>Karfreitag</t>
  </si>
  <si>
    <t>Ostermontag</t>
  </si>
  <si>
    <t>Staatsfeiertag</t>
  </si>
  <si>
    <t>Christi Himmelfahrt</t>
  </si>
  <si>
    <t>Pfingstmontag</t>
  </si>
  <si>
    <t>Fronleichnam</t>
  </si>
  <si>
    <t>Mariä Himmelfahrt</t>
  </si>
  <si>
    <t>Nationalfeiertag</t>
  </si>
  <si>
    <t>Allerheiligen</t>
  </si>
  <si>
    <t>Mariä Empfängnis</t>
  </si>
  <si>
    <t>Stefanitag</t>
  </si>
  <si>
    <t>Silvester</t>
  </si>
  <si>
    <t>Christtag</t>
  </si>
  <si>
    <t>Heiliger Abend</t>
  </si>
  <si>
    <t>LV-Vorhaben</t>
  </si>
  <si>
    <t>Ja</t>
  </si>
  <si>
    <t>Nein</t>
  </si>
  <si>
    <t>Priorität</t>
  </si>
  <si>
    <t>Projektart</t>
  </si>
  <si>
    <t>Hoch</t>
  </si>
  <si>
    <t>Mittel</t>
  </si>
  <si>
    <t>Risiko</t>
  </si>
  <si>
    <t>Planung</t>
  </si>
  <si>
    <t>Ampelstatus Gesamt</t>
  </si>
  <si>
    <t>#</t>
  </si>
  <si>
    <t>Ampel</t>
  </si>
  <si>
    <t>In Ordnung</t>
  </si>
  <si>
    <t>Krise</t>
  </si>
  <si>
    <t>Vorsicht</t>
  </si>
  <si>
    <t>Fortschritt (%)</t>
  </si>
  <si>
    <t>Budget</t>
  </si>
  <si>
    <t>Ist-Kosten</t>
  </si>
  <si>
    <t>Parameter und Basisdaten  für Dropdown Tabellen</t>
  </si>
  <si>
    <t>Information zum Lesen</t>
  </si>
  <si>
    <t>Zielsetzung</t>
  </si>
  <si>
    <t>Aufbau der Arbeitsblätter</t>
  </si>
  <si>
    <t>Aktuelles Datum:</t>
  </si>
  <si>
    <t>VRFDI</t>
  </si>
  <si>
    <t>VRFIN</t>
  </si>
  <si>
    <t>VRLK</t>
  </si>
  <si>
    <t>Durchschnittlicher Projektfortschritt in %</t>
  </si>
  <si>
    <t>Offen</t>
  </si>
  <si>
    <t>Erledigt</t>
  </si>
  <si>
    <t>Projektphase</t>
  </si>
  <si>
    <t>in %</t>
  </si>
  <si>
    <t>Berichtswesen (Abgabe PSB)</t>
  </si>
  <si>
    <t>in%</t>
  </si>
  <si>
    <t>Durchschnittliche Projektdauer</t>
  </si>
  <si>
    <t>in Arbeitstagen</t>
  </si>
  <si>
    <t>Kurze Projektlaufzeit (&lt;6 Monate)</t>
  </si>
  <si>
    <t>Mittlere Projektlaufzeit (6 - 12 Monate)</t>
  </si>
  <si>
    <t>Lange Projektlaufzeit (&gt;12 Monate)</t>
  </si>
  <si>
    <t>Maximaltage</t>
  </si>
  <si>
    <t>0 - 105</t>
  </si>
  <si>
    <t>106 - 252</t>
  </si>
  <si>
    <t>ab 253</t>
  </si>
  <si>
    <t>Bereich</t>
  </si>
  <si>
    <t>Projektportfolio Pipeline</t>
  </si>
  <si>
    <t>Projektart für Pipeline</t>
  </si>
  <si>
    <t>Projektart mit Versatz</t>
  </si>
  <si>
    <t>Projektphase mit Versatz</t>
  </si>
  <si>
    <t>Automatisierte Darstellung der Auswertungen</t>
  </si>
  <si>
    <t>Sehr Hoch</t>
  </si>
  <si>
    <t>Gering</t>
  </si>
  <si>
    <t>Sehr Gering</t>
  </si>
  <si>
    <t>Aktueller Bericht</t>
  </si>
  <si>
    <t>Q4/25</t>
  </si>
  <si>
    <t>Q1/26</t>
  </si>
  <si>
    <t>Q2/26</t>
  </si>
  <si>
    <t>Q3/26</t>
  </si>
  <si>
    <t>Q4/26</t>
  </si>
  <si>
    <t>Q1/27</t>
  </si>
  <si>
    <t>Q2/27</t>
  </si>
  <si>
    <t>Q3/27</t>
  </si>
  <si>
    <t>Q4/27</t>
  </si>
  <si>
    <t>(Quartale manuell eintragen)</t>
  </si>
  <si>
    <t>Summe</t>
  </si>
  <si>
    <t>Projektpriorität und Projektphase</t>
  </si>
  <si>
    <t>Nicht gestartet in %</t>
  </si>
  <si>
    <t>Planung in %</t>
  </si>
  <si>
    <t>In Arbeit in %</t>
  </si>
  <si>
    <t>Blockiert in %</t>
  </si>
  <si>
    <t>Abgeschlossen in %</t>
  </si>
  <si>
    <t>Anzahl Projekte</t>
  </si>
  <si>
    <t>Arbeitsbereich Auswertungen Dashboard</t>
  </si>
  <si>
    <t>Gesamt</t>
  </si>
  <si>
    <t>Projektlaufzeit</t>
  </si>
  <si>
    <t>Monate</t>
  </si>
  <si>
    <t>Gerundet</t>
  </si>
  <si>
    <t>nach Projektart</t>
  </si>
  <si>
    <t xml:space="preserve">Berichtsdatum: </t>
  </si>
  <si>
    <t>Berichtsdatum:</t>
  </si>
  <si>
    <t>&lt;10%</t>
  </si>
  <si>
    <t>10-99%</t>
  </si>
  <si>
    <t>Projektphase für Pipeline</t>
  </si>
  <si>
    <t>Abgebrochen</t>
  </si>
  <si>
    <t>Projektklasse</t>
  </si>
  <si>
    <t>Regelbetrieb</t>
  </si>
  <si>
    <t>Berechnungsgrundlagen für Auswertungen</t>
  </si>
  <si>
    <t>Innovationskraft</t>
  </si>
  <si>
    <t>Dateneingabe zu Projekten erforderlich</t>
  </si>
  <si>
    <t>Bibliothek</t>
  </si>
  <si>
    <t>Manuelle Auswertungen durch PPM erstellt</t>
  </si>
  <si>
    <t>Budgeteinbehalt</t>
  </si>
  <si>
    <t>Strategisches Projekt/Schlüsselprojekt/Programm</t>
  </si>
  <si>
    <t>Projektfortschritt</t>
  </si>
  <si>
    <t>-</t>
  </si>
  <si>
    <t>ID</t>
  </si>
  <si>
    <t>Dauer in Werktagen
errechnet</t>
  </si>
  <si>
    <t>Ist-Kosten in%</t>
  </si>
  <si>
    <t>Hinweis zur Datenqualität: Die im Projektauftrag angeführten bzw. im Projektportfolio dargestellten Budget-, Kosten- oder Ressourcenzahlen sind mit Vorsicht zu interpretieren. Sie basieren auf Daten unterschiedlicher Qualität und aus verschiedenen Quellen (z.B. Budgetplanung, Maßnahmenplanung, Signing Memos, Sonderbudgets). Personalressourcen können derzeit weder in Stunden noch monetarisiert geschätzt werden. Ziel ist es, die Datenqualität und Aussagekraft der Angaben im Portfolio schrittweise zu verbessern.</t>
  </si>
  <si>
    <t>Grundlage für Analysen und Berichte: Bereitstellung von Daten für Auswertungen und Berichte zum Projektportfolio.</t>
  </si>
  <si>
    <t>Forschungs- und Drittmittelprojekte sind aufgrund ihrer spezifischen Anforderungen und der bestehenden Strukturen nicht in diesem Projektportfolio erfasst.</t>
  </si>
  <si>
    <t>Hinweise und Disclaimer</t>
  </si>
  <si>
    <t>Förderung von Standards: Unterstützung der Anwendung anerkannter Projektmanagementmethoden und -standards.</t>
  </si>
  <si>
    <t>Unterstützung der strategischen Steuerung: Ermöglichung einer effektiven Steuerung und Priorisierung der Projektlandschaft.</t>
  </si>
  <si>
    <t>Kurzbezeichnung des Projekts</t>
  </si>
  <si>
    <t>PL/
Ansprechperson</t>
  </si>
  <si>
    <t>Projektauftrag/PSB/Kooperationsprojekt/Budgeteinbehalt/LA</t>
  </si>
  <si>
    <t>LV25-27</t>
  </si>
  <si>
    <t>LV28-30</t>
  </si>
  <si>
    <t>Anteil LV-Vorhaben</t>
  </si>
  <si>
    <t>Plan-Kosten</t>
  </si>
  <si>
    <t>Anteil Lenkungsausschüsse</t>
  </si>
  <si>
    <t>Anteil Kooperationsprojekte</t>
  </si>
  <si>
    <t>Keine Angabe</t>
  </si>
  <si>
    <t>Projektstatusbericht (PSB)</t>
  </si>
  <si>
    <t>Aktuelle LV-Periode:</t>
  </si>
  <si>
    <t>Achtung: Zusätzliche Zeilen müssen innerhalb der bestehenden Tabelle eingefügt werden. Nur so bleiben die Formeln und Formatierungen erhalten! Zusätzliche Zeile und Formeln im Tabellenblatt "Zeitleiste" nachziehen.</t>
  </si>
  <si>
    <t>Kurzbeschreibung (Auslöser/Inhalte/Ziele)</t>
  </si>
  <si>
    <t>Projekt mit externen Kooperationspartnern?</t>
  </si>
  <si>
    <t>Idee erfasst/noch nicht gestartet</t>
  </si>
  <si>
    <t>Projektname/Bezeichnung des Vorhabens</t>
  </si>
  <si>
    <t>Rektor in %</t>
  </si>
  <si>
    <t>VRLK in %</t>
  </si>
  <si>
    <t>VRFDI in %</t>
  </si>
  <si>
    <t>VRFIN in %</t>
  </si>
  <si>
    <t>Projektportfolio Vorhaben der Leistungsvereinbarung</t>
  </si>
  <si>
    <t>Zeitleiste LV-Vorhaben</t>
  </si>
  <si>
    <t>Projektauftrag</t>
  </si>
  <si>
    <t>SUMME</t>
  </si>
  <si>
    <t>LV-Nr.</t>
  </si>
  <si>
    <t>Leistungsbereich</t>
  </si>
  <si>
    <t>A. Gesellschaftliche Zielsetzungen</t>
  </si>
  <si>
    <t>B. Forschung/Entwicklung</t>
  </si>
  <si>
    <t>C. Lehre</t>
  </si>
  <si>
    <t>D. Sonstige</t>
  </si>
  <si>
    <t>Wissenschaftskommunikation</t>
  </si>
  <si>
    <t>LV-Nummer</t>
  </si>
  <si>
    <t>Relevante Meilensteine zur Umsetzung laut LV</t>
  </si>
  <si>
    <t>Kostenstelle/Innenauftrag</t>
  </si>
  <si>
    <t>Plankosten 25-27</t>
  </si>
  <si>
    <t>Plankosten 2025</t>
  </si>
  <si>
    <t>Plankosten 2026</t>
  </si>
  <si>
    <t>Plankosten 2027</t>
  </si>
  <si>
    <t>Ist-Kosten (Gesamt)</t>
  </si>
  <si>
    <t>Lenkungs-ausschuss</t>
  </si>
  <si>
    <t>Thema für Begleitgespräch</t>
  </si>
  <si>
    <t>keine</t>
  </si>
  <si>
    <t>Vorbereitung der Workshops 2026</t>
  </si>
  <si>
    <t>Anteil Budgeteinbehalt</t>
  </si>
  <si>
    <t>Kapitelzuordnung</t>
  </si>
  <si>
    <t>A. Allgemeine gesellschaftliche Zielsetzungen</t>
  </si>
  <si>
    <t>A. Wissenschaftskommunikation/Wissenstransfer in die Gesellschaft</t>
  </si>
  <si>
    <t>A. Qualitätssicherung</t>
  </si>
  <si>
    <t>A. Personalstruktur/-entwicklung</t>
  </si>
  <si>
    <t>A. Standortwirkung</t>
  </si>
  <si>
    <t>B. Forschungsstärken</t>
  </si>
  <si>
    <t>B. Großforschungsinfrastruktur</t>
  </si>
  <si>
    <t>B. Wissens-/Technologietransfer</t>
  </si>
  <si>
    <t>B. Europäischer Forschungsraum</t>
  </si>
  <si>
    <t>C. Studienbereich</t>
  </si>
  <si>
    <t>C. Qualitätssichernde Maßnahmen in der Lehre</t>
  </si>
  <si>
    <t>C. Lehr-/Lernorganisation</t>
  </si>
  <si>
    <t>C. Weiterbildung</t>
  </si>
  <si>
    <t>D. Kooperationen</t>
  </si>
  <si>
    <t>D. Bibliotheken</t>
  </si>
  <si>
    <t>D. Internationalisierung</t>
  </si>
  <si>
    <t>D. Klinischer Bereich</t>
  </si>
  <si>
    <t>D. Forschungsinstitut für Wildtierkunde und Ökologie</t>
  </si>
  <si>
    <t>n/a</t>
  </si>
  <si>
    <t>Ziel(e) gemäß LV25-27</t>
  </si>
  <si>
    <t>Indikator</t>
  </si>
  <si>
    <t>Ausgangswert 2023</t>
  </si>
  <si>
    <t>Zielwert</t>
  </si>
  <si>
    <t>Referenz Vorhaben</t>
  </si>
  <si>
    <t>Kapitel</t>
  </si>
  <si>
    <t>Nr.</t>
  </si>
  <si>
    <t>Qualitätssicherung</t>
  </si>
  <si>
    <t>Istwert</t>
  </si>
  <si>
    <t>Allgemeine gesellschaftliche Zielsetzungen</t>
  </si>
  <si>
    <t>4 VetmedTalks und 1 SDG-Vortrag werden bis 31.12.2025 umgesetzt</t>
  </si>
  <si>
    <t>Bei "I wü wieda ham" waren am 23.10. OÖ, Stmk, Südtirol dabei</t>
  </si>
  <si>
    <t>Teilnahme am Projekt wurde zugesagt.  Die bisherigen Vorarbeiten durch das externe Projekt-Team sind im Zeitrahmen (Vorstellung der Lose Q4/2025-Q1/2026). Sobald die Lose bekannt sind muss sich die Universität für eine Vorgehensvariante (=Ausprägung) entscheiden. Evtl. müssen je nach Ausprägung noch Vorarbeiten geleistet werden.</t>
  </si>
  <si>
    <t>Vorhaben noch nicht begonnen (internes Doktoratsprogramm mit Laufzeit 1.1.2027 bis 30.6.2030)</t>
  </si>
  <si>
    <t>A2.2.1.1: 1 Maßnahme (zweisprachige Schilder)
A2.2.1.2: 4 Maßnahmen (4 unterschiedliche Schulungen)
A2.2.1.3: 1 Maßnahme (englische Ausgaben von vetmeduni inside)
A2.2.1.4: 1 Maßnahme (Ausschreibung Stellen begünstigte Behinderte)</t>
  </si>
  <si>
    <t>Abgebrochen in %</t>
  </si>
  <si>
    <t>Personal</t>
  </si>
  <si>
    <t>Standortentwicklung</t>
  </si>
  <si>
    <t>Forschungsstärken</t>
  </si>
  <si>
    <t>Großforschungsinfrastruktur</t>
  </si>
  <si>
    <t>Wissens-/Technologietransfer und Verwertung</t>
  </si>
  <si>
    <t>Europäischer Forschungsraum</t>
  </si>
  <si>
    <t>Studienbereich</t>
  </si>
  <si>
    <t>Qualitätssichernde Maßnahmen in der Lehre</t>
  </si>
  <si>
    <t>Lehr-/Lernorganisation</t>
  </si>
  <si>
    <t>Weiterbildung</t>
  </si>
  <si>
    <t>Kooperationen</t>
  </si>
  <si>
    <t>Internationalisierung</t>
  </si>
  <si>
    <t>Klinischer Bereich</t>
  </si>
  <si>
    <t>Wildtierkunde und Ökologie</t>
  </si>
  <si>
    <t>Vorhaben der Leistungsvereinbarung - Gesamtübersicht</t>
  </si>
  <si>
    <t>Vorhaben der Leistungsvereinbarung nach Projektauftraggeber:in</t>
  </si>
  <si>
    <t>Vorhaben der Leistungsvereinbarung mit Budgeteinbehalt</t>
  </si>
  <si>
    <t>Vorhaben der Leistungsvereinbarung nach Leistungsbereichen</t>
  </si>
  <si>
    <t>Achtung: Nein = Nein + n/a</t>
  </si>
  <si>
    <t>Projektleitungen</t>
  </si>
  <si>
    <t>OE für Auswertungen</t>
  </si>
  <si>
    <t>2 BIPA (Bioinformatik und Biostatistik; Labordiagnostik), 2 Klinisches Department für Nutztiere und Transformation von Lebensmittelsystemen ( Digitalisierung bei Nutztieren (Precision Livestock Farming (PLF) Hub);  In vitro Darmmodelle)</t>
  </si>
  <si>
    <t>Status Zusammenfassung (Stand 11/25)4</t>
  </si>
  <si>
    <t>Risiken (Stand 11/25)5</t>
  </si>
  <si>
    <t>Entscheidungsbedarf (Stand 11/25)6</t>
  </si>
  <si>
    <t>Status Zusammenfassung (Stand 01/26 - Wibi 25)</t>
  </si>
  <si>
    <t>Risiken (Stand 01/26 - Wibi 25)</t>
  </si>
  <si>
    <t>Entscheidungsbedarf (Stand 01/26 - Wibi 25)</t>
  </si>
  <si>
    <t>Istkosten 2025</t>
  </si>
  <si>
    <t>Istkosten 2026</t>
  </si>
  <si>
    <t>Istkosten 2027</t>
  </si>
  <si>
    <t>Dazugehörende Ziele</t>
  </si>
  <si>
    <t>Entwurf</t>
  </si>
  <si>
    <t>initial</t>
  </si>
  <si>
    <t>Anmerkungen 11/25</t>
  </si>
  <si>
    <t>Anmerkungen 02/26 (WIBI)</t>
  </si>
  <si>
    <t>Abweichung absolut</t>
  </si>
  <si>
    <t>Abweichung in %</t>
  </si>
  <si>
    <t>Unter den OEAD Botschafter/innen-Profilen  findet man aktuell 5 unter dem Stichwort „Vetmeduni“: Bieber, Burger, Burk, Pohlin, Schauberger und 3 weitere unter "Veterinärmedizinische": Dr. Oberließen (CF-WSC), Prof. Nowotny und Dr. Patzl. Zu prüfen, ob Prof. Nowotny und Dr. Patzl noch für Vetmeduni aktiv sind.</t>
  </si>
  <si>
    <t>1) Das Gründungstreffen hat am 7.10.2025 mit Departmentleiterinnen, Zentrumsleiterinnen und Stellvertreterinnen  hat unter Beteilung des Rektorats stattgefunden._x000B_2) Das zweite Netzwerktreffen ist für 18.12.2025 mit einem gezielten Themenimpuls einer externen Referentin geplant.</t>
  </si>
  <si>
    <t>Entfristung mit 01.01.2025: Tatiana Marschik (Öff. Veterinärwesen und Epidemiologie) Das Dienstverhältnis endete durch Kündigung Dienstnehmerin per 30.09.2025.
Künftige Entfristung mit 30.12.2025: Aldin Selimovic (FI für Wildtierkunde und Ökologie) </t>
  </si>
  <si>
    <t>(Info 25.02.2026: im Excel war zuvor ein Ist-Wert von 9 angegeben)</t>
  </si>
  <si>
    <t>Unterzeichnet</t>
  </si>
  <si>
    <t>Summe Unterzeichnet + Entwurf Gesamt</t>
  </si>
  <si>
    <t>Summe Unterzeichnet + Entwurf Budgeteinbehalt</t>
  </si>
  <si>
    <t>Beteiligte Organisationseinheit(en)</t>
  </si>
  <si>
    <t>LV-Periode</t>
  </si>
  <si>
    <t>LE1234567</t>
  </si>
  <si>
    <t>A1.1.1.1.1</t>
  </si>
  <si>
    <t>Vorhaben zur Qualitätssicherung</t>
  </si>
  <si>
    <t>Zentrale Beschaffung Labormaterialien</t>
  </si>
  <si>
    <t>Vollständige Digitalisierung und Standardisierung des Beschaffungsprozesses für Labormaterialien und Verbrauchsgüter</t>
  </si>
  <si>
    <t>2026 Pilotbetrieb</t>
  </si>
  <si>
    <t>Einkauf</t>
  </si>
  <si>
    <t>Fertigstellungs-grad (%)</t>
  </si>
  <si>
    <t>Sonderwünsche bei Department A, Personelle Engpässe, es wird kein passendes Produkt gefunden, keine Direktvergabe möglich/Ausschreibung erforderlich</t>
  </si>
  <si>
    <t>Umgang mit Sonderwünschen</t>
  </si>
  <si>
    <t>Ist-Prozesse wurden in 3 Workshops erfasst, derzeit werden Anforderungen an den Soll-Prozess und Mindestanforderungen erarbeitet, Umgang mit Sonderwünsche unklar, erst nach Klärung kann Entscheidung für Anbieter getroffen werden</t>
  </si>
  <si>
    <t>C1.2.2</t>
  </si>
  <si>
    <t>Vorhaben zur Lehr-/Lernorganisation</t>
  </si>
  <si>
    <t>Digitale Lehr- und Prüfungsorganisation</t>
  </si>
  <si>
    <t xml:space="preserve">Digitale Lösungen sollen Abläufe in der zentralen Verwaltung transparent machen und 
vereinfachen. Im Bereich der Studienorganisation soll ein Tool zur zentralen Planung der 
Lehrorganisation (Stundenplan, Raumvergabe, Lehrveranstaltungs- und 
Prüfungsmanagement) eingeführt werden. </t>
  </si>
  <si>
    <t>2026: Einführung Tool zur Lehrorganisation</t>
  </si>
  <si>
    <t>Lehrorganisation</t>
  </si>
  <si>
    <t>in Planung</t>
  </si>
  <si>
    <t>2025 wurde eine Schulung für Mitarbeiter:innen der Verwaltung zu Stärkung der Digitalkompetenzen geplant, Durchführung 2026</t>
  </si>
  <si>
    <t>Stärkung Digitalisierung</t>
  </si>
  <si>
    <t>Anzahl der abgearbeiteten Maßnahmen</t>
  </si>
  <si>
    <t>C7.7.7.8</t>
  </si>
  <si>
    <t>Einführung Erweiterungsstudium Meereskrabben</t>
  </si>
  <si>
    <t>Bedarfsanalyse</t>
  </si>
  <si>
    <t>ev. keine gesetzliche Deckung</t>
  </si>
  <si>
    <t>D3.3.3</t>
  </si>
  <si>
    <t>Neubau „Elefantenhaus“ – Trainings- und Untersuchungszentrum für Großsäuger</t>
  </si>
  <si>
    <t>Planung und Errichtung eines spezialisierten Trainings- und Untersuchungszentrums („Elefantenhaus“) zur praxisnahen Ausbildung, Forschung an schonenden Untersuchungsmethoden sowie zur vorübergehenden Betreuung von Großsäugern in Kooperation mit Partnereinrichtungen. Der Neubau umfasst zwei Innengehege mit Trainingsbereichen, zwei Außengehege, einen Untersuchungs- und Bildgebungsbereich, Quarantäneboxen, Futter- und Technikräume sowie Besucher- und Lehrflächen für Lehrveranstaltungen. Der Fokus liegt auf Tierwohl, Arbeitssicherheit, nachhaltiger Haustechnik und standardisierten Betriebsabläufen.</t>
  </si>
  <si>
    <t>2025: Elefantenhaus konzeptionieren
Ab 2027: Bau</t>
  </si>
  <si>
    <t>Campusmanagement</t>
  </si>
  <si>
    <t>2027: Bedarfsanalyse Erweiterungsstudium
4. BG</t>
  </si>
  <si>
    <t>LE9876543</t>
  </si>
  <si>
    <t>Sicherstellung Finanzmittel mit Ministerium von Bauleitplan abhängig</t>
  </si>
  <si>
    <t>Personelle Entscheidung zu treffen</t>
  </si>
  <si>
    <t>Abstimmungen BIG</t>
  </si>
  <si>
    <t>Schaffung einer zentralisierten Übersicht: Darstellung des Projektportfolios der Vorhaben der Leistungsvereinbarung, um eine einheitliche und transparente Sicht auf die Projektlandschaft zu ermöglichen.</t>
  </si>
  <si>
    <t>Das primäre Ziel des vorliegenden Portfolios ist die Schaffung von Transparenz über die bestehende Projektlandschaft. In weiteren Ausbaustufen soll das Portfolio auf Projekte außerhalb der Leistungsvereinbarung ausgeweitet werden. Mit verbesserter Datenqualität soll es dazu beitragen, die strategische Ausrichtung der Projekte zu steuern, zu einer effizienten Ressourcenplanung und -nutzung beitragen und das Management von Projektrisiken unterstützen. So wird der Reifegrad des Portfolios schrittweise angehoben.</t>
  </si>
  <si>
    <t>Vorname Nachname</t>
  </si>
  <si>
    <t>Organisationseinheit 1</t>
  </si>
  <si>
    <t>Organisationseinheit 2</t>
  </si>
  <si>
    <t>Organisationseinheit 3</t>
  </si>
  <si>
    <t>Organisationseinheit 4</t>
  </si>
  <si>
    <t>Organisationseinheit 5</t>
  </si>
  <si>
    <t>Organisationseinheit 6</t>
  </si>
  <si>
    <t>Organisationseinheit 7</t>
  </si>
  <si>
    <t>Organisationseinheit 8</t>
  </si>
  <si>
    <t>Organisationseinheit 9</t>
  </si>
  <si>
    <t>Organisationseinheit 10</t>
  </si>
  <si>
    <t>Organisationseinheit 11</t>
  </si>
  <si>
    <t>Organisationseinheit 12</t>
  </si>
  <si>
    <t>Organisationseinheit 13</t>
  </si>
  <si>
    <t>Organisationseinheit 14</t>
  </si>
  <si>
    <t>Organisationseinheit 15</t>
  </si>
  <si>
    <t>Organisationseinheit 16</t>
  </si>
  <si>
    <t>Organisationseinheit 17</t>
  </si>
  <si>
    <t>Organisationseinheit 18</t>
  </si>
  <si>
    <t>Organisationseinheit 19</t>
  </si>
  <si>
    <t>Organisationseinheit 20</t>
  </si>
  <si>
    <t>Organisationseinheit 21</t>
  </si>
  <si>
    <t>Organisationseinheit 22</t>
  </si>
  <si>
    <t>Organisationseinheit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</si>
</sst>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 mmm"/>
    <numFmt numFmtId="165" formatCode="mmm"/>
    <numFmt numFmtId="166" formatCode="yyyy"/>
    <numFmt numFmtId="167" formatCode="d/\ mmm\ yy"/>
    <numFmt numFmtId="168" formatCode="&quot;€&quot;\ #,##0"/>
    <numFmt numFmtId="169" formatCode="&quot;€&quot;\ 0.0,,&quot; Mio&quot;;\-0.0,,,&quot; Mio&quot;"/>
    <numFmt numFmtId="170" formatCode="#,##0_ ;\-#,##0\ "/>
  </numFmts>
  <fonts count="32"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theme="1"/>
      <name val="Wingdings"/>
      <charset val="2"/>
    </font>
    <font>
      <sz val="10"/>
      <color theme="1"/>
      <name val="Wingdings"/>
      <charset val="2"/>
    </font>
    <font>
      <b/>
      <sz val="11"/>
      <color theme="1"/>
      <name val="Arial"/>
      <family val="2"/>
    </font>
    <font>
      <sz val="11"/>
      <color theme="1"/>
      <name val="Arial"/>
      <family val="2"/>
    </font>
    <font>
      <sz val="11"/>
      <color theme="0"/>
      <name val="Arial"/>
      <family val="2"/>
    </font>
    <font>
      <b/>
      <sz val="11"/>
      <color theme="0"/>
      <name val="Arial"/>
      <family val="2"/>
    </font>
    <font>
      <sz val="8"/>
      <color theme="1"/>
      <name val="Arial"/>
      <family val="2"/>
    </font>
    <font>
      <b/>
      <sz val="11"/>
      <color theme="1"/>
      <name val="Wingdings"/>
      <charset val="2"/>
    </font>
    <font>
      <sz val="9"/>
      <color indexed="81"/>
      <name val="Segoe UI"/>
      <family val="2"/>
    </font>
    <font>
      <sz val="9"/>
      <color theme="1"/>
      <name val="Arial"/>
      <family val="2"/>
    </font>
    <font>
      <sz val="8"/>
      <name val="Aptos Narrow"/>
      <family val="2"/>
      <scheme val="minor"/>
    </font>
    <font>
      <u/>
      <sz val="11"/>
      <color theme="10"/>
      <name val="Aptos Narrow"/>
      <family val="2"/>
      <scheme val="minor"/>
    </font>
    <font>
      <b/>
      <i/>
      <sz val="20"/>
      <color theme="0"/>
      <name val="Arial"/>
      <family val="2"/>
    </font>
    <font>
      <b/>
      <sz val="11"/>
      <name val="Arial"/>
      <family val="2"/>
    </font>
    <font>
      <u/>
      <sz val="11"/>
      <color theme="10"/>
      <name val="Arial"/>
      <family val="2"/>
    </font>
    <font>
      <i/>
      <sz val="11"/>
      <color theme="0"/>
      <name val="Arial"/>
      <family val="2"/>
    </font>
    <font>
      <i/>
      <sz val="11"/>
      <color theme="1"/>
      <name val="Arial"/>
      <family val="2"/>
    </font>
    <font>
      <sz val="11"/>
      <name val="Arial"/>
      <family val="2"/>
    </font>
    <font>
      <sz val="12"/>
      <color theme="1"/>
      <name val="Arial"/>
      <family val="2"/>
    </font>
    <font>
      <b/>
      <sz val="14"/>
      <color theme="1"/>
      <name val="Arial"/>
      <family val="2"/>
    </font>
    <font>
      <b/>
      <i/>
      <sz val="22"/>
      <color theme="0"/>
      <name val="Arial"/>
      <family val="2"/>
    </font>
    <font>
      <b/>
      <i/>
      <sz val="12"/>
      <color theme="0"/>
      <name val="Arial"/>
      <family val="2"/>
    </font>
    <font>
      <b/>
      <sz val="9"/>
      <color indexed="81"/>
      <name val="Segoe UI"/>
      <family val="2"/>
    </font>
    <font>
      <b/>
      <i/>
      <sz val="11"/>
      <color theme="0"/>
      <name val="Aptos Narrow"/>
      <family val="2"/>
      <scheme val="minor"/>
    </font>
    <font>
      <b/>
      <sz val="11"/>
      <color rgb="FFF5CCD6"/>
      <name val="Aptos Narrow"/>
      <family val="2"/>
      <scheme val="minor"/>
    </font>
    <font>
      <sz val="11"/>
      <color rgb="FFE26785"/>
      <name val="Aptos Narrow"/>
      <family val="2"/>
      <scheme val="minor"/>
    </font>
    <font>
      <sz val="11"/>
      <color rgb="FF61C59F"/>
      <name val="Aptos Narrow"/>
      <family val="2"/>
      <scheme val="minor"/>
    </font>
    <font>
      <sz val="11"/>
      <color theme="5"/>
      <name val="Aptos Narrow"/>
      <family val="2"/>
      <scheme val="minor"/>
    </font>
    <font>
      <sz val="11"/>
      <color theme="2" tint="-9.9978637043366805E-2"/>
      <name val="Aptos Narrow"/>
      <family val="2"/>
      <scheme val="minor"/>
    </font>
  </fonts>
  <fills count="16">
    <fill>
      <patternFill patternType="none"/>
    </fill>
    <fill>
      <patternFill patternType="gray125"/>
    </fill>
    <fill>
      <patternFill patternType="solid">
        <fgColor rgb="FFAF2144"/>
        <bgColor indexed="64"/>
      </patternFill>
    </fill>
    <fill>
      <patternFill patternType="solid">
        <fgColor rgb="FFF3C3CE"/>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FF99"/>
        <bgColor indexed="64"/>
      </patternFill>
    </fill>
    <fill>
      <patternFill patternType="solid">
        <fgColor rgb="FF339966"/>
        <bgColor indexed="64"/>
      </patternFill>
    </fill>
    <fill>
      <patternFill patternType="solid">
        <fgColor theme="1" tint="0.499984740745262"/>
        <bgColor indexed="64"/>
      </patternFill>
    </fill>
    <fill>
      <patternFill patternType="solid">
        <fgColor theme="3" tint="0.249977111117893"/>
        <bgColor indexed="64"/>
      </patternFill>
    </fill>
    <fill>
      <patternFill patternType="solid">
        <fgColor rgb="FF831933"/>
        <bgColor indexed="64"/>
      </patternFill>
    </fill>
    <fill>
      <patternFill patternType="solid">
        <fgColor rgb="FFCAECDF"/>
        <bgColor indexed="64"/>
      </patternFill>
    </fill>
    <fill>
      <patternFill patternType="solid">
        <fgColor rgb="FF808080"/>
        <bgColor indexed="64"/>
      </patternFill>
    </fill>
    <fill>
      <patternFill patternType="solid">
        <fgColor rgb="FFC8C8C8"/>
        <bgColor indexed="64"/>
      </patternFill>
    </fill>
  </fills>
  <borders count="32">
    <border>
      <left/>
      <right/>
      <top/>
      <bottom/>
      <diagonal/>
    </border>
    <border>
      <left/>
      <right/>
      <top/>
      <bottom style="thin">
        <color theme="2"/>
      </bottom>
      <diagonal/>
    </border>
    <border>
      <left/>
      <right style="dotted">
        <color theme="2" tint="-9.9948118533890809E-2"/>
      </right>
      <top/>
      <bottom style="dotted">
        <color theme="2" tint="-9.9948118533890809E-2"/>
      </bottom>
      <diagonal/>
    </border>
    <border>
      <left style="dotted">
        <color theme="2" tint="-9.9948118533890809E-2"/>
      </left>
      <right style="dotted">
        <color theme="2" tint="-9.9948118533890809E-2"/>
      </right>
      <top/>
      <bottom style="dotted">
        <color theme="2" tint="-9.9948118533890809E-2"/>
      </bottom>
      <diagonal/>
    </border>
    <border>
      <left style="dotted">
        <color theme="2" tint="-9.9948118533890809E-2"/>
      </left>
      <right/>
      <top/>
      <bottom style="dotted">
        <color theme="2" tint="-9.9948118533890809E-2"/>
      </bottom>
      <diagonal/>
    </border>
    <border>
      <left/>
      <right style="dotted">
        <color theme="2" tint="-9.9948118533890809E-2"/>
      </right>
      <top style="dotted">
        <color theme="2" tint="-9.9948118533890809E-2"/>
      </top>
      <bottom style="dotted">
        <color theme="2" tint="-9.9948118533890809E-2"/>
      </bottom>
      <diagonal/>
    </border>
    <border>
      <left style="dotted">
        <color theme="2" tint="-9.9948118533890809E-2"/>
      </left>
      <right style="dotted">
        <color theme="2" tint="-9.9948118533890809E-2"/>
      </right>
      <top style="dotted">
        <color theme="2" tint="-9.9948118533890809E-2"/>
      </top>
      <bottom style="dotted">
        <color theme="2" tint="-9.9948118533890809E-2"/>
      </bottom>
      <diagonal/>
    </border>
    <border>
      <left style="dotted">
        <color theme="2" tint="-9.9948118533890809E-2"/>
      </left>
      <right/>
      <top style="dotted">
        <color theme="2" tint="-9.9948118533890809E-2"/>
      </top>
      <bottom style="dotted">
        <color theme="2" tint="-9.9948118533890809E-2"/>
      </bottom>
      <diagonal/>
    </border>
    <border>
      <left style="dotted">
        <color theme="2"/>
      </left>
      <right style="dotted">
        <color theme="2"/>
      </right>
      <top style="dotted">
        <color theme="2"/>
      </top>
      <bottom style="dotted">
        <color theme="2"/>
      </bottom>
      <diagonal/>
    </border>
    <border>
      <left style="dotted">
        <color theme="0" tint="-4.9989318521683403E-2"/>
      </left>
      <right style="dotted">
        <color theme="0" tint="-4.9989318521683403E-2"/>
      </right>
      <top style="dotted">
        <color theme="0" tint="-4.9989318521683403E-2"/>
      </top>
      <bottom style="dotted">
        <color theme="0" tint="-4.9989318521683403E-2"/>
      </bottom>
      <diagonal/>
    </border>
    <border>
      <left/>
      <right/>
      <top style="thin">
        <color theme="1" tint="0.34998626667073579"/>
      </top>
      <bottom/>
      <diagonal/>
    </border>
    <border>
      <left style="thin">
        <color theme="1" tint="0.34998626667073579"/>
      </left>
      <right/>
      <top/>
      <bottom/>
      <diagonal/>
    </border>
    <border>
      <left style="thin">
        <color theme="1" tint="0.34998626667073579"/>
      </left>
      <right style="thin">
        <color theme="1" tint="0.34998626667073579"/>
      </right>
      <top style="thin">
        <color theme="1" tint="0.34998626667073579"/>
      </top>
      <bottom/>
      <diagonal/>
    </border>
    <border>
      <left style="thin">
        <color rgb="FF006600"/>
      </left>
      <right/>
      <top/>
      <bottom/>
      <diagonal/>
    </border>
    <border>
      <left style="dotted">
        <color theme="2"/>
      </left>
      <right/>
      <top style="dotted">
        <color theme="2"/>
      </top>
      <bottom style="dotted">
        <color theme="2"/>
      </bottom>
      <diagonal/>
    </border>
    <border>
      <left/>
      <right/>
      <top style="dotted">
        <color theme="2"/>
      </top>
      <bottom style="dotted">
        <color theme="2"/>
      </bottom>
      <diagonal/>
    </border>
    <border>
      <left/>
      <right style="dotted">
        <color theme="2"/>
      </right>
      <top style="dotted">
        <color theme="2"/>
      </top>
      <bottom style="dotted">
        <color theme="2"/>
      </bottom>
      <diagonal/>
    </border>
    <border>
      <left style="dotted">
        <color theme="0" tint="-4.9989318521683403E-2"/>
      </left>
      <right/>
      <top style="dotted">
        <color theme="0" tint="-4.9989318521683403E-2"/>
      </top>
      <bottom style="dotted">
        <color theme="0" tint="-4.9989318521683403E-2"/>
      </bottom>
      <diagonal/>
    </border>
    <border>
      <left style="hair">
        <color theme="1" tint="0.499984740745262"/>
      </left>
      <right style="dotted">
        <color theme="2"/>
      </right>
      <top style="dotted">
        <color theme="2"/>
      </top>
      <bottom style="dotted">
        <color theme="2"/>
      </bottom>
      <diagonal/>
    </border>
    <border>
      <left style="hair">
        <color theme="1" tint="0.499984740745262"/>
      </left>
      <right style="dotted">
        <color theme="0" tint="-4.9989318521683403E-2"/>
      </right>
      <top style="dotted">
        <color theme="0" tint="-4.9989318521683403E-2"/>
      </top>
      <bottom style="dotted">
        <color theme="0" tint="-4.9989318521683403E-2"/>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rgb="FF006600"/>
      </left>
      <right style="thin">
        <color rgb="FF006600"/>
      </right>
      <top style="thin">
        <color rgb="FF006600"/>
      </top>
      <bottom style="thin">
        <color rgb="FF006600"/>
      </bottom>
      <diagonal/>
    </border>
    <border>
      <left style="thin">
        <color rgb="FFFFC000"/>
      </left>
      <right style="thin">
        <color rgb="FFFFC000"/>
      </right>
      <top style="thin">
        <color rgb="FFFFC000"/>
      </top>
      <bottom style="thin">
        <color rgb="FFFFC000"/>
      </bottom>
      <diagonal/>
    </border>
    <border>
      <left style="thin">
        <color rgb="FF571022"/>
      </left>
      <right style="thin">
        <color rgb="FF571022"/>
      </right>
      <top style="thin">
        <color rgb="FF571022"/>
      </top>
      <bottom style="thin">
        <color rgb="FF571022"/>
      </bottom>
      <diagonal/>
    </border>
    <border>
      <left/>
      <right style="dotted">
        <color theme="0" tint="-4.9989318521683403E-2"/>
      </right>
      <top style="dotted">
        <color theme="0" tint="-4.9989318521683403E-2"/>
      </top>
      <bottom style="dotted">
        <color theme="0" tint="-4.9989318521683403E-2"/>
      </bottom>
      <diagonal/>
    </border>
    <border>
      <left/>
      <right/>
      <top style="thin">
        <color theme="2"/>
      </top>
      <bottom/>
      <diagonal/>
    </border>
    <border>
      <left style="dotted">
        <color theme="0" tint="-4.9989318521683403E-2"/>
      </left>
      <right style="dotted">
        <color theme="0" tint="-4.9989318521683403E-2"/>
      </right>
      <top/>
      <bottom style="dotted">
        <color theme="0" tint="-4.9989318521683403E-2"/>
      </bottom>
      <diagonal/>
    </border>
    <border>
      <left/>
      <right/>
      <top/>
      <bottom style="hair">
        <color theme="1" tint="0.499984740745262"/>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dotted">
        <color theme="2" tint="-9.9948118533890809E-2"/>
      </left>
      <right style="dotted">
        <color theme="2" tint="-9.9917600024414813E-2"/>
      </right>
      <top style="dotted">
        <color theme="2" tint="-9.9948118533890809E-2"/>
      </top>
      <bottom style="dotted">
        <color theme="2" tint="-9.9948118533890809E-2"/>
      </bottom>
      <diagonal/>
    </border>
    <border>
      <left style="dotted">
        <color theme="2" tint="-9.9917600024414813E-2"/>
      </left>
      <right style="dotted">
        <color theme="2" tint="-9.9917600024414813E-2"/>
      </right>
      <top style="dotted">
        <color theme="2" tint="-9.9948118533890809E-2"/>
      </top>
      <bottom style="dotted">
        <color theme="2" tint="-9.9948118533890809E-2"/>
      </bottom>
      <diagonal/>
    </border>
    <border>
      <left style="dotted">
        <color theme="2" tint="-9.9917600024414813E-2"/>
      </left>
      <right style="dotted">
        <color theme="2" tint="-9.9948118533890809E-2"/>
      </right>
      <top style="dotted">
        <color theme="2" tint="-9.9948118533890809E-2"/>
      </top>
      <bottom style="dotted">
        <color theme="2" tint="-9.9948118533890809E-2"/>
      </bottom>
      <diagonal/>
    </border>
  </borders>
  <cellStyleXfs count="3">
    <xf numFmtId="0" fontId="0" fillId="0" borderId="0"/>
    <xf numFmtId="9" fontId="2" fillId="0" borderId="0" applyFont="0" applyFill="0" applyBorder="0" applyAlignment="0" applyProtection="0"/>
    <xf numFmtId="0" fontId="14" fillId="0" borderId="0" applyNumberFormat="0" applyFill="0" applyBorder="0" applyAlignment="0" applyProtection="0"/>
  </cellStyleXfs>
  <cellXfs count="159">
    <xf numFmtId="0" fontId="0" fillId="0" borderId="0" xfId="0"/>
    <xf numFmtId="0" fontId="1" fillId="0" borderId="0" xfId="0" applyFont="1"/>
    <xf numFmtId="0" fontId="6" fillId="0" borderId="0" xfId="0" applyFont="1"/>
    <xf numFmtId="0" fontId="9" fillId="0" borderId="0" xfId="0" applyFont="1" applyAlignment="1">
      <alignment horizontal="right" vertical="top"/>
    </xf>
    <xf numFmtId="0" fontId="5" fillId="0" borderId="0" xfId="0" applyFont="1"/>
    <xf numFmtId="0" fontId="10" fillId="0" borderId="0" xfId="0" applyFont="1"/>
    <xf numFmtId="0" fontId="0" fillId="0" borderId="0" xfId="0" applyAlignment="1">
      <alignment wrapText="1"/>
    </xf>
    <xf numFmtId="0" fontId="6" fillId="0" borderId="0" xfId="0" applyFont="1" applyAlignment="1">
      <alignment wrapText="1"/>
    </xf>
    <xf numFmtId="0" fontId="5" fillId="0" borderId="0" xfId="0" applyFont="1" applyAlignment="1">
      <alignment wrapText="1"/>
    </xf>
    <xf numFmtId="0" fontId="8" fillId="5" borderId="0" xfId="0" applyFont="1" applyFill="1" applyAlignment="1">
      <alignment horizontal="left" vertical="center" indent="1"/>
    </xf>
    <xf numFmtId="14" fontId="6" fillId="6" borderId="0" xfId="0" applyNumberFormat="1" applyFont="1" applyFill="1" applyAlignment="1">
      <alignment horizontal="left" vertical="center" indent="1"/>
    </xf>
    <xf numFmtId="0" fontId="8" fillId="5" borderId="0" xfId="0" applyFont="1" applyFill="1" applyAlignment="1">
      <alignment horizontal="center" vertical="center"/>
    </xf>
    <xf numFmtId="14" fontId="6" fillId="4" borderId="0" xfId="0" applyNumberFormat="1" applyFont="1" applyFill="1" applyAlignment="1">
      <alignment horizontal="left" vertical="center" indent="1"/>
    </xf>
    <xf numFmtId="0" fontId="6" fillId="6" borderId="0" xfId="0" applyFont="1" applyFill="1" applyAlignment="1">
      <alignment horizontal="right" vertical="center" indent="2"/>
    </xf>
    <xf numFmtId="0" fontId="6" fillId="4" borderId="0" xfId="0" applyFont="1" applyFill="1" applyAlignment="1">
      <alignment horizontal="right" vertical="center" indent="2"/>
    </xf>
    <xf numFmtId="0" fontId="8" fillId="5" borderId="0" xfId="0" applyFont="1" applyFill="1" applyAlignment="1">
      <alignment horizontal="right" vertical="center" indent="2"/>
    </xf>
    <xf numFmtId="0" fontId="6" fillId="6" borderId="0" xfId="0" applyFont="1" applyFill="1" applyAlignment="1">
      <alignment horizontal="center" vertical="center"/>
    </xf>
    <xf numFmtId="0" fontId="6" fillId="0" borderId="0" xfId="0" applyFont="1" applyAlignment="1">
      <alignment horizontal="center"/>
    </xf>
    <xf numFmtId="0" fontId="0" fillId="3" borderId="0" xfId="0" applyFill="1"/>
    <xf numFmtId="0" fontId="9" fillId="0" borderId="0" xfId="0" applyFont="1" applyAlignment="1">
      <alignment horizontal="left"/>
    </xf>
    <xf numFmtId="0" fontId="15" fillId="2" borderId="0" xfId="0" applyFont="1" applyFill="1" applyAlignment="1">
      <alignment horizontal="left" vertical="center"/>
    </xf>
    <xf numFmtId="0" fontId="6" fillId="2" borderId="0" xfId="0" applyFont="1" applyFill="1"/>
    <xf numFmtId="0" fontId="15" fillId="2" borderId="0" xfId="0" applyFont="1" applyFill="1" applyAlignment="1">
      <alignment horizontal="left" vertical="center" indent="2"/>
    </xf>
    <xf numFmtId="0" fontId="6" fillId="3" borderId="1" xfId="0" applyFont="1" applyFill="1" applyBorder="1"/>
    <xf numFmtId="0" fontId="16" fillId="4" borderId="2"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5" fillId="7" borderId="5" xfId="0" applyFont="1" applyFill="1" applyBorder="1" applyAlignment="1">
      <alignment horizontal="center" vertical="center"/>
    </xf>
    <xf numFmtId="0" fontId="6" fillId="7" borderId="6" xfId="0" applyFont="1" applyFill="1" applyBorder="1" applyAlignment="1">
      <alignment horizontal="right" vertical="center" indent="1"/>
    </xf>
    <xf numFmtId="0" fontId="6" fillId="7" borderId="6" xfId="0" applyFont="1" applyFill="1" applyBorder="1" applyAlignment="1">
      <alignment horizontal="center" vertical="center"/>
    </xf>
    <xf numFmtId="0" fontId="0" fillId="7" borderId="6" xfId="0" applyFill="1" applyBorder="1" applyAlignment="1">
      <alignment horizontal="center" vertical="center"/>
    </xf>
    <xf numFmtId="167" fontId="6" fillId="7" borderId="6" xfId="0" applyNumberFormat="1" applyFont="1" applyFill="1" applyBorder="1" applyAlignment="1">
      <alignment horizontal="center" vertical="center"/>
    </xf>
    <xf numFmtId="0" fontId="7" fillId="2" borderId="6" xfId="0" applyFont="1" applyFill="1" applyBorder="1" applyAlignment="1">
      <alignment horizontal="center" vertical="center"/>
    </xf>
    <xf numFmtId="9" fontId="6" fillId="7" borderId="7" xfId="1" applyFont="1" applyFill="1" applyBorder="1" applyAlignment="1">
      <alignment horizontal="center" vertical="center"/>
    </xf>
    <xf numFmtId="0" fontId="6" fillId="7" borderId="6" xfId="0" applyFont="1" applyFill="1" applyBorder="1" applyAlignment="1">
      <alignment horizontal="center" vertical="center" wrapText="1"/>
    </xf>
    <xf numFmtId="0" fontId="4" fillId="0" borderId="9" xfId="0" applyFont="1" applyBorder="1" applyAlignment="1">
      <alignment horizontal="center" vertical="center"/>
    </xf>
    <xf numFmtId="0" fontId="15" fillId="7" borderId="0" xfId="0" applyFont="1" applyFill="1" applyAlignment="1">
      <alignment horizontal="left" vertical="center" indent="2"/>
    </xf>
    <xf numFmtId="0" fontId="6" fillId="0" borderId="0" xfId="0" applyFont="1" applyAlignment="1">
      <alignment horizontal="center" vertical="center"/>
    </xf>
    <xf numFmtId="0" fontId="17" fillId="0" borderId="0" xfId="2" applyFont="1"/>
    <xf numFmtId="0" fontId="20" fillId="0" borderId="0" xfId="0" applyFont="1" applyFill="1" applyAlignment="1">
      <alignment horizontal="left" indent="1"/>
    </xf>
    <xf numFmtId="0" fontId="20" fillId="0" borderId="11" xfId="0" applyFont="1" applyFill="1" applyBorder="1" applyAlignment="1">
      <alignment horizontal="left" indent="1"/>
    </xf>
    <xf numFmtId="0" fontId="18" fillId="10" borderId="12" xfId="0" applyFont="1" applyFill="1" applyBorder="1" applyAlignment="1">
      <alignment horizontal="center"/>
    </xf>
    <xf numFmtId="0" fontId="6" fillId="0" borderId="10" xfId="0" applyFont="1" applyBorder="1"/>
    <xf numFmtId="0" fontId="20" fillId="0" borderId="13" xfId="0" applyFont="1" applyFill="1" applyBorder="1" applyAlignment="1">
      <alignment horizontal="left" indent="1"/>
    </xf>
    <xf numFmtId="0" fontId="21" fillId="0" borderId="0" xfId="0" applyFont="1"/>
    <xf numFmtId="0" fontId="3" fillId="0" borderId="0" xfId="0" applyFont="1" applyAlignment="1">
      <alignment horizontal="right" indent="1"/>
    </xf>
    <xf numFmtId="0" fontId="4" fillId="0" borderId="17" xfId="0" applyFont="1" applyBorder="1" applyAlignment="1">
      <alignment horizontal="center" vertical="center"/>
    </xf>
    <xf numFmtId="0" fontId="4" fillId="0" borderId="19" xfId="0" applyFont="1" applyBorder="1" applyAlignment="1">
      <alignment horizontal="center" vertical="center"/>
    </xf>
    <xf numFmtId="0" fontId="22" fillId="0" borderId="0" xfId="0" applyFont="1" applyAlignment="1">
      <alignment horizontal="right" vertical="center" indent="1"/>
    </xf>
    <xf numFmtId="0" fontId="23" fillId="2" borderId="0" xfId="0" applyFont="1" applyFill="1" applyAlignment="1">
      <alignment horizontal="left" vertical="center" indent="2"/>
    </xf>
    <xf numFmtId="9" fontId="0" fillId="0" borderId="0" xfId="0" applyNumberFormat="1" applyAlignment="1">
      <alignment horizontal="center"/>
    </xf>
    <xf numFmtId="0" fontId="22" fillId="0" borderId="0" xfId="0" applyFont="1" applyAlignment="1">
      <alignment horizontal="center" vertical="center"/>
    </xf>
    <xf numFmtId="14" fontId="6" fillId="0" borderId="0" xfId="0" applyNumberFormat="1" applyFont="1" applyAlignment="1">
      <alignment horizontal="left" vertical="center" indent="1"/>
    </xf>
    <xf numFmtId="0" fontId="0" fillId="2" borderId="0" xfId="0" applyFill="1"/>
    <xf numFmtId="9" fontId="0" fillId="0" borderId="0" xfId="0" applyNumberFormat="1"/>
    <xf numFmtId="169" fontId="0" fillId="0" borderId="0" xfId="0" applyNumberFormat="1"/>
    <xf numFmtId="170" fontId="0" fillId="0" borderId="0" xfId="0" applyNumberFormat="1"/>
    <xf numFmtId="1" fontId="0" fillId="0" borderId="0" xfId="0" applyNumberFormat="1"/>
    <xf numFmtId="0" fontId="0" fillId="0" borderId="0" xfId="0" applyAlignment="1">
      <alignment horizontal="center" vertical="center"/>
    </xf>
    <xf numFmtId="0" fontId="5" fillId="0" borderId="0" xfId="0" applyFont="1" applyAlignment="1">
      <alignment horizontal="center" vertical="center"/>
    </xf>
    <xf numFmtId="0" fontId="7" fillId="2" borderId="7" xfId="0" applyFont="1" applyFill="1" applyBorder="1" applyAlignment="1">
      <alignment horizontal="center" vertical="center"/>
    </xf>
    <xf numFmtId="0" fontId="6" fillId="0" borderId="0" xfId="0" applyFont="1" applyBorder="1"/>
    <xf numFmtId="0" fontId="20" fillId="0" borderId="0" xfId="0" applyFont="1" applyFill="1" applyBorder="1" applyAlignment="1">
      <alignment horizontal="left" indent="1"/>
    </xf>
    <xf numFmtId="0" fontId="19" fillId="11" borderId="20" xfId="0" applyFont="1" applyFill="1" applyBorder="1" applyAlignment="1">
      <alignment horizontal="center"/>
    </xf>
    <xf numFmtId="0" fontId="19" fillId="9" borderId="21" xfId="0" applyFont="1" applyFill="1" applyBorder="1" applyAlignment="1">
      <alignment horizontal="center"/>
    </xf>
    <xf numFmtId="9" fontId="0" fillId="0" borderId="0" xfId="1" applyFont="1"/>
    <xf numFmtId="0" fontId="24" fillId="2" borderId="0" xfId="0" applyFont="1" applyFill="1" applyAlignment="1">
      <alignment horizontal="left" vertical="center" indent="2"/>
    </xf>
    <xf numFmtId="14" fontId="24" fillId="2" borderId="0" xfId="0" applyNumberFormat="1" applyFont="1" applyFill="1" applyAlignment="1">
      <alignment horizontal="left" vertical="center" indent="2"/>
    </xf>
    <xf numFmtId="0" fontId="24" fillId="2" borderId="0" xfId="0" applyFont="1" applyFill="1" applyAlignment="1">
      <alignment horizontal="right" vertical="center" indent="2"/>
    </xf>
    <xf numFmtId="0" fontId="24" fillId="2" borderId="0" xfId="0" applyFont="1" applyFill="1" applyAlignment="1">
      <alignment horizontal="right" vertical="center"/>
    </xf>
    <xf numFmtId="14" fontId="24" fillId="2" borderId="0" xfId="0" applyNumberFormat="1" applyFont="1" applyFill="1" applyAlignment="1">
      <alignment vertical="center"/>
    </xf>
    <xf numFmtId="14" fontId="24" fillId="2" borderId="0" xfId="0" applyNumberFormat="1" applyFont="1" applyFill="1" applyAlignment="1">
      <alignment horizontal="left" vertical="center"/>
    </xf>
    <xf numFmtId="9" fontId="6" fillId="6" borderId="0" xfId="0" applyNumberFormat="1" applyFont="1" applyFill="1" applyAlignment="1">
      <alignment horizontal="center" vertical="center"/>
    </xf>
    <xf numFmtId="0" fontId="6" fillId="6" borderId="0" xfId="0" applyFont="1" applyFill="1" applyAlignment="1">
      <alignment horizontal="center" vertical="center" wrapText="1"/>
    </xf>
    <xf numFmtId="0" fontId="19" fillId="8" borderId="22" xfId="0" applyFont="1" applyFill="1" applyBorder="1" applyAlignment="1">
      <alignment horizontal="center"/>
    </xf>
    <xf numFmtId="0" fontId="19" fillId="12" borderId="23" xfId="0" applyFont="1" applyFill="1" applyBorder="1" applyAlignment="1">
      <alignment horizontal="center"/>
    </xf>
    <xf numFmtId="0" fontId="6" fillId="13" borderId="6" xfId="0" applyFont="1" applyFill="1" applyBorder="1" applyAlignment="1">
      <alignment horizontal="center" vertical="center"/>
    </xf>
    <xf numFmtId="0" fontId="26" fillId="14" borderId="0" xfId="0" applyFont="1" applyFill="1"/>
    <xf numFmtId="0" fontId="26" fillId="15" borderId="0" xfId="0" applyFont="1" applyFill="1"/>
    <xf numFmtId="0" fontId="23" fillId="2" borderId="0" xfId="0" applyFont="1" applyFill="1" applyAlignment="1">
      <alignment horizontal="left" vertical="center" wrapText="1"/>
    </xf>
    <xf numFmtId="0" fontId="6" fillId="7" borderId="6" xfId="0" applyFont="1" applyFill="1" applyBorder="1" applyAlignment="1">
      <alignment horizontal="right" vertical="center" wrapText="1" indent="1"/>
    </xf>
    <xf numFmtId="0" fontId="0" fillId="2" borderId="0" xfId="0" applyFill="1" applyAlignment="1">
      <alignment horizontal="center" vertical="center" wrapText="1"/>
    </xf>
    <xf numFmtId="0" fontId="0" fillId="0" borderId="0" xfId="0" applyAlignment="1">
      <alignment horizontal="center" vertical="center" wrapText="1"/>
    </xf>
    <xf numFmtId="0" fontId="15" fillId="7" borderId="0" xfId="0" applyFont="1" applyFill="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8" fillId="5" borderId="0" xfId="0" applyFont="1" applyFill="1" applyAlignment="1">
      <alignment horizontal="center" vertical="center" wrapText="1"/>
    </xf>
    <xf numFmtId="9" fontId="6" fillId="13" borderId="6" xfId="0" applyNumberFormat="1" applyFont="1" applyFill="1" applyBorder="1" applyAlignment="1">
      <alignment horizontal="center" vertical="center"/>
    </xf>
    <xf numFmtId="0" fontId="6" fillId="6" borderId="0" xfId="0" quotePrefix="1" applyFont="1" applyFill="1" applyAlignment="1">
      <alignment horizontal="center" vertical="center"/>
    </xf>
    <xf numFmtId="9" fontId="6" fillId="6" borderId="0" xfId="0" quotePrefix="1" applyNumberFormat="1" applyFont="1" applyFill="1" applyAlignment="1">
      <alignment horizontal="center" vertical="center"/>
    </xf>
    <xf numFmtId="0" fontId="3" fillId="0" borderId="0" xfId="0" applyFont="1" applyAlignment="1">
      <alignment horizontal="right" vertical="top" indent="1"/>
    </xf>
    <xf numFmtId="167" fontId="20" fillId="7" borderId="6" xfId="0" applyNumberFormat="1" applyFont="1" applyFill="1" applyBorder="1" applyAlignment="1">
      <alignment horizontal="center" vertical="center"/>
    </xf>
    <xf numFmtId="0" fontId="4" fillId="0" borderId="26" xfId="0" applyFont="1" applyBorder="1" applyAlignment="1">
      <alignment horizontal="center" vertical="center"/>
    </xf>
    <xf numFmtId="0" fontId="3" fillId="0" borderId="26" xfId="0" applyFont="1" applyBorder="1" applyAlignment="1">
      <alignment horizontal="center" vertical="center"/>
    </xf>
    <xf numFmtId="0" fontId="6" fillId="7" borderId="5" xfId="0" applyFont="1" applyFill="1" applyBorder="1" applyAlignment="1">
      <alignment horizontal="center" vertical="center"/>
    </xf>
    <xf numFmtId="14" fontId="24" fillId="2" borderId="0" xfId="0" applyNumberFormat="1" applyFont="1" applyFill="1" applyAlignment="1">
      <alignment horizontal="left" vertical="center" wrapText="1"/>
    </xf>
    <xf numFmtId="0" fontId="6" fillId="2" borderId="0" xfId="0" applyFont="1" applyFill="1" applyAlignment="1">
      <alignment horizontal="center" vertical="center" wrapText="1"/>
    </xf>
    <xf numFmtId="0" fontId="6" fillId="7" borderId="5" xfId="0" applyFont="1" applyFill="1" applyBorder="1" applyAlignment="1">
      <alignment horizontal="center" vertical="center" wrapText="1"/>
    </xf>
    <xf numFmtId="0" fontId="6" fillId="7" borderId="6" xfId="0" quotePrefix="1" applyFont="1" applyFill="1" applyBorder="1" applyAlignment="1">
      <alignment horizontal="center" vertical="center"/>
    </xf>
    <xf numFmtId="0" fontId="27" fillId="2" borderId="0" xfId="0" applyFont="1" applyFill="1" applyAlignment="1">
      <alignment horizontal="center" vertical="top" wrapText="1"/>
    </xf>
    <xf numFmtId="0" fontId="0" fillId="0" borderId="28" xfId="0" applyBorder="1" applyAlignment="1">
      <alignment horizontal="center" vertical="center" wrapText="1"/>
    </xf>
    <xf numFmtId="0" fontId="0" fillId="7" borderId="0" xfId="0" applyFill="1"/>
    <xf numFmtId="0" fontId="16" fillId="7" borderId="2" xfId="0" applyFont="1" applyFill="1" applyBorder="1" applyAlignment="1">
      <alignment horizontal="center" vertical="center" wrapText="1"/>
    </xf>
    <xf numFmtId="0" fontId="16" fillId="7" borderId="3" xfId="0" applyFont="1" applyFill="1" applyBorder="1" applyAlignment="1">
      <alignment horizontal="center" vertical="center" wrapText="1"/>
    </xf>
    <xf numFmtId="0" fontId="16" fillId="7" borderId="4" xfId="0" applyFont="1" applyFill="1" applyBorder="1" applyAlignment="1">
      <alignment horizontal="center" vertical="center" wrapText="1"/>
    </xf>
    <xf numFmtId="0" fontId="1" fillId="7" borderId="25" xfId="0" applyFont="1" applyFill="1" applyBorder="1" applyAlignment="1">
      <alignment horizontal="center" vertical="center" wrapText="1"/>
    </xf>
    <xf numFmtId="0" fontId="0" fillId="7" borderId="0" xfId="0" applyFill="1" applyBorder="1"/>
    <xf numFmtId="0" fontId="7" fillId="7" borderId="6" xfId="0" applyFont="1" applyFill="1" applyBorder="1" applyAlignment="1">
      <alignment horizontal="center" vertical="center"/>
    </xf>
    <xf numFmtId="0" fontId="4" fillId="7" borderId="0" xfId="0" applyFont="1" applyFill="1" applyBorder="1" applyAlignment="1">
      <alignment horizontal="center" vertical="center"/>
    </xf>
    <xf numFmtId="0" fontId="3" fillId="7" borderId="0" xfId="0" applyFont="1" applyFill="1" applyBorder="1" applyAlignment="1">
      <alignment horizontal="center" vertical="center"/>
    </xf>
    <xf numFmtId="0" fontId="4" fillId="7" borderId="24" xfId="0" applyFont="1" applyFill="1" applyBorder="1" applyAlignment="1">
      <alignment horizontal="center" vertical="center"/>
    </xf>
    <xf numFmtId="0" fontId="6" fillId="7" borderId="0" xfId="0" applyFont="1" applyFill="1"/>
    <xf numFmtId="0" fontId="6" fillId="7" borderId="0" xfId="0" applyFont="1" applyFill="1" applyAlignment="1">
      <alignment wrapText="1"/>
    </xf>
    <xf numFmtId="0" fontId="16" fillId="7" borderId="0" xfId="0" applyFont="1" applyFill="1" applyBorder="1" applyAlignment="1">
      <alignment horizontal="right" vertical="center" indent="1"/>
    </xf>
    <xf numFmtId="14" fontId="20" fillId="7" borderId="0" xfId="0" applyNumberFormat="1" applyFont="1" applyFill="1" applyBorder="1" applyAlignment="1">
      <alignment horizontal="center" vertical="center" wrapText="1"/>
    </xf>
    <xf numFmtId="0" fontId="5" fillId="7" borderId="0" xfId="0" applyFont="1" applyFill="1" applyAlignment="1">
      <alignment horizontal="right" vertical="center" indent="1"/>
    </xf>
    <xf numFmtId="0" fontId="22" fillId="7" borderId="0" xfId="0" applyFont="1" applyFill="1" applyAlignment="1">
      <alignment horizontal="right" indent="1"/>
    </xf>
    <xf numFmtId="14" fontId="6" fillId="7" borderId="0" xfId="0" applyNumberFormat="1" applyFont="1" applyFill="1" applyAlignment="1">
      <alignment horizontal="center" vertical="center"/>
    </xf>
    <xf numFmtId="0" fontId="22" fillId="7" borderId="0" xfId="0" applyFont="1" applyFill="1" applyAlignment="1">
      <alignment horizontal="right" vertical="center" indent="1"/>
    </xf>
    <xf numFmtId="14" fontId="6" fillId="7" borderId="0" xfId="0" applyNumberFormat="1" applyFont="1" applyFill="1" applyAlignment="1">
      <alignment horizontal="left" vertical="center" indent="1"/>
    </xf>
    <xf numFmtId="0" fontId="6" fillId="7" borderId="0" xfId="0" applyFont="1" applyFill="1" applyAlignment="1">
      <alignment horizontal="center" vertical="center"/>
    </xf>
    <xf numFmtId="0" fontId="9" fillId="7" borderId="0" xfId="0" applyFont="1" applyFill="1" applyAlignment="1">
      <alignment horizontal="right" vertical="top"/>
    </xf>
    <xf numFmtId="164" fontId="6" fillId="7" borderId="8" xfId="0" applyNumberFormat="1" applyFont="1" applyFill="1" applyBorder="1" applyAlignment="1">
      <alignment horizontal="center" textRotation="90"/>
    </xf>
    <xf numFmtId="164" fontId="6" fillId="7" borderId="14" xfId="0" applyNumberFormat="1" applyFont="1" applyFill="1" applyBorder="1" applyAlignment="1">
      <alignment horizontal="center" textRotation="90"/>
    </xf>
    <xf numFmtId="164" fontId="6" fillId="7" borderId="18" xfId="0" applyNumberFormat="1" applyFont="1" applyFill="1" applyBorder="1" applyAlignment="1">
      <alignment horizontal="center" textRotation="90"/>
    </xf>
    <xf numFmtId="0" fontId="0" fillId="7" borderId="0" xfId="0" applyFill="1" applyAlignment="1">
      <alignment wrapText="1"/>
    </xf>
    <xf numFmtId="0" fontId="28" fillId="0" borderId="0" xfId="0" applyFont="1"/>
    <xf numFmtId="0" fontId="29" fillId="0" borderId="0" xfId="0" applyFont="1"/>
    <xf numFmtId="0" fontId="30" fillId="0" borderId="0" xfId="0" applyFont="1"/>
    <xf numFmtId="0" fontId="31" fillId="0" borderId="0" xfId="0" applyFont="1"/>
    <xf numFmtId="168" fontId="20" fillId="7" borderId="6" xfId="0" applyNumberFormat="1" applyFont="1" applyFill="1" applyBorder="1" applyAlignment="1">
      <alignment horizontal="center" vertical="center"/>
    </xf>
    <xf numFmtId="9" fontId="0" fillId="0" borderId="28" xfId="1" applyFont="1" applyBorder="1" applyAlignment="1">
      <alignment horizontal="center" vertical="center" wrapText="1"/>
    </xf>
    <xf numFmtId="0" fontId="0" fillId="7" borderId="28" xfId="0" applyFill="1" applyBorder="1" applyAlignment="1">
      <alignment horizontal="center" vertical="center" wrapText="1"/>
    </xf>
    <xf numFmtId="0" fontId="0" fillId="0" borderId="28" xfId="0" quotePrefix="1" applyBorder="1" applyAlignment="1">
      <alignment horizontal="center" vertical="center" wrapText="1"/>
    </xf>
    <xf numFmtId="0" fontId="15" fillId="2" borderId="0" xfId="0" applyFont="1" applyFill="1" applyAlignment="1">
      <alignment horizontal="left" vertical="center" indent="1"/>
    </xf>
    <xf numFmtId="0" fontId="6" fillId="0" borderId="0" xfId="0" applyFont="1" applyAlignment="1">
      <alignment horizontal="left" vertical="top" wrapText="1"/>
    </xf>
    <xf numFmtId="14" fontId="24" fillId="2" borderId="0" xfId="0" applyNumberFormat="1" applyFont="1" applyFill="1" applyAlignment="1">
      <alignment horizontal="center" vertical="center"/>
    </xf>
    <xf numFmtId="0" fontId="0" fillId="0" borderId="0" xfId="0" applyAlignment="1">
      <alignment horizontal="center"/>
    </xf>
    <xf numFmtId="0" fontId="12" fillId="3" borderId="1" xfId="0" applyFont="1" applyFill="1" applyBorder="1" applyAlignment="1">
      <alignment horizontal="center" vertical="center"/>
    </xf>
    <xf numFmtId="0" fontId="27" fillId="2" borderId="0" xfId="0" applyFont="1" applyFill="1" applyAlignment="1">
      <alignment horizontal="center" vertical="center" wrapText="1"/>
    </xf>
    <xf numFmtId="0" fontId="27" fillId="2" borderId="27" xfId="0" applyFont="1" applyFill="1" applyBorder="1" applyAlignment="1">
      <alignment horizontal="center" vertical="center" wrapText="1"/>
    </xf>
    <xf numFmtId="166" fontId="5" fillId="7" borderId="8" xfId="0" applyNumberFormat="1" applyFont="1" applyFill="1" applyBorder="1" applyAlignment="1">
      <alignment horizontal="center"/>
    </xf>
    <xf numFmtId="166" fontId="5" fillId="4" borderId="14" xfId="0" applyNumberFormat="1" applyFont="1" applyFill="1" applyBorder="1" applyAlignment="1">
      <alignment horizontal="center"/>
    </xf>
    <xf numFmtId="166" fontId="5" fillId="4" borderId="15" xfId="0" applyNumberFormat="1" applyFont="1" applyFill="1" applyBorder="1" applyAlignment="1">
      <alignment horizontal="center"/>
    </xf>
    <xf numFmtId="165" fontId="5" fillId="3" borderId="14" xfId="0" applyNumberFormat="1" applyFont="1" applyFill="1" applyBorder="1" applyAlignment="1">
      <alignment horizontal="center"/>
    </xf>
    <xf numFmtId="165" fontId="5" fillId="3" borderId="15" xfId="0" applyNumberFormat="1" applyFont="1" applyFill="1" applyBorder="1" applyAlignment="1">
      <alignment horizontal="center"/>
    </xf>
    <xf numFmtId="165" fontId="5" fillId="3" borderId="16" xfId="0" applyNumberFormat="1" applyFont="1" applyFill="1" applyBorder="1" applyAlignment="1">
      <alignment horizontal="center"/>
    </xf>
    <xf numFmtId="165" fontId="5" fillId="3" borderId="8" xfId="0" applyNumberFormat="1" applyFont="1" applyFill="1" applyBorder="1" applyAlignment="1">
      <alignment horizontal="center"/>
    </xf>
    <xf numFmtId="165" fontId="5" fillId="7" borderId="8" xfId="0" applyNumberFormat="1" applyFont="1" applyFill="1" applyBorder="1" applyAlignment="1">
      <alignment horizontal="center"/>
    </xf>
    <xf numFmtId="165" fontId="5" fillId="7" borderId="14" xfId="0" applyNumberFormat="1" applyFont="1" applyFill="1" applyBorder="1" applyAlignment="1">
      <alignment horizontal="center"/>
    </xf>
    <xf numFmtId="165" fontId="5" fillId="7" borderId="15" xfId="0" applyNumberFormat="1" applyFont="1" applyFill="1" applyBorder="1" applyAlignment="1">
      <alignment horizontal="center"/>
    </xf>
    <xf numFmtId="165" fontId="5" fillId="7" borderId="16" xfId="0" applyNumberFormat="1" applyFont="1" applyFill="1" applyBorder="1" applyAlignment="1">
      <alignment horizontal="center"/>
    </xf>
    <xf numFmtId="0" fontId="15" fillId="2" borderId="0" xfId="0" applyFont="1" applyFill="1" applyAlignment="1">
      <alignment horizontal="left" vertical="center"/>
    </xf>
    <xf numFmtId="168" fontId="20" fillId="13" borderId="6" xfId="0" applyNumberFormat="1" applyFont="1" applyFill="1" applyBorder="1" applyAlignment="1">
      <alignment horizontal="center" vertical="center"/>
    </xf>
    <xf numFmtId="9" fontId="20" fillId="7" borderId="29" xfId="1" applyFont="1" applyFill="1" applyBorder="1" applyAlignment="1">
      <alignment horizontal="center" vertical="center"/>
    </xf>
    <xf numFmtId="0" fontId="6" fillId="7" borderId="30" xfId="0" applyFont="1" applyFill="1" applyBorder="1" applyAlignment="1">
      <alignment horizontal="center" vertical="center"/>
    </xf>
    <xf numFmtId="0" fontId="6" fillId="7" borderId="31" xfId="0" applyFont="1" applyFill="1" applyBorder="1" applyAlignment="1">
      <alignment horizontal="center" vertical="center" wrapText="1"/>
    </xf>
    <xf numFmtId="0" fontId="6" fillId="7" borderId="6" xfId="0" quotePrefix="1" applyFont="1" applyFill="1" applyBorder="1" applyAlignment="1">
      <alignment horizontal="right" vertical="center" wrapText="1" indent="1"/>
    </xf>
    <xf numFmtId="0" fontId="15" fillId="7" borderId="0" xfId="0" applyFont="1" applyFill="1" applyAlignment="1">
      <alignment horizontal="left" vertical="center" wrapText="1"/>
    </xf>
  </cellXfs>
  <cellStyles count="3">
    <cellStyle name="Link" xfId="2" builtinId="8"/>
    <cellStyle name="Prozent" xfId="1" builtinId="5"/>
    <cellStyle name="Standard" xfId="0" builtinId="0"/>
  </cellStyles>
  <dxfs count="93">
    <dxf>
      <fill>
        <patternFill>
          <bgColor rgb="FFFFFF99"/>
        </patternFill>
      </fill>
    </dxf>
    <dxf>
      <fill>
        <patternFill>
          <bgColor theme="6" tint="0.79998168889431442"/>
        </patternFill>
      </fill>
    </dxf>
    <dxf>
      <border>
        <left style="thin">
          <color rgb="FFAF2144"/>
        </left>
        <vertical/>
        <horizontal/>
      </border>
    </dxf>
    <dxf>
      <fill>
        <patternFill>
          <bgColor rgb="FFFFCCCC"/>
        </patternFill>
      </fill>
    </dxf>
    <dxf>
      <fill>
        <patternFill>
          <bgColor rgb="FFFF9999"/>
        </patternFill>
      </fill>
    </dxf>
    <dxf>
      <fill>
        <patternFill>
          <bgColor theme="6" tint="0.79998168889431442"/>
        </patternFill>
      </fill>
    </dxf>
    <dxf>
      <fill>
        <patternFill>
          <bgColor rgb="FFFFFF99"/>
        </patternFill>
      </fill>
    </dxf>
    <dxf>
      <border>
        <left style="thin">
          <color rgb="FFAF2144"/>
        </left>
        <vertical/>
        <horizontal/>
      </border>
    </dxf>
    <dxf>
      <fill>
        <patternFill>
          <bgColor rgb="FFFFCCCC"/>
        </patternFill>
      </fill>
    </dxf>
    <dxf>
      <fill>
        <patternFill>
          <bgColor rgb="FFFF9999"/>
        </patternFill>
      </fill>
    </dxf>
    <dxf>
      <fill>
        <patternFill>
          <bgColor theme="6" tint="0.79998168889431442"/>
        </patternFill>
      </fill>
    </dxf>
    <dxf>
      <fill>
        <patternFill>
          <bgColor rgb="FFFFFF99"/>
        </patternFill>
      </fill>
    </dxf>
    <dxf>
      <fill>
        <patternFill>
          <bgColor rgb="FFFFFF99"/>
        </patternFill>
      </fill>
    </dxf>
    <dxf>
      <fill>
        <patternFill>
          <bgColor theme="6" tint="0.79998168889431442"/>
        </patternFill>
      </fill>
    </dxf>
    <dxf>
      <fill>
        <patternFill>
          <bgColor rgb="FFFF5050"/>
        </patternFill>
      </fill>
    </dxf>
    <dxf>
      <fill>
        <patternFill>
          <bgColor theme="9" tint="0.79998168889431442"/>
        </patternFill>
      </fill>
    </dxf>
    <dxf>
      <fill>
        <patternFill>
          <bgColor rgb="FFFFFF99"/>
        </patternFill>
      </fill>
    </dxf>
    <dxf>
      <fill>
        <patternFill>
          <bgColor theme="6" tint="0.79998168889431442"/>
        </patternFill>
      </fill>
    </dxf>
    <dxf>
      <fill>
        <patternFill>
          <bgColor rgb="FFFFFF99"/>
        </patternFill>
      </fill>
    </dxf>
    <dxf>
      <fill>
        <patternFill>
          <bgColor rgb="FFFF9999"/>
        </patternFill>
      </fill>
    </dxf>
    <dxf>
      <fill>
        <patternFill>
          <bgColor rgb="FFFFFF99"/>
        </patternFill>
      </fill>
    </dxf>
    <dxf>
      <fill>
        <patternFill>
          <bgColor theme="6" tint="0.79998168889431442"/>
        </patternFill>
      </fill>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right style="dotted">
          <color theme="2" tint="-9.9948118533890809E-2"/>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numFmt numFmtId="13" formatCode="0%"/>
      <fill>
        <patternFill patternType="solid">
          <fgColor indexed="64"/>
          <bgColor rgb="FFCAECDF"/>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0"/>
        <name val="Arial"/>
        <family val="2"/>
        <scheme val="none"/>
      </font>
      <numFmt numFmtId="168" formatCode="&quot;€&quot;\ #,##0"/>
      <fill>
        <patternFill patternType="solid">
          <fgColor indexed="64"/>
          <bgColor rgb="FFCAECDF"/>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0"/>
        <name val="Arial"/>
        <family val="2"/>
        <scheme val="none"/>
      </font>
      <numFmt numFmtId="168" formatCode="&quot;€&quot;\ #,##0"/>
      <fill>
        <patternFill patternType="solid">
          <fgColor indexed="64"/>
          <bgColor rgb="FFFFFF0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numFmt numFmtId="167" formatCode="d/\ mmm\ yy"/>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0"/>
        <name val="Arial"/>
        <family val="2"/>
        <scheme val="none"/>
      </font>
      <fill>
        <patternFill patternType="solid">
          <fgColor indexed="64"/>
          <bgColor rgb="FFAF2144"/>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numFmt numFmtId="167" formatCode="d/\ mmm\ yy"/>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9"/>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right" vertical="center" textRotation="0" wrapText="1" indent="1"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right" vertical="center" textRotation="0" wrapText="1" indent="1"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right" vertical="center" textRotation="0" wrapText="1" relativeIndent="1"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dotted">
          <color theme="2" tint="-9.9948118533890809E-2"/>
        </top>
        <bottom style="dotted">
          <color theme="2" tint="-9.9948118533890809E-2"/>
        </bottom>
      </border>
    </dxf>
    <dxf>
      <font>
        <b/>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dotted">
          <color theme="2" tint="-9.9948118533890809E-2"/>
        </left>
        <right/>
        <top style="dotted">
          <color theme="2" tint="-9.9948118533890809E-2"/>
        </top>
        <bottom style="dotted">
          <color theme="2" tint="-9.9948118533890809E-2"/>
        </bottom>
        <vertical style="dotted">
          <color theme="2" tint="-9.9948118533890809E-2"/>
        </vertical>
        <horizontal style="dotted">
          <color theme="2" tint="-9.9948118533890809E-2"/>
        </horizontal>
      </border>
    </dxf>
    <dxf>
      <font>
        <b val="0"/>
        <i val="0"/>
        <strike val="0"/>
        <condense val="0"/>
        <extend val="0"/>
        <outline val="0"/>
        <shadow val="0"/>
        <u val="none"/>
        <vertAlign val="baseline"/>
        <sz val="11"/>
        <color theme="0"/>
        <name val="Arial"/>
        <family val="2"/>
        <scheme val="none"/>
      </font>
      <numFmt numFmtId="0" formatCode="General"/>
      <fill>
        <patternFill patternType="solid">
          <fgColor indexed="64"/>
          <bgColor rgb="FFAF2144"/>
        </patternFill>
      </fill>
      <alignment horizontal="center" vertical="center" textRotation="0" wrapText="0" indent="0" justifyLastLine="0" shrinkToFit="0" readingOrder="0"/>
      <border diagonalUp="0" diagonalDown="0">
        <left style="dotted">
          <color theme="2" tint="-9.9948118533890809E-2"/>
        </left>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0"/>
        <name val="Arial"/>
        <family val="2"/>
        <scheme val="none"/>
      </font>
      <numFmt numFmtId="0" formatCode="General"/>
      <fill>
        <patternFill patternType="solid">
          <fgColor indexed="64"/>
          <bgColor rgb="FFAF2144"/>
        </patternFill>
      </fill>
      <alignment horizontal="center" vertical="center"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0"/>
        <name val="Arial"/>
        <family val="2"/>
        <scheme val="none"/>
      </font>
      <numFmt numFmtId="0" formatCode="General"/>
      <fill>
        <patternFill patternType="solid">
          <fgColor indexed="64"/>
          <bgColor rgb="FFAF2144"/>
        </patternFill>
      </fill>
      <alignment horizontal="center" vertical="center"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0"/>
        <name val="Arial"/>
        <family val="2"/>
        <scheme val="none"/>
      </font>
      <numFmt numFmtId="0" formatCode="General"/>
      <fill>
        <patternFill patternType="solid">
          <fgColor indexed="64"/>
          <bgColor rgb="FFAF2144"/>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0"/>
        <name val="Arial"/>
        <family val="2"/>
        <scheme val="none"/>
      </font>
      <numFmt numFmtId="0" formatCode="General"/>
      <fill>
        <patternFill patternType="solid">
          <fgColor indexed="64"/>
          <bgColor theme="0"/>
        </patternFill>
      </fill>
      <alignment horizontal="right" vertical="center" textRotation="0" wrapText="0" indent="1"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right" vertical="center" textRotation="0" wrapText="0" indent="1"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style="dotted">
          <color theme="2" tint="-9.9948118533890809E-2"/>
        </vertical>
        <horizontal style="dotted">
          <color theme="2" tint="-9.9948118533890809E-2"/>
        </horizontal>
      </border>
    </dxf>
    <dxf>
      <font>
        <b/>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right style="dotted">
          <color theme="2" tint="-9.9948118533890809E-2"/>
        </right>
        <top style="dotted">
          <color theme="2" tint="-9.9948118533890809E-2"/>
        </top>
        <bottom style="dotted">
          <color theme="2" tint="-9.9948118533890809E-2"/>
        </bottom>
        <vertical style="dotted">
          <color theme="2" tint="-9.9948118533890809E-2"/>
        </vertical>
        <horizontal style="dotted">
          <color theme="2" tint="-9.9948118533890809E-2"/>
        </horizontal>
      </border>
    </dxf>
    <dxf>
      <border>
        <top style="dotted">
          <color rgb="FFD0D0D0"/>
        </top>
      </border>
    </dxf>
    <dxf>
      <border diagonalUp="0" diagonalDown="0">
        <left style="thin">
          <color rgb="FF808080"/>
        </left>
        <right style="thin">
          <color rgb="FF808080"/>
        </right>
        <top style="thin">
          <color rgb="FF808080"/>
        </top>
        <bottom style="thin">
          <color rgb="FF808080"/>
        </bottom>
      </border>
    </dxf>
    <dxf>
      <border>
        <bottom style="dotted">
          <color rgb="FFD0D0D0"/>
        </bottom>
      </border>
    </dxf>
    <dxf>
      <font>
        <b/>
        <i val="0"/>
        <strike val="0"/>
        <condense val="0"/>
        <extend val="0"/>
        <outline val="0"/>
        <shadow val="0"/>
        <u val="none"/>
        <vertAlign val="baseline"/>
        <sz val="11"/>
        <color auto="1"/>
        <name val="Arial"/>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dotted">
          <color theme="2" tint="-9.9948118533890809E-2"/>
        </left>
        <right style="dotted">
          <color theme="2" tint="-9.9948118533890809E-2"/>
        </right>
        <top/>
        <bottom/>
        <vertical style="dotted">
          <color theme="2" tint="-9.9948118533890809E-2"/>
        </vertical>
        <horizontal style="dotted">
          <color theme="2" tint="-9.9948118533890809E-2"/>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0"/>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numFmt numFmtId="167" formatCode="d/\ mmm\ yy"/>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numFmt numFmtId="167" formatCode="d/\ mmm\ yy"/>
      <fill>
        <patternFill patternType="solid">
          <fgColor indexed="64"/>
          <bgColor theme="0"/>
        </patternFill>
      </fill>
      <alignment horizontal="center" vertical="center" textRotation="0" wrapText="0" indent="0"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right" vertical="center" textRotation="0" wrapText="0" indent="1"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i val="0"/>
        <strike val="0"/>
        <condense val="0"/>
        <extend val="0"/>
        <outline val="0"/>
        <shadow val="0"/>
        <u val="none"/>
        <vertAlign val="baseline"/>
        <sz val="11"/>
        <color theme="1"/>
        <name val="Arial"/>
        <family val="2"/>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right style="dotted">
          <color theme="2" tint="-9.9948118533890809E-2"/>
        </right>
        <top style="dotted">
          <color theme="2" tint="-9.9948118533890809E-2"/>
        </top>
        <bottom style="dotted">
          <color theme="2" tint="-9.9948118533890809E-2"/>
        </bottom>
      </border>
    </dxf>
    <dxf>
      <font>
        <b/>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dotted">
          <color theme="2" tint="-9.9948118533890809E-2"/>
        </right>
        <top style="dotted">
          <color theme="2" tint="-9.9948118533890809E-2"/>
        </top>
        <bottom style="dotted">
          <color theme="2" tint="-9.9948118533890809E-2"/>
        </bottom>
      </border>
    </dxf>
    <dxf>
      <border>
        <top style="dotted">
          <color rgb="FFD0D0D0"/>
        </top>
      </border>
    </dxf>
    <dxf>
      <border diagonalUp="0" diagonalDown="0">
        <left style="thin">
          <color rgb="FF808080"/>
        </left>
        <right style="thin">
          <color rgb="FF808080"/>
        </right>
        <top style="thin">
          <color rgb="FF808080"/>
        </top>
        <bottom style="thin">
          <color rgb="FF808080"/>
        </bottom>
      </border>
    </dxf>
    <dxf>
      <fill>
        <patternFill>
          <fgColor indexed="64"/>
          <bgColor theme="0"/>
        </patternFill>
      </fill>
    </dxf>
    <dxf>
      <border>
        <bottom style="dotted">
          <color rgb="FFD0D0D0"/>
        </bottom>
      </border>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dotted">
          <color theme="2" tint="-9.9948118533890809E-2"/>
        </left>
        <right style="dotted">
          <color theme="2" tint="-9.9948118533890809E-2"/>
        </right>
        <top/>
        <bottom/>
      </border>
    </dxf>
    <dxf>
      <font>
        <b val="0"/>
        <i val="0"/>
        <strike val="0"/>
        <condense val="0"/>
        <extend val="0"/>
        <outline val="0"/>
        <shadow val="0"/>
        <u val="none"/>
        <vertAlign val="baseline"/>
        <sz val="11"/>
        <color theme="1"/>
        <name val="Arial"/>
        <family val="2"/>
        <scheme val="none"/>
      </font>
      <fill>
        <patternFill patternType="solid">
          <fgColor indexed="64"/>
          <bgColor theme="0" tint="-4.9989318521683403E-2"/>
        </patternFill>
      </fill>
      <alignment horizontal="right" vertical="center" textRotation="0" wrapText="1" indent="1"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dotted">
          <color theme="2" tint="-9.9948118533890809E-2"/>
        </left>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dotted">
          <color theme="2" tint="-9.9948118533890809E-2"/>
        </left>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dotted">
          <color theme="2" tint="-9.9948118533890809E-2"/>
        </left>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dotted">
          <color theme="2" tint="-9.9948118533890809E-2"/>
        </left>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dotted">
          <color theme="2" tint="-9.9948118533890809E-2"/>
        </left>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Arial"/>
        <family val="2"/>
        <scheme val="none"/>
      </font>
      <numFmt numFmtId="168" formatCode="&quot;€&quot;\ #,##0"/>
      <fill>
        <patternFill patternType="solid">
          <fgColor indexed="64"/>
          <bgColor theme="0"/>
        </patternFill>
      </fill>
      <alignment horizontal="right" vertical="center" textRotation="0" wrapText="0" indent="1" justifyLastLine="0" shrinkToFit="0" readingOrder="0"/>
      <border diagonalUp="0" diagonalDown="0" outline="0">
        <left style="dotted">
          <color theme="2" tint="-9.9948118533890809E-2"/>
        </left>
        <right style="dotted">
          <color theme="2" tint="-9.9948118533890809E-2"/>
        </right>
        <top style="dotted">
          <color theme="2" tint="-9.9948118533890809E-2"/>
        </top>
        <bottom style="dotted">
          <color theme="2" tint="-9.9948118533890809E-2"/>
        </bottom>
      </border>
    </dxf>
    <dxf>
      <font>
        <b val="0"/>
        <i val="0"/>
        <strike val="0"/>
        <condense val="0"/>
        <extend val="0"/>
        <outline val="0"/>
        <shadow val="0"/>
        <u val="none"/>
        <vertAlign val="baseline"/>
        <sz val="11"/>
        <color theme="0"/>
        <name val="Arial"/>
        <family val="2"/>
        <scheme val="none"/>
      </font>
      <numFmt numFmtId="168" formatCode="&quot;€&quot;\ #,##0"/>
      <fill>
        <patternFill patternType="solid">
          <fgColor indexed="64"/>
          <bgColor rgb="FFFFFF00"/>
        </patternFill>
      </fill>
      <alignment horizontal="center" vertical="center"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0"/>
        <name val="Arial"/>
        <family val="2"/>
        <scheme val="none"/>
      </font>
      <numFmt numFmtId="168" formatCode="&quot;€&quot;\ #,##0"/>
      <fill>
        <patternFill patternType="solid">
          <fgColor indexed="64"/>
          <bgColor rgb="FFFFFF00"/>
        </patternFill>
      </fill>
      <alignment horizontal="center" vertical="center"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border>
        <top style="dotted">
          <color theme="2" tint="-9.9948118533890809E-2"/>
        </top>
      </border>
    </dxf>
    <dxf>
      <border diagonalUp="0" diagonalDown="0">
        <left style="thin">
          <color theme="1" tint="0.499984740745262"/>
        </left>
        <right style="thin">
          <color theme="1" tint="0.499984740745262"/>
        </right>
        <top style="thin">
          <color theme="1" tint="0.499984740745262"/>
        </top>
        <bottom style="thin">
          <color theme="1" tint="0.499984740745262"/>
        </bottom>
      </border>
    </dxf>
    <dxf>
      <border>
        <bottom style="dotted">
          <color theme="2" tint="-9.9948118533890809E-2"/>
        </bottom>
      </border>
    </dxf>
    <dxf>
      <font>
        <b/>
        <i val="0"/>
        <strike val="0"/>
        <condense val="0"/>
        <extend val="0"/>
        <outline val="0"/>
        <shadow val="0"/>
        <u val="none"/>
        <vertAlign val="baseline"/>
        <sz val="11"/>
        <color auto="1"/>
        <name val="Arial"/>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dotted">
          <color theme="2" tint="-9.9948118533890809E-2"/>
        </left>
        <right style="dotted">
          <color theme="2" tint="-9.9948118533890809E-2"/>
        </right>
        <top/>
        <bottom/>
        <vertical style="dotted">
          <color theme="2" tint="-9.9948118533890809E-2"/>
        </vertical>
        <horizontal style="dotted">
          <color theme="2" tint="-9.9948118533890809E-2"/>
        </horizontal>
      </border>
    </dxf>
  </dxfs>
  <tableStyles count="0" defaultTableStyle="TableStyleMedium2" defaultPivotStyle="PivotStyleLight16"/>
  <colors>
    <mruColors>
      <color rgb="FFCAECDF"/>
      <color rgb="FFAEE4C9"/>
      <color rgb="FF95D9BF"/>
      <color rgb="FF571022"/>
      <color rgb="FF831933"/>
      <color rgb="FF1E533E"/>
      <color rgb="FFEC99AE"/>
      <color rgb="FFE26785"/>
      <color rgb="FFFFFF99"/>
      <color rgb="FFF5CC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3" Type="http://schemas.openxmlformats.org/officeDocument/2006/relationships/chartUserShapes" Target="../drawings/drawing27.xml"/><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3" Type="http://schemas.openxmlformats.org/officeDocument/2006/relationships/chartUserShapes" Target="../drawings/drawing29.xml"/><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31.xml"/><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3" Type="http://schemas.openxmlformats.org/officeDocument/2006/relationships/chartUserShapes" Target="../drawings/drawing33.xml"/><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3" Type="http://schemas.openxmlformats.org/officeDocument/2006/relationships/chartUserShapes" Target="../drawings/drawing37.xml"/><Relationship Id="rId2" Type="http://schemas.microsoft.com/office/2011/relationships/chartColorStyle" Target="colors67.xml"/><Relationship Id="rId1" Type="http://schemas.microsoft.com/office/2011/relationships/chartStyle" Target="style6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5CCD6"/>
              </a:solidFill>
              <a:ln>
                <a:noFill/>
              </a:ln>
              <a:effectLst/>
            </c:spPr>
            <c:extLst>
              <c:ext xmlns:c16="http://schemas.microsoft.com/office/drawing/2014/chart" uri="{C3380CC4-5D6E-409C-BE32-E72D297353CC}">
                <c16:uniqueId val="{00000001-CAF2-48E2-B046-F97C481E76D0}"/>
              </c:ext>
            </c:extLst>
          </c:dPt>
          <c:dPt>
            <c:idx val="1"/>
            <c:invertIfNegative val="0"/>
            <c:bubble3D val="0"/>
            <c:spPr>
              <a:solidFill>
                <a:srgbClr val="F5CCD6"/>
              </a:solidFill>
              <a:ln>
                <a:noFill/>
              </a:ln>
              <a:effectLst/>
            </c:spPr>
            <c:extLst>
              <c:ext xmlns:c16="http://schemas.microsoft.com/office/drawing/2014/chart" uri="{C3380CC4-5D6E-409C-BE32-E72D297353CC}">
                <c16:uniqueId val="{00000003-CAF2-48E2-B046-F97C481E76D0}"/>
              </c:ext>
            </c:extLst>
          </c:dPt>
          <c:dPt>
            <c:idx val="2"/>
            <c:invertIfNegative val="0"/>
            <c:bubble3D val="0"/>
            <c:spPr>
              <a:solidFill>
                <a:srgbClr val="F5CCD6"/>
              </a:solidFill>
              <a:ln>
                <a:noFill/>
              </a:ln>
              <a:effectLst/>
            </c:spPr>
            <c:extLst>
              <c:ext xmlns:c16="http://schemas.microsoft.com/office/drawing/2014/chart" uri="{C3380CC4-5D6E-409C-BE32-E72D297353CC}">
                <c16:uniqueId val="{00000005-CAF2-48E2-B046-F97C481E76D0}"/>
              </c:ext>
            </c:extLst>
          </c:dPt>
          <c:dPt>
            <c:idx val="3"/>
            <c:invertIfNegative val="0"/>
            <c:bubble3D val="0"/>
            <c:spPr>
              <a:solidFill>
                <a:srgbClr val="F5CCD6"/>
              </a:solidFill>
              <a:ln>
                <a:noFill/>
              </a:ln>
              <a:effectLst/>
            </c:spPr>
            <c:extLst>
              <c:ext xmlns:c16="http://schemas.microsoft.com/office/drawing/2014/chart" uri="{C3380CC4-5D6E-409C-BE32-E72D297353CC}">
                <c16:uniqueId val="{00000007-CAF2-48E2-B046-F97C481E76D0}"/>
              </c:ext>
            </c:extLst>
          </c:dPt>
          <c:dPt>
            <c:idx val="4"/>
            <c:invertIfNegative val="0"/>
            <c:bubble3D val="0"/>
            <c:spPr>
              <a:solidFill>
                <a:srgbClr val="F5CCD6"/>
              </a:solidFill>
              <a:ln>
                <a:noFill/>
              </a:ln>
              <a:effectLst/>
            </c:spPr>
            <c:extLst>
              <c:ext xmlns:c16="http://schemas.microsoft.com/office/drawing/2014/chart" uri="{C3380CC4-5D6E-409C-BE32-E72D297353CC}">
                <c16:uniqueId val="{00000009-CAF2-48E2-B046-F97C481E76D0}"/>
              </c:ext>
            </c:extLst>
          </c:dPt>
          <c:dPt>
            <c:idx val="5"/>
            <c:invertIfNegative val="0"/>
            <c:bubble3D val="0"/>
            <c:spPr>
              <a:solidFill>
                <a:srgbClr val="E26785"/>
              </a:solidFill>
              <a:ln>
                <a:noFill/>
              </a:ln>
              <a:effectLst/>
            </c:spPr>
            <c:extLst>
              <c:ext xmlns:c16="http://schemas.microsoft.com/office/drawing/2014/chart" uri="{C3380CC4-5D6E-409C-BE32-E72D297353CC}">
                <c16:uniqueId val="{0000000B-CAF2-48E2-B046-F97C481E76D0}"/>
              </c:ext>
            </c:extLst>
          </c:dPt>
          <c:dPt>
            <c:idx val="6"/>
            <c:invertIfNegative val="0"/>
            <c:bubble3D val="0"/>
            <c:spPr>
              <a:solidFill>
                <a:srgbClr val="E26785"/>
              </a:solidFill>
              <a:ln>
                <a:noFill/>
              </a:ln>
              <a:effectLst/>
            </c:spPr>
            <c:extLst>
              <c:ext xmlns:c16="http://schemas.microsoft.com/office/drawing/2014/chart" uri="{C3380CC4-5D6E-409C-BE32-E72D297353CC}">
                <c16:uniqueId val="{0000000D-CAF2-48E2-B046-F97C481E76D0}"/>
              </c:ext>
            </c:extLst>
          </c:dPt>
          <c:dPt>
            <c:idx val="7"/>
            <c:invertIfNegative val="0"/>
            <c:bubble3D val="0"/>
            <c:spPr>
              <a:solidFill>
                <a:srgbClr val="E26785"/>
              </a:solidFill>
              <a:ln>
                <a:noFill/>
              </a:ln>
              <a:effectLst/>
            </c:spPr>
            <c:extLst>
              <c:ext xmlns:c16="http://schemas.microsoft.com/office/drawing/2014/chart" uri="{C3380CC4-5D6E-409C-BE32-E72D297353CC}">
                <c16:uniqueId val="{0000000F-CAF2-48E2-B046-F97C481E76D0}"/>
              </c:ext>
            </c:extLst>
          </c:dPt>
          <c:dPt>
            <c:idx val="8"/>
            <c:invertIfNegative val="0"/>
            <c:bubble3D val="0"/>
            <c:spPr>
              <a:solidFill>
                <a:srgbClr val="E26785"/>
              </a:solidFill>
              <a:ln>
                <a:noFill/>
              </a:ln>
              <a:effectLst/>
            </c:spPr>
            <c:extLst>
              <c:ext xmlns:c16="http://schemas.microsoft.com/office/drawing/2014/chart" uri="{C3380CC4-5D6E-409C-BE32-E72D297353CC}">
                <c16:uniqueId val="{00000011-CAF2-48E2-B046-F97C481E76D0}"/>
              </c:ext>
            </c:extLst>
          </c:dPt>
          <c:dPt>
            <c:idx val="9"/>
            <c:invertIfNegative val="0"/>
            <c:bubble3D val="0"/>
            <c:spPr>
              <a:solidFill>
                <a:srgbClr val="831933"/>
              </a:solidFill>
              <a:ln>
                <a:noFill/>
              </a:ln>
              <a:effectLst/>
            </c:spPr>
            <c:extLst>
              <c:ext xmlns:c16="http://schemas.microsoft.com/office/drawing/2014/chart" uri="{C3380CC4-5D6E-409C-BE32-E72D297353CC}">
                <c16:uniqueId val="{00000013-CAF2-48E2-B046-F97C481E76D0}"/>
              </c:ext>
            </c:extLst>
          </c:dPt>
          <c:dPt>
            <c:idx val="10"/>
            <c:invertIfNegative val="0"/>
            <c:bubble3D val="0"/>
            <c:spPr>
              <a:solidFill>
                <a:srgbClr val="831933"/>
              </a:solidFill>
              <a:ln>
                <a:noFill/>
              </a:ln>
              <a:effectLst/>
            </c:spPr>
            <c:extLst>
              <c:ext xmlns:c16="http://schemas.microsoft.com/office/drawing/2014/chart" uri="{C3380CC4-5D6E-409C-BE32-E72D297353CC}">
                <c16:uniqueId val="{00000015-CAF2-48E2-B046-F97C481E76D0}"/>
              </c:ext>
            </c:extLst>
          </c:dPt>
          <c:dPt>
            <c:idx val="11"/>
            <c:invertIfNegative val="0"/>
            <c:bubble3D val="0"/>
            <c:spPr>
              <a:solidFill>
                <a:srgbClr val="831933"/>
              </a:solidFill>
              <a:ln>
                <a:noFill/>
              </a:ln>
              <a:effectLst/>
            </c:spPr>
            <c:extLst>
              <c:ext xmlns:c16="http://schemas.microsoft.com/office/drawing/2014/chart" uri="{C3380CC4-5D6E-409C-BE32-E72D297353CC}">
                <c16:uniqueId val="{00000017-CAF2-48E2-B046-F97C481E76D0}"/>
              </c:ext>
            </c:extLst>
          </c:dPt>
          <c:dPt>
            <c:idx val="12"/>
            <c:invertIfNegative val="0"/>
            <c:bubble3D val="0"/>
            <c:spPr>
              <a:solidFill>
                <a:srgbClr val="831933"/>
              </a:solidFill>
              <a:ln>
                <a:noFill/>
              </a:ln>
              <a:effectLst/>
            </c:spPr>
            <c:extLst>
              <c:ext xmlns:c16="http://schemas.microsoft.com/office/drawing/2014/chart" uri="{C3380CC4-5D6E-409C-BE32-E72D297353CC}">
                <c16:uniqueId val="{00000019-CAF2-48E2-B046-F97C481E76D0}"/>
              </c:ext>
            </c:extLst>
          </c:dPt>
          <c:dPt>
            <c:idx val="13"/>
            <c:invertIfNegative val="0"/>
            <c:bubble3D val="0"/>
            <c:spPr>
              <a:solidFill>
                <a:srgbClr val="571022"/>
              </a:solidFill>
              <a:ln>
                <a:noFill/>
              </a:ln>
              <a:effectLst/>
            </c:spPr>
            <c:extLst>
              <c:ext xmlns:c16="http://schemas.microsoft.com/office/drawing/2014/chart" uri="{C3380CC4-5D6E-409C-BE32-E72D297353CC}">
                <c16:uniqueId val="{0000001B-CAF2-48E2-B046-F97C481E76D0}"/>
              </c:ext>
            </c:extLst>
          </c:dPt>
          <c:dPt>
            <c:idx val="14"/>
            <c:invertIfNegative val="0"/>
            <c:bubble3D val="0"/>
            <c:spPr>
              <a:solidFill>
                <a:srgbClr val="571022"/>
              </a:solidFill>
              <a:ln>
                <a:noFill/>
              </a:ln>
              <a:effectLst/>
            </c:spPr>
            <c:extLst>
              <c:ext xmlns:c16="http://schemas.microsoft.com/office/drawing/2014/chart" uri="{C3380CC4-5D6E-409C-BE32-E72D297353CC}">
                <c16:uniqueId val="{0000001D-CAF2-48E2-B046-F97C481E76D0}"/>
              </c:ext>
            </c:extLst>
          </c:dPt>
          <c:dPt>
            <c:idx val="15"/>
            <c:invertIfNegative val="0"/>
            <c:bubble3D val="0"/>
            <c:spPr>
              <a:solidFill>
                <a:srgbClr val="571022"/>
              </a:solidFill>
              <a:ln>
                <a:noFill/>
              </a:ln>
              <a:effectLst/>
            </c:spPr>
            <c:extLst>
              <c:ext xmlns:c16="http://schemas.microsoft.com/office/drawing/2014/chart" uri="{C3380CC4-5D6E-409C-BE32-E72D297353CC}">
                <c16:uniqueId val="{0000001F-CAF2-48E2-B046-F97C481E76D0}"/>
              </c:ext>
            </c:extLst>
          </c:dPt>
          <c:dPt>
            <c:idx val="16"/>
            <c:invertIfNegative val="0"/>
            <c:bubble3D val="0"/>
            <c:spPr>
              <a:solidFill>
                <a:srgbClr val="571022"/>
              </a:solidFill>
              <a:ln>
                <a:noFill/>
              </a:ln>
              <a:effectLst/>
            </c:spPr>
            <c:extLst>
              <c:ext xmlns:c16="http://schemas.microsoft.com/office/drawing/2014/chart" uri="{C3380CC4-5D6E-409C-BE32-E72D297353CC}">
                <c16:uniqueId val="{00000021-CAF2-48E2-B046-F97C481E76D0}"/>
              </c:ext>
            </c:extLst>
          </c:dPt>
          <c:dPt>
            <c:idx val="17"/>
            <c:invertIfNegative val="0"/>
            <c:bubble3D val="0"/>
            <c:spPr>
              <a:solidFill>
                <a:srgbClr val="571022"/>
              </a:solidFill>
              <a:ln>
                <a:noFill/>
              </a:ln>
              <a:effectLst/>
            </c:spPr>
            <c:extLst>
              <c:ext xmlns:c16="http://schemas.microsoft.com/office/drawing/2014/chart" uri="{C3380CC4-5D6E-409C-BE32-E72D297353CC}">
                <c16:uniqueId val="{00000023-CAF2-48E2-B046-F97C481E76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Arbeitsbereich!$C$43:$C$60</c:f>
              <c:strCache>
                <c:ptCount val="18"/>
                <c:pt idx="0">
                  <c:v>Wildtierkunde und Ökologie</c:v>
                </c:pt>
                <c:pt idx="1">
                  <c:v>Klinischer Bereich</c:v>
                </c:pt>
                <c:pt idx="2">
                  <c:v>Internationalisierung</c:v>
                </c:pt>
                <c:pt idx="3">
                  <c:v>Bibliothek</c:v>
                </c:pt>
                <c:pt idx="4">
                  <c:v>Kooperationen</c:v>
                </c:pt>
                <c:pt idx="5">
                  <c:v>Weiterbildung</c:v>
                </c:pt>
                <c:pt idx="6">
                  <c:v>Lehr-/Lernorganisation</c:v>
                </c:pt>
                <c:pt idx="7">
                  <c:v>Qualitätssichernde Maßnahmen in der Lehre</c:v>
                </c:pt>
                <c:pt idx="8">
                  <c:v>Studienbereich</c:v>
                </c:pt>
                <c:pt idx="9">
                  <c:v>Europäischer Forschungsraum</c:v>
                </c:pt>
                <c:pt idx="10">
                  <c:v>Wissens-/Technologietransfer und Verwertung</c:v>
                </c:pt>
                <c:pt idx="11">
                  <c:v>Großforschungsinfrastruktur</c:v>
                </c:pt>
                <c:pt idx="12">
                  <c:v>Forschungsstärken</c:v>
                </c:pt>
                <c:pt idx="13">
                  <c:v>Standortentwicklung</c:v>
                </c:pt>
                <c:pt idx="14">
                  <c:v>Personal</c:v>
                </c:pt>
                <c:pt idx="15">
                  <c:v>Qualitätssicherung</c:v>
                </c:pt>
                <c:pt idx="16">
                  <c:v>Wissenschaftskommunikation</c:v>
                </c:pt>
                <c:pt idx="17">
                  <c:v>Allgemeine gesellschaftliche Zielsetzungen</c:v>
                </c:pt>
              </c:strCache>
            </c:strRef>
          </c:cat>
          <c:val>
            <c:numRef>
              <c:f>Arbeitsbereich!$D$43:$D$60</c:f>
              <c:numCache>
                <c:formatCode>General</c:formatCode>
                <c:ptCount val="18"/>
                <c:pt idx="0">
                  <c:v>#N/A</c:v>
                </c:pt>
                <c:pt idx="1">
                  <c:v>#N/A</c:v>
                </c:pt>
                <c:pt idx="2">
                  <c:v>#N/A</c:v>
                </c:pt>
                <c:pt idx="3">
                  <c:v>#N/A</c:v>
                </c:pt>
                <c:pt idx="4">
                  <c:v>1</c:v>
                </c:pt>
                <c:pt idx="5">
                  <c:v>1</c:v>
                </c:pt>
                <c:pt idx="6">
                  <c:v>#N/A</c:v>
                </c:pt>
                <c:pt idx="7">
                  <c:v>#N/A</c:v>
                </c:pt>
                <c:pt idx="8">
                  <c:v>#N/A</c:v>
                </c:pt>
                <c:pt idx="9">
                  <c:v>#N/A</c:v>
                </c:pt>
                <c:pt idx="10">
                  <c:v>#N/A</c:v>
                </c:pt>
                <c:pt idx="11">
                  <c:v>#N/A</c:v>
                </c:pt>
                <c:pt idx="12">
                  <c:v>#N/A</c:v>
                </c:pt>
                <c:pt idx="13">
                  <c:v>#N/A</c:v>
                </c:pt>
                <c:pt idx="14">
                  <c:v>#N/A</c:v>
                </c:pt>
                <c:pt idx="15">
                  <c:v>#N/A</c:v>
                </c:pt>
                <c:pt idx="16">
                  <c:v>#N/A</c:v>
                </c:pt>
                <c:pt idx="17">
                  <c:v>#N/A</c:v>
                </c:pt>
              </c:numCache>
            </c:numRef>
          </c:val>
          <c:extLst>
            <c:ext xmlns:c16="http://schemas.microsoft.com/office/drawing/2014/chart" uri="{C3380CC4-5D6E-409C-BE32-E72D297353CC}">
              <c16:uniqueId val="{00000024-CAF2-48E2-B046-F97C481E76D0}"/>
            </c:ext>
          </c:extLst>
        </c:ser>
        <c:dLbls>
          <c:showLegendKey val="0"/>
          <c:showVal val="0"/>
          <c:showCatName val="0"/>
          <c:showSerName val="0"/>
          <c:showPercent val="0"/>
          <c:showBubbleSize val="0"/>
        </c:dLbls>
        <c:gapWidth val="219"/>
        <c:axId val="1514607392"/>
        <c:axId val="1514594912"/>
      </c:barChart>
      <c:catAx>
        <c:axId val="15146073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14594912"/>
        <c:crosses val="autoZero"/>
        <c:auto val="1"/>
        <c:lblAlgn val="ctr"/>
        <c:lblOffset val="100"/>
        <c:noMultiLvlLbl val="0"/>
      </c:catAx>
      <c:valAx>
        <c:axId val="151459491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51460739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stacked"/>
        <c:varyColors val="0"/>
        <c:ser>
          <c:idx val="0"/>
          <c:order val="0"/>
          <c:spPr>
            <a:solidFill>
              <a:schemeClr val="accent1"/>
            </a:solidFill>
            <a:ln w="19050">
              <a:solidFill>
                <a:schemeClr val="lt1"/>
              </a:solidFill>
            </a:ln>
            <a:effectLst/>
          </c:spPr>
          <c:invertIfNegative val="0"/>
          <c:cat>
            <c:strRef>
              <c:f>Arbeitsbereich!$C$185:$C$207</c:f>
              <c:strCache>
                <c:ptCount val="23"/>
                <c:pt idx="0">
                  <c:v>Organisationseinheit 1</c:v>
                </c:pt>
                <c:pt idx="1">
                  <c:v>Organisationseinheit 2</c:v>
                </c:pt>
                <c:pt idx="2">
                  <c:v>Organisationseinheit 3</c:v>
                </c:pt>
                <c:pt idx="3">
                  <c:v>Organisationseinheit 4</c:v>
                </c:pt>
                <c:pt idx="4">
                  <c:v>Organisationseinheit 5</c:v>
                </c:pt>
                <c:pt idx="5">
                  <c:v>Organisationseinheit 6</c:v>
                </c:pt>
                <c:pt idx="6">
                  <c:v>Organisationseinheit 7</c:v>
                </c:pt>
                <c:pt idx="7">
                  <c:v>Organisationseinheit 8</c:v>
                </c:pt>
                <c:pt idx="8">
                  <c:v>Organisationseinheit 9</c:v>
                </c:pt>
                <c:pt idx="9">
                  <c:v>Organisationseinheit 10</c:v>
                </c:pt>
                <c:pt idx="10">
                  <c:v>Organisationseinheit 11</c:v>
                </c:pt>
                <c:pt idx="11">
                  <c:v>Organisationseinheit 12</c:v>
                </c:pt>
                <c:pt idx="12">
                  <c:v>Organisationseinheit 13</c:v>
                </c:pt>
                <c:pt idx="13">
                  <c:v>Organisationseinheit 14</c:v>
                </c:pt>
                <c:pt idx="14">
                  <c:v>Organisationseinheit 15</c:v>
                </c:pt>
                <c:pt idx="15">
                  <c:v>Organisationseinheit 16</c:v>
                </c:pt>
                <c:pt idx="16">
                  <c:v>Organisationseinheit 17</c:v>
                </c:pt>
                <c:pt idx="17">
                  <c:v>Organisationseinheit 18</c:v>
                </c:pt>
                <c:pt idx="18">
                  <c:v>Organisationseinheit 19</c:v>
                </c:pt>
                <c:pt idx="19">
                  <c:v>Organisationseinheit 20</c:v>
                </c:pt>
                <c:pt idx="20">
                  <c:v>Organisationseinheit 21</c:v>
                </c:pt>
                <c:pt idx="21">
                  <c:v>Organisationseinheit 22</c:v>
                </c:pt>
                <c:pt idx="22">
                  <c:v>Organisationseinheit 23</c:v>
                </c:pt>
              </c:strCache>
            </c:strRef>
          </c:cat>
          <c:val>
            <c:numRef>
              <c:f>Arbeitsbereich!$D$185:$D$207</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0-CD22-488D-B47E-D5F83241AB39}"/>
            </c:ext>
          </c:extLst>
        </c:ser>
        <c:dLbls>
          <c:showLegendKey val="0"/>
          <c:showVal val="0"/>
          <c:showCatName val="0"/>
          <c:showSerName val="0"/>
          <c:showPercent val="0"/>
          <c:showBubbleSize val="0"/>
        </c:dLbls>
        <c:gapWidth val="150"/>
        <c:overlap val="100"/>
        <c:axId val="1508175824"/>
        <c:axId val="1508179184"/>
      </c:barChart>
      <c:catAx>
        <c:axId val="1508175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08179184"/>
        <c:crosses val="autoZero"/>
        <c:auto val="1"/>
        <c:lblAlgn val="ctr"/>
        <c:lblOffset val="100"/>
        <c:noMultiLvlLbl val="0"/>
      </c:catAx>
      <c:valAx>
        <c:axId val="150817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0817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de-AT">
                <a:solidFill>
                  <a:srgbClr val="831933"/>
                </a:solidFill>
                <a:latin typeface="Arial" panose="020B0604020202020204" pitchFamily="34" charset="0"/>
                <a:cs typeface="Arial" panose="020B0604020202020204" pitchFamily="34" charset="0"/>
              </a:rPr>
              <a:t>PROJEKTPHASEN</a:t>
            </a:r>
          </a:p>
        </c:rich>
      </c:tx>
      <c:layout>
        <c:manualLayout>
          <c:xMode val="edge"/>
          <c:yMode val="edge"/>
          <c:x val="1.1304758440800415E-2"/>
          <c:y val="0.2719390232979646"/>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4.3117283950617286E-2"/>
          <c:y val="0.74795304645959837"/>
          <c:w val="0.91376543209876548"/>
          <c:h val="0.17086614173228346"/>
        </c:manualLayout>
      </c:layout>
      <c:barChart>
        <c:barDir val="bar"/>
        <c:grouping val="stacked"/>
        <c:varyColors val="0"/>
        <c:ser>
          <c:idx val="0"/>
          <c:order val="0"/>
          <c:tx>
            <c:strRef>
              <c:f>Arbeitsbereich!$C$64</c:f>
              <c:strCache>
                <c:ptCount val="1"/>
                <c:pt idx="0">
                  <c:v>Idee erfasst/noch nicht gestartet</c:v>
                </c:pt>
              </c:strCache>
            </c:strRef>
          </c:tx>
          <c:spPr>
            <a:solidFill>
              <a:schemeClr val="bg1"/>
            </a:solidFill>
            <a:ln>
              <a:solidFill>
                <a:schemeClr val="bg2">
                  <a:lumMod val="90000"/>
                </a:schemeClr>
              </a:solidFill>
              <a:prstDash val="sysDot"/>
            </a:ln>
            <a:effectLst/>
          </c:spPr>
          <c:invertIfNegative val="0"/>
          <c:dLbls>
            <c:dLbl>
              <c:idx val="0"/>
              <c:tx>
                <c:rich>
                  <a:bodyPr/>
                  <a:lstStyle/>
                  <a:p>
                    <a:fld id="{A8D890DB-5442-4DED-B12A-17A0AF809197}" type="CELLRANGE">
                      <a:rPr lang="en-US"/>
                      <a:pPr/>
                      <a:t>[ZELLBEREICH]</a:t>
                    </a:fld>
                    <a:endParaRPr lang="de-AT"/>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890-4592-AB52-B8421D6096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Arbeitsbereich!$D$64</c:f>
              <c:numCache>
                <c:formatCode>General</c:formatCode>
                <c:ptCount val="1"/>
                <c:pt idx="0">
                  <c:v>1</c:v>
                </c:pt>
              </c:numCache>
            </c:numRef>
          </c:val>
          <c:extLst>
            <c:ext xmlns:c15="http://schemas.microsoft.com/office/drawing/2012/chart" uri="{02D57815-91ED-43cb-92C2-25804820EDAC}">
              <c15:datalabelsRange>
                <c15:f>Arbeitsbereich!$E$64</c15:f>
                <c15:dlblRangeCache>
                  <c:ptCount val="1"/>
                  <c:pt idx="0">
                    <c:v>25%</c:v>
                  </c:pt>
                </c15:dlblRangeCache>
              </c15:datalabelsRange>
            </c:ext>
            <c:ext xmlns:c16="http://schemas.microsoft.com/office/drawing/2014/chart" uri="{C3380CC4-5D6E-409C-BE32-E72D297353CC}">
              <c16:uniqueId val="{00000000-ED0B-4836-B164-F34B246A2FED}"/>
            </c:ext>
          </c:extLst>
        </c:ser>
        <c:ser>
          <c:idx val="1"/>
          <c:order val="1"/>
          <c:tx>
            <c:strRef>
              <c:f>Arbeitsbereich!$C$65</c:f>
              <c:strCache>
                <c:ptCount val="1"/>
                <c:pt idx="0">
                  <c:v>Planung</c:v>
                </c:pt>
              </c:strCache>
            </c:strRef>
          </c:tx>
          <c:spPr>
            <a:solidFill>
              <a:srgbClr val="CAECDF"/>
            </a:solidFill>
            <a:ln>
              <a:solidFill>
                <a:srgbClr val="CAECDF"/>
              </a:solidFill>
            </a:ln>
            <a:effectLst/>
          </c:spPr>
          <c:invertIfNegative val="0"/>
          <c:dLbls>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FBBB14AC-6553-4329-9C55-EA8639ADF03D}" type="CELLRANGE">
                      <a:rPr lang="en-US"/>
                      <a:pPr>
                        <a:defRPr>
                          <a:solidFill>
                            <a:sysClr val="windowText" lastClr="000000"/>
                          </a:solidFill>
                        </a:defRPr>
                      </a:pPr>
                      <a:t>[ZELLBEREICH]</a:t>
                    </a:fld>
                    <a:endParaRPr lang="de-AT"/>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D0B-4836-B164-F34B246A2F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Arbeitsbereich!$D$65</c:f>
              <c:numCache>
                <c:formatCode>General</c:formatCode>
                <c:ptCount val="1"/>
                <c:pt idx="0">
                  <c:v>2</c:v>
                </c:pt>
              </c:numCache>
            </c:numRef>
          </c:val>
          <c:extLst>
            <c:ext xmlns:c15="http://schemas.microsoft.com/office/drawing/2012/chart" uri="{02D57815-91ED-43cb-92C2-25804820EDAC}">
              <c15:datalabelsRange>
                <c15:f>Arbeitsbereich!$E$65</c15:f>
                <c15:dlblRangeCache>
                  <c:ptCount val="1"/>
                  <c:pt idx="0">
                    <c:v>50%</c:v>
                  </c:pt>
                </c15:dlblRangeCache>
              </c15:datalabelsRange>
            </c:ext>
            <c:ext xmlns:c16="http://schemas.microsoft.com/office/drawing/2014/chart" uri="{C3380CC4-5D6E-409C-BE32-E72D297353CC}">
              <c16:uniqueId val="{00000002-ED0B-4836-B164-F34B246A2FED}"/>
            </c:ext>
          </c:extLst>
        </c:ser>
        <c:ser>
          <c:idx val="2"/>
          <c:order val="2"/>
          <c:tx>
            <c:strRef>
              <c:f>Arbeitsbereich!$C$66</c:f>
              <c:strCache>
                <c:ptCount val="1"/>
                <c:pt idx="0">
                  <c:v>In Arbeit</c:v>
                </c:pt>
              </c:strCache>
            </c:strRef>
          </c:tx>
          <c:spPr>
            <a:solidFill>
              <a:srgbClr val="95D9BF"/>
            </a:solidFill>
            <a:ln>
              <a:solidFill>
                <a:srgbClr val="95D9BF"/>
              </a:solidFill>
            </a:ln>
            <a:effectLst/>
          </c:spPr>
          <c:invertIfNegative val="0"/>
          <c:dLbls>
            <c:dLbl>
              <c:idx val="0"/>
              <c:tx>
                <c:rich>
                  <a:bodyPr/>
                  <a:lstStyle/>
                  <a:p>
                    <a:fld id="{C62645EE-79CB-4FB2-BBC7-2C2902471F72}" type="CELLRANGE">
                      <a:rPr lang="en-US"/>
                      <a:pPr/>
                      <a:t>[ZELLBEREICH]</a:t>
                    </a:fld>
                    <a:endParaRPr lang="de-AT"/>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890-4592-AB52-B8421D6096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Arbeitsbereich!$D$66</c:f>
              <c:numCache>
                <c:formatCode>General</c:formatCode>
                <c:ptCount val="1"/>
                <c:pt idx="0">
                  <c:v>1</c:v>
                </c:pt>
              </c:numCache>
            </c:numRef>
          </c:val>
          <c:extLst>
            <c:ext xmlns:c15="http://schemas.microsoft.com/office/drawing/2012/chart" uri="{02D57815-91ED-43cb-92C2-25804820EDAC}">
              <c15:datalabelsRange>
                <c15:f>Arbeitsbereich!$E$66</c15:f>
                <c15:dlblRangeCache>
                  <c:ptCount val="1"/>
                  <c:pt idx="0">
                    <c:v>25%</c:v>
                  </c:pt>
                </c15:dlblRangeCache>
              </c15:datalabelsRange>
            </c:ext>
            <c:ext xmlns:c16="http://schemas.microsoft.com/office/drawing/2014/chart" uri="{C3380CC4-5D6E-409C-BE32-E72D297353CC}">
              <c16:uniqueId val="{00000003-ED0B-4836-B164-F34B246A2FED}"/>
            </c:ext>
          </c:extLst>
        </c:ser>
        <c:ser>
          <c:idx val="5"/>
          <c:order val="3"/>
          <c:tx>
            <c:strRef>
              <c:f>Arbeitsbereich!$C$67</c:f>
              <c:strCache>
                <c:ptCount val="1"/>
                <c:pt idx="0">
                  <c:v>Abgeschlossen</c:v>
                </c:pt>
              </c:strCache>
            </c:strRef>
          </c:tx>
          <c:spPr>
            <a:solidFill>
              <a:srgbClr val="1E533E"/>
            </a:solidFill>
            <a:ln>
              <a:solidFill>
                <a:srgbClr val="1E533E"/>
              </a:solidFill>
            </a:ln>
            <a:effectLst/>
          </c:spPr>
          <c:invertIfNegative val="0"/>
          <c:dLbls>
            <c:dLbl>
              <c:idx val="0"/>
              <c:tx>
                <c:rich>
                  <a:bodyPr/>
                  <a:lstStyle/>
                  <a:p>
                    <a:fld id="{0B448553-C41E-4435-B7F0-D3667F94D129}" type="CELLRANGE">
                      <a:rPr lang="en-US"/>
                      <a:pPr/>
                      <a:t>[ZELLBEREICH]</a:t>
                    </a:fld>
                    <a:endParaRPr lang="de-AT"/>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890-4592-AB52-B8421D6096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Arbeitsbereich!$D$67</c:f>
              <c:numCache>
                <c:formatCode>General</c:formatCode>
                <c:ptCount val="1"/>
                <c:pt idx="0">
                  <c:v>#N/A</c:v>
                </c:pt>
              </c:numCache>
            </c:numRef>
          </c:val>
          <c:extLst>
            <c:ext xmlns:c15="http://schemas.microsoft.com/office/drawing/2012/chart" uri="{02D57815-91ED-43cb-92C2-25804820EDAC}">
              <c15:datalabelsRange>
                <c15:f>Arbeitsbereich!$E$67</c15:f>
                <c15:dlblRangeCache>
                  <c:ptCount val="1"/>
                  <c:pt idx="0">
                    <c:v>#NV</c:v>
                  </c:pt>
                </c15:dlblRangeCache>
              </c15:datalabelsRange>
            </c:ext>
            <c:ext xmlns:c16="http://schemas.microsoft.com/office/drawing/2014/chart" uri="{C3380CC4-5D6E-409C-BE32-E72D297353CC}">
              <c16:uniqueId val="{00000004-ED0B-4836-B164-F34B246A2FED}"/>
            </c:ext>
          </c:extLst>
        </c:ser>
        <c:ser>
          <c:idx val="3"/>
          <c:order val="4"/>
          <c:tx>
            <c:strRef>
              <c:f>Arbeitsbereich!$C$68</c:f>
              <c:strCache>
                <c:ptCount val="1"/>
                <c:pt idx="0">
                  <c:v>Blockiert</c:v>
                </c:pt>
              </c:strCache>
            </c:strRef>
          </c:tx>
          <c:spPr>
            <a:solidFill>
              <a:srgbClr val="E26785"/>
            </a:solidFill>
            <a:ln>
              <a:solidFill>
                <a:srgbClr val="E26785"/>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Arbeitsbereich!$D$68</c:f>
              <c:numCache>
                <c:formatCode>General</c:formatCode>
                <c:ptCount val="1"/>
                <c:pt idx="0">
                  <c:v>#N/A</c:v>
                </c:pt>
              </c:numCache>
            </c:numRef>
          </c:val>
          <c:extLst>
            <c:ext xmlns:c16="http://schemas.microsoft.com/office/drawing/2014/chart" uri="{C3380CC4-5D6E-409C-BE32-E72D297353CC}">
              <c16:uniqueId val="{00000005-ED0B-4836-B164-F34B246A2FED}"/>
            </c:ext>
          </c:extLst>
        </c:ser>
        <c:ser>
          <c:idx val="4"/>
          <c:order val="5"/>
          <c:tx>
            <c:strRef>
              <c:f>Arbeitsbereich!$C$69</c:f>
              <c:strCache>
                <c:ptCount val="1"/>
                <c:pt idx="0">
                  <c:v>Abgebrochen</c:v>
                </c:pt>
              </c:strCache>
            </c:strRef>
          </c:tx>
          <c:spPr>
            <a:solidFill>
              <a:srgbClr val="571022"/>
            </a:solidFill>
            <a:ln>
              <a:solidFill>
                <a:srgbClr val="571022"/>
              </a:solidFill>
            </a:ln>
            <a:effectLst/>
          </c:spPr>
          <c:invertIfNegative val="0"/>
          <c:dLbls>
            <c:dLbl>
              <c:idx val="0"/>
              <c:tx>
                <c:rich>
                  <a:bodyPr/>
                  <a:lstStyle/>
                  <a:p>
                    <a:fld id="{D0656DBE-6354-4C2C-AE14-0B3E7DD25E1C}" type="VALUE">
                      <a:rPr lang="en-US">
                        <a:solidFill>
                          <a:schemeClr val="bg1"/>
                        </a:solidFill>
                      </a:rPr>
                      <a:pPr/>
                      <a:t>[WERT]</a:t>
                    </a:fld>
                    <a:endParaRPr lang="de-AT"/>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D0B-4836-B164-F34B246A2F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Arbeitsbereich!$D$69</c:f>
              <c:numCache>
                <c:formatCode>General</c:formatCode>
                <c:ptCount val="1"/>
                <c:pt idx="0">
                  <c:v>#N/A</c:v>
                </c:pt>
              </c:numCache>
            </c:numRef>
          </c:val>
          <c:extLst>
            <c:ext xmlns:c15="http://schemas.microsoft.com/office/drawing/2012/chart" uri="{02D57815-91ED-43cb-92C2-25804820EDAC}">
              <c15:datalabelsRange>
                <c15:f>Arbeitsbereich!$E$69</c15:f>
                <c15:dlblRangeCache>
                  <c:ptCount val="1"/>
                  <c:pt idx="0">
                    <c:v>#NV</c:v>
                  </c:pt>
                </c15:dlblRangeCache>
              </c15:datalabelsRange>
            </c:ext>
            <c:ext xmlns:c16="http://schemas.microsoft.com/office/drawing/2014/chart" uri="{C3380CC4-5D6E-409C-BE32-E72D297353CC}">
              <c16:uniqueId val="{00000007-ED0B-4836-B164-F34B246A2FED}"/>
            </c:ext>
          </c:extLst>
        </c:ser>
        <c:dLbls>
          <c:dLblPos val="ctr"/>
          <c:showLegendKey val="0"/>
          <c:showVal val="1"/>
          <c:showCatName val="0"/>
          <c:showSerName val="0"/>
          <c:showPercent val="0"/>
          <c:showBubbleSize val="0"/>
        </c:dLbls>
        <c:gapWidth val="0"/>
        <c:overlap val="100"/>
        <c:axId val="216409327"/>
        <c:axId val="216407887"/>
      </c:barChart>
      <c:catAx>
        <c:axId val="216409327"/>
        <c:scaling>
          <c:orientation val="minMax"/>
        </c:scaling>
        <c:delete val="1"/>
        <c:axPos val="l"/>
        <c:numFmt formatCode="General" sourceLinked="1"/>
        <c:majorTickMark val="none"/>
        <c:minorTickMark val="none"/>
        <c:tickLblPos val="nextTo"/>
        <c:crossAx val="216407887"/>
        <c:crosses val="autoZero"/>
        <c:auto val="1"/>
        <c:lblAlgn val="ctr"/>
        <c:lblOffset val="100"/>
        <c:noMultiLvlLbl val="0"/>
      </c:catAx>
      <c:valAx>
        <c:axId val="216407887"/>
        <c:scaling>
          <c:orientation val="minMax"/>
        </c:scaling>
        <c:delete val="1"/>
        <c:axPos val="b"/>
        <c:numFmt formatCode="General" sourceLinked="1"/>
        <c:majorTickMark val="none"/>
        <c:minorTickMark val="none"/>
        <c:tickLblPos val="nextTo"/>
        <c:crossAx val="216409327"/>
        <c:crosses val="autoZero"/>
        <c:crossBetween val="between"/>
      </c:valAx>
      <c:spPr>
        <a:noFill/>
        <a:ln>
          <a:noFill/>
        </a:ln>
        <a:effectLst/>
      </c:spPr>
    </c:plotArea>
    <c:legend>
      <c:legendPos val="t"/>
      <c:layout>
        <c:manualLayout>
          <c:xMode val="edge"/>
          <c:yMode val="edge"/>
          <c:x val="0.4870932098765432"/>
          <c:y val="4.0960771756257605E-2"/>
          <c:w val="0.48834444444444447"/>
          <c:h val="0.66015248299550555"/>
        </c:manualLayout>
      </c:layout>
      <c:overlay val="0"/>
      <c:spPr>
        <a:noFill/>
        <a:ln>
          <a:noFill/>
        </a:ln>
        <a:effectLst/>
      </c:spPr>
      <c:txPr>
        <a:bodyPr rot="0" spcFirstLastPara="1" vertOverflow="ellipsis" vert="horz" wrap="square" anchor="t"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AT">
                <a:solidFill>
                  <a:srgbClr val="831933"/>
                </a:solidFill>
                <a:latin typeface="Arial" panose="020B0604020202020204" pitchFamily="34" charset="0"/>
                <a:cs typeface="Arial" panose="020B0604020202020204" pitchFamily="34" charset="0"/>
              </a:rPr>
              <a:t>Ø PROJEKTFORTSCHRITT</a:t>
            </a:r>
          </a:p>
        </c:rich>
      </c:tx>
      <c:layout>
        <c:manualLayout>
          <c:xMode val="edge"/>
          <c:yMode val="edge"/>
          <c:x val="0.12547566207734165"/>
          <c:y val="0.114577851289376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8079-4AA2-8D7F-8869EFB1B966}"/>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8079-4AA2-8D7F-8869EFB1B966}"/>
              </c:ext>
            </c:extLst>
          </c:dPt>
          <c:val>
            <c:numRef>
              <c:f>Arbeitsbereich!$D$105:$D$106</c:f>
              <c:numCache>
                <c:formatCode>0%</c:formatCode>
                <c:ptCount val="2"/>
                <c:pt idx="0">
                  <c:v>0.10750000000000001</c:v>
                </c:pt>
                <c:pt idx="1">
                  <c:v>0.89249999999999996</c:v>
                </c:pt>
              </c:numCache>
            </c:numRef>
          </c:val>
          <c:extLst>
            <c:ext xmlns:c16="http://schemas.microsoft.com/office/drawing/2014/chart" uri="{C3380CC4-5D6E-409C-BE32-E72D297353CC}">
              <c16:uniqueId val="{00000004-8079-4AA2-8D7F-8869EFB1B96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Arbeitsbereich!$C$109</c:f>
              <c:strCache>
                <c:ptCount val="1"/>
                <c:pt idx="0">
                  <c:v>Plan-Kosten</c:v>
                </c:pt>
              </c:strCache>
            </c:strRef>
          </c:tx>
          <c:spPr>
            <a:solidFill>
              <a:srgbClr val="1E533E"/>
            </a:solidFill>
            <a:ln>
              <a:noFill/>
            </a:ln>
            <a:effectLst/>
          </c:spPr>
          <c:invertIfNegative val="0"/>
          <c:dLbls>
            <c:dLbl>
              <c:idx val="0"/>
              <c:tx>
                <c:rich>
                  <a:bodyPr/>
                  <a:lstStyle/>
                  <a:p>
                    <a:fld id="{26162596-995E-4F76-88B9-FD8A62B88680}"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B3B-438C-A527-6B2CFA8638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Arbeitsbereich!$D$109</c:f>
              <c:numCache>
                <c:formatCode>#\ ##0_ ;\-#\ ##0\ </c:formatCode>
                <c:ptCount val="1"/>
                <c:pt idx="0">
                  <c:v>2083125</c:v>
                </c:pt>
              </c:numCache>
            </c:numRef>
          </c:val>
          <c:extLst>
            <c:ext xmlns:c15="http://schemas.microsoft.com/office/drawing/2012/chart" uri="{02D57815-91ED-43cb-92C2-25804820EDAC}">
              <c15:datalabelsRange>
                <c15:f>Arbeitsbereich!$E$109</c15:f>
                <c15:dlblRangeCache>
                  <c:ptCount val="1"/>
                  <c:pt idx="0">
                    <c:v>€ 2,1 Mio</c:v>
                  </c:pt>
                </c15:dlblRangeCache>
              </c15:datalabelsRange>
            </c:ext>
            <c:ext xmlns:c16="http://schemas.microsoft.com/office/drawing/2014/chart" uri="{C3380CC4-5D6E-409C-BE32-E72D297353CC}">
              <c16:uniqueId val="{00000001-1B3B-438C-A527-6B2CFA8638E6}"/>
            </c:ext>
          </c:extLst>
        </c:ser>
        <c:ser>
          <c:idx val="1"/>
          <c:order val="1"/>
          <c:tx>
            <c:strRef>
              <c:f>Arbeitsbereich!$C$110</c:f>
              <c:strCache>
                <c:ptCount val="1"/>
                <c:pt idx="0">
                  <c:v>Ist-Kosten</c:v>
                </c:pt>
              </c:strCache>
            </c:strRef>
          </c:tx>
          <c:spPr>
            <a:solidFill>
              <a:srgbClr val="61C59F"/>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912D94D-2B4C-4039-8023-61C0BEB12027}" type="CELLRANGE">
                      <a:rPr lang="en-US"/>
                      <a:pPr>
                        <a:defRPr/>
                      </a:pPr>
                      <a:t>[ZELLBEREICH]</a:t>
                    </a:fld>
                    <a:endParaRPr lang="de-AT"/>
                  </a:p>
                </c:rich>
              </c:tx>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B3B-438C-A527-6B2CFA8638E6}"/>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Arbeitsbereich!$D$110</c:f>
              <c:numCache>
                <c:formatCode>#\ ##0_ ;\-#\ ##0\ </c:formatCode>
                <c:ptCount val="1"/>
                <c:pt idx="0">
                  <c:v>10000</c:v>
                </c:pt>
              </c:numCache>
            </c:numRef>
          </c:val>
          <c:extLst>
            <c:ext xmlns:c15="http://schemas.microsoft.com/office/drawing/2012/chart" uri="{02D57815-91ED-43cb-92C2-25804820EDAC}">
              <c15:datalabelsRange>
                <c15:f>Arbeitsbereich!$E$110</c15:f>
                <c15:dlblRangeCache>
                  <c:ptCount val="1"/>
                  <c:pt idx="0">
                    <c:v>€ 0,0 Mio</c:v>
                  </c:pt>
                </c15:dlblRangeCache>
              </c15:datalabelsRange>
            </c:ext>
            <c:ext xmlns:c16="http://schemas.microsoft.com/office/drawing/2014/chart" uri="{C3380CC4-5D6E-409C-BE32-E72D297353CC}">
              <c16:uniqueId val="{00000003-1B3B-438C-A527-6B2CFA8638E6}"/>
            </c:ext>
          </c:extLst>
        </c:ser>
        <c:dLbls>
          <c:showLegendKey val="0"/>
          <c:showVal val="0"/>
          <c:showCatName val="0"/>
          <c:showSerName val="0"/>
          <c:showPercent val="0"/>
          <c:showBubbleSize val="0"/>
        </c:dLbls>
        <c:gapWidth val="182"/>
        <c:axId val="993924319"/>
        <c:axId val="993915199"/>
      </c:barChart>
      <c:catAx>
        <c:axId val="993924319"/>
        <c:scaling>
          <c:orientation val="minMax"/>
        </c:scaling>
        <c:delete val="1"/>
        <c:axPos val="l"/>
        <c:numFmt formatCode="General" sourceLinked="1"/>
        <c:majorTickMark val="none"/>
        <c:minorTickMark val="none"/>
        <c:tickLblPos val="nextTo"/>
        <c:crossAx val="993915199"/>
        <c:crosses val="autoZero"/>
        <c:auto val="1"/>
        <c:lblAlgn val="ctr"/>
        <c:lblOffset val="100"/>
        <c:noMultiLvlLbl val="0"/>
      </c:catAx>
      <c:valAx>
        <c:axId val="993915199"/>
        <c:scaling>
          <c:orientation val="minMax"/>
        </c:scaling>
        <c:delete val="1"/>
        <c:axPos val="b"/>
        <c:numFmt formatCode="#\ ##0_ ;\-#\ ##0\ " sourceLinked="1"/>
        <c:majorTickMark val="none"/>
        <c:minorTickMark val="none"/>
        <c:tickLblPos val="nextTo"/>
        <c:crossAx val="993924319"/>
        <c:crosses val="autoZero"/>
        <c:crossBetween val="between"/>
      </c:valAx>
      <c:spPr>
        <a:noFill/>
        <a:ln>
          <a:noFill/>
        </a:ln>
        <a:effectLst/>
      </c:spPr>
    </c:plotArea>
    <c:legend>
      <c:legendPos val="r"/>
      <c:layout>
        <c:manualLayout>
          <c:xMode val="edge"/>
          <c:yMode val="edge"/>
          <c:x val="0.83400899550224872"/>
          <c:y val="0.27495478001330526"/>
          <c:w val="0.16599100449775112"/>
          <c:h val="0.499952172896776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292746913580245"/>
          <c:y val="0.35088620792374148"/>
          <c:w val="0.22982407407407407"/>
          <c:h val="0.55453529937444146"/>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5242-480F-BE83-FD364E8D3556}"/>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5242-480F-BE83-FD364E8D3556}"/>
              </c:ext>
            </c:extLst>
          </c:dPt>
          <c:val>
            <c:numRef>
              <c:f>Arbeitsbereich!$E$20:$E$21</c:f>
              <c:numCache>
                <c:formatCode>0%</c:formatCode>
                <c:ptCount val="2"/>
                <c:pt idx="0">
                  <c:v>1</c:v>
                </c:pt>
                <c:pt idx="1">
                  <c:v>0</c:v>
                </c:pt>
              </c:numCache>
            </c:numRef>
          </c:val>
          <c:extLst>
            <c:ext xmlns:c16="http://schemas.microsoft.com/office/drawing/2014/chart" uri="{C3380CC4-5D6E-409C-BE32-E72D297353CC}">
              <c16:uniqueId val="{00000004-5242-480F-BE83-FD364E8D355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AT">
                <a:solidFill>
                  <a:srgbClr val="831933"/>
                </a:solidFill>
                <a:latin typeface="Arial" panose="020B0604020202020204" pitchFamily="34" charset="0"/>
                <a:cs typeface="Arial" panose="020B0604020202020204" pitchFamily="34" charset="0"/>
              </a:rPr>
              <a:t>PROJEKTAUFTRAGGEBER:IN</a:t>
            </a:r>
          </a:p>
        </c:rich>
      </c:tx>
      <c:layout>
        <c:manualLayout>
          <c:xMode val="edge"/>
          <c:yMode val="edge"/>
          <c:x val="5.6392140171667741E-3"/>
          <c:y val="6.3762029746281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2.5134649910233394E-2"/>
          <c:y val="0.54354947567038003"/>
          <c:w val="0.92100538599640935"/>
          <c:h val="0.3550680358503574"/>
        </c:manualLayout>
      </c:layout>
      <c:barChart>
        <c:barDir val="bar"/>
        <c:grouping val="percentStacked"/>
        <c:varyColors val="0"/>
        <c:ser>
          <c:idx val="0"/>
          <c:order val="0"/>
          <c:tx>
            <c:strRef>
              <c:f>Arbeitsbereich!$C$94</c:f>
              <c:strCache>
                <c:ptCount val="1"/>
                <c:pt idx="0">
                  <c:v>Rektor</c:v>
                </c:pt>
              </c:strCache>
            </c:strRef>
          </c:tx>
          <c:spPr>
            <a:solidFill>
              <a:srgbClr val="571022"/>
            </a:solidFill>
            <a:ln>
              <a:noFill/>
            </a:ln>
            <a:effectLst/>
          </c:spPr>
          <c:invertIfNegative val="0"/>
          <c:dLbls>
            <c:dLbl>
              <c:idx val="0"/>
              <c:tx>
                <c:rich>
                  <a:bodyPr/>
                  <a:lstStyle/>
                  <a:p>
                    <a:fld id="{CA461452-056F-4D0E-9A3B-9A085A2A6205}" type="CELLRANGE">
                      <a:rPr lang="en-US">
                        <a:solidFill>
                          <a:schemeClr val="bg1"/>
                        </a:solidFill>
                      </a:rPr>
                      <a:pPr/>
                      <a:t>[ZELLBEREICH]</a:t>
                    </a:fld>
                    <a:endParaRPr lang="de-AT"/>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BB3-46C9-8D10-891F21083F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Arbeitsbereich!$D$94</c:f>
              <c:numCache>
                <c:formatCode>General</c:formatCode>
                <c:ptCount val="1"/>
                <c:pt idx="0">
                  <c:v>1</c:v>
                </c:pt>
              </c:numCache>
            </c:numRef>
          </c:val>
          <c:extLst>
            <c:ext xmlns:c15="http://schemas.microsoft.com/office/drawing/2012/chart" uri="{02D57815-91ED-43cb-92C2-25804820EDAC}">
              <c15:datalabelsRange>
                <c15:f>Arbeitsbereich!$E$94</c15:f>
                <c15:dlblRangeCache>
                  <c:ptCount val="1"/>
                  <c:pt idx="0">
                    <c:v>25%</c:v>
                  </c:pt>
                </c15:dlblRangeCache>
              </c15:datalabelsRange>
            </c:ext>
            <c:ext xmlns:c16="http://schemas.microsoft.com/office/drawing/2014/chart" uri="{C3380CC4-5D6E-409C-BE32-E72D297353CC}">
              <c16:uniqueId val="{00000001-ABB3-46C9-8D10-891F21083FFA}"/>
            </c:ext>
          </c:extLst>
        </c:ser>
        <c:ser>
          <c:idx val="1"/>
          <c:order val="1"/>
          <c:tx>
            <c:strRef>
              <c:f>Arbeitsbereich!$C$95</c:f>
              <c:strCache>
                <c:ptCount val="1"/>
                <c:pt idx="0">
                  <c:v>VRLK</c:v>
                </c:pt>
              </c:strCache>
            </c:strRef>
          </c:tx>
          <c:spPr>
            <a:solidFill>
              <a:srgbClr val="83193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4A7B584-5D57-4FC7-AF59-3205AE9ED85C}" type="CELLRANGE">
                      <a:rPr lang="en-US"/>
                      <a:pPr>
                        <a:defRPr>
                          <a:solidFill>
                            <a:schemeClr val="bg1"/>
                          </a:solidFill>
                        </a:defRPr>
                      </a:pPr>
                      <a:t>[ZELLBEREICH]</a:t>
                    </a:fld>
                    <a:endParaRPr lang="de-AT"/>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BB3-46C9-8D10-891F21083F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Arbeitsbereich!$D$95</c:f>
              <c:numCache>
                <c:formatCode>General</c:formatCode>
                <c:ptCount val="1"/>
                <c:pt idx="0">
                  <c:v>2</c:v>
                </c:pt>
              </c:numCache>
            </c:numRef>
          </c:val>
          <c:extLst>
            <c:ext xmlns:c15="http://schemas.microsoft.com/office/drawing/2012/chart" uri="{02D57815-91ED-43cb-92C2-25804820EDAC}">
              <c15:datalabelsRange>
                <c15:f>Arbeitsbereich!$E$95</c15:f>
                <c15:dlblRangeCache>
                  <c:ptCount val="1"/>
                  <c:pt idx="0">
                    <c:v>50%</c:v>
                  </c:pt>
                </c15:dlblRangeCache>
              </c15:datalabelsRange>
            </c:ext>
            <c:ext xmlns:c16="http://schemas.microsoft.com/office/drawing/2014/chart" uri="{C3380CC4-5D6E-409C-BE32-E72D297353CC}">
              <c16:uniqueId val="{00000003-ABB3-46C9-8D10-891F21083FFA}"/>
            </c:ext>
          </c:extLst>
        </c:ser>
        <c:ser>
          <c:idx val="2"/>
          <c:order val="2"/>
          <c:tx>
            <c:strRef>
              <c:f>Arbeitsbereich!$C$96</c:f>
              <c:strCache>
                <c:ptCount val="1"/>
                <c:pt idx="0">
                  <c:v>VRFDI</c:v>
                </c:pt>
              </c:strCache>
            </c:strRef>
          </c:tx>
          <c:spPr>
            <a:solidFill>
              <a:srgbClr val="E26785"/>
            </a:solidFill>
            <a:ln>
              <a:noFill/>
            </a:ln>
            <a:effectLst/>
          </c:spPr>
          <c:invertIfNegative val="0"/>
          <c:dLbls>
            <c:dLbl>
              <c:idx val="0"/>
              <c:tx>
                <c:rich>
                  <a:bodyPr/>
                  <a:lstStyle/>
                  <a:p>
                    <a:fld id="{64219A34-9F81-4EE1-823D-EB7219B93F15}" type="CELLRANGE">
                      <a:rPr lang="en-US"/>
                      <a:pPr/>
                      <a:t>[ZELLBEREICH]</a:t>
                    </a:fld>
                    <a:endParaRPr lang="de-AT"/>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BB3-46C9-8D10-891F21083F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Arbeitsbereich!$D$96</c:f>
              <c:numCache>
                <c:formatCode>General</c:formatCode>
                <c:ptCount val="1"/>
                <c:pt idx="0">
                  <c:v>1</c:v>
                </c:pt>
              </c:numCache>
            </c:numRef>
          </c:val>
          <c:extLst>
            <c:ext xmlns:c15="http://schemas.microsoft.com/office/drawing/2012/chart" uri="{02D57815-91ED-43cb-92C2-25804820EDAC}">
              <c15:datalabelsRange>
                <c15:f>Arbeitsbereich!$E$96</c15:f>
                <c15:dlblRangeCache>
                  <c:ptCount val="1"/>
                  <c:pt idx="0">
                    <c:v>25%</c:v>
                  </c:pt>
                </c15:dlblRangeCache>
              </c15:datalabelsRange>
            </c:ext>
            <c:ext xmlns:c16="http://schemas.microsoft.com/office/drawing/2014/chart" uri="{C3380CC4-5D6E-409C-BE32-E72D297353CC}">
              <c16:uniqueId val="{00000005-ABB3-46C9-8D10-891F21083FFA}"/>
            </c:ext>
          </c:extLst>
        </c:ser>
        <c:ser>
          <c:idx val="3"/>
          <c:order val="3"/>
          <c:tx>
            <c:strRef>
              <c:f>Arbeitsbereich!$C$97</c:f>
              <c:strCache>
                <c:ptCount val="1"/>
                <c:pt idx="0">
                  <c:v>VRFIN</c:v>
                </c:pt>
              </c:strCache>
            </c:strRef>
          </c:tx>
          <c:spPr>
            <a:solidFill>
              <a:srgbClr val="EC99AE"/>
            </a:solidFill>
            <a:ln>
              <a:noFill/>
            </a:ln>
            <a:effectLst/>
          </c:spPr>
          <c:invertIfNegative val="0"/>
          <c:dLbls>
            <c:dLbl>
              <c:idx val="0"/>
              <c:tx>
                <c:rich>
                  <a:bodyPr/>
                  <a:lstStyle/>
                  <a:p>
                    <a:fld id="{5BCF2DE6-620A-4AD7-A3BF-FE111D093BD2}" type="CELLRANGE">
                      <a:rPr lang="en-US"/>
                      <a:pPr/>
                      <a:t>[ZELLBEREICH]</a:t>
                    </a:fld>
                    <a:endParaRPr lang="de-AT"/>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BB3-46C9-8D10-891F21083F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Arbeitsbereich!$D$97</c:f>
              <c:numCache>
                <c:formatCode>General</c:formatCode>
                <c:ptCount val="1"/>
                <c:pt idx="0">
                  <c:v>0</c:v>
                </c:pt>
              </c:numCache>
            </c:numRef>
          </c:val>
          <c:extLst>
            <c:ext xmlns:c15="http://schemas.microsoft.com/office/drawing/2012/chart" uri="{02D57815-91ED-43cb-92C2-25804820EDAC}">
              <c15:datalabelsRange>
                <c15:f>Arbeitsbereich!$E$97</c15:f>
                <c15:dlblRangeCache>
                  <c:ptCount val="1"/>
                  <c:pt idx="0">
                    <c:v>0%</c:v>
                  </c:pt>
                </c15:dlblRangeCache>
              </c15:datalabelsRange>
            </c:ext>
            <c:ext xmlns:c16="http://schemas.microsoft.com/office/drawing/2014/chart" uri="{C3380CC4-5D6E-409C-BE32-E72D297353CC}">
              <c16:uniqueId val="{00000007-ABB3-46C9-8D10-891F21083FFA}"/>
            </c:ext>
          </c:extLst>
        </c:ser>
        <c:dLbls>
          <c:showLegendKey val="0"/>
          <c:showVal val="0"/>
          <c:showCatName val="0"/>
          <c:showSerName val="0"/>
          <c:showPercent val="0"/>
          <c:showBubbleSize val="0"/>
        </c:dLbls>
        <c:gapWidth val="150"/>
        <c:overlap val="100"/>
        <c:axId val="945456111"/>
        <c:axId val="945452271"/>
      </c:barChart>
      <c:catAx>
        <c:axId val="945456111"/>
        <c:scaling>
          <c:orientation val="minMax"/>
        </c:scaling>
        <c:delete val="1"/>
        <c:axPos val="l"/>
        <c:numFmt formatCode="General" sourceLinked="1"/>
        <c:majorTickMark val="none"/>
        <c:minorTickMark val="none"/>
        <c:tickLblPos val="nextTo"/>
        <c:crossAx val="945452271"/>
        <c:crosses val="autoZero"/>
        <c:auto val="1"/>
        <c:lblAlgn val="ctr"/>
        <c:lblOffset val="100"/>
        <c:noMultiLvlLbl val="0"/>
      </c:catAx>
      <c:valAx>
        <c:axId val="945452271"/>
        <c:scaling>
          <c:orientation val="minMax"/>
        </c:scaling>
        <c:delete val="1"/>
        <c:axPos val="b"/>
        <c:numFmt formatCode="0%" sourceLinked="1"/>
        <c:majorTickMark val="none"/>
        <c:minorTickMark val="none"/>
        <c:tickLblPos val="nextTo"/>
        <c:crossAx val="945456111"/>
        <c:crosses val="autoZero"/>
        <c:crossBetween val="between"/>
      </c:valAx>
      <c:spPr>
        <a:noFill/>
        <a:ln>
          <a:noFill/>
        </a:ln>
        <a:effectLst/>
      </c:spPr>
    </c:plotArea>
    <c:legend>
      <c:legendPos val="t"/>
      <c:layout>
        <c:manualLayout>
          <c:xMode val="edge"/>
          <c:yMode val="edge"/>
          <c:x val="0.22861289636092785"/>
          <c:y val="0.36533333333333334"/>
          <c:w val="0.54277420727814429"/>
          <c:h val="0.150001049868766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831933"/>
              </a:solidFill>
              <a:ln>
                <a:noFill/>
              </a:ln>
              <a:effectLst/>
            </c:spPr>
            <c:extLst>
              <c:ext xmlns:c16="http://schemas.microsoft.com/office/drawing/2014/chart" uri="{C3380CC4-5D6E-409C-BE32-E72D297353CC}">
                <c16:uniqueId val="{00000001-69AD-4871-874D-8A4335E93896}"/>
              </c:ext>
            </c:extLst>
          </c:dPt>
          <c:dPt>
            <c:idx val="1"/>
            <c:invertIfNegative val="0"/>
            <c:bubble3D val="0"/>
            <c:spPr>
              <a:solidFill>
                <a:srgbClr val="E26785"/>
              </a:solidFill>
              <a:ln>
                <a:noFill/>
              </a:ln>
              <a:effectLst/>
            </c:spPr>
            <c:extLst>
              <c:ext xmlns:c16="http://schemas.microsoft.com/office/drawing/2014/chart" uri="{C3380CC4-5D6E-409C-BE32-E72D297353CC}">
                <c16:uniqueId val="{00000003-69AD-4871-874D-8A4335E93896}"/>
              </c:ext>
            </c:extLst>
          </c:dPt>
          <c:dPt>
            <c:idx val="2"/>
            <c:invertIfNegative val="0"/>
            <c:bubble3D val="0"/>
            <c:spPr>
              <a:solidFill>
                <a:srgbClr val="EC99AE"/>
              </a:solidFill>
              <a:ln>
                <a:noFill/>
              </a:ln>
              <a:effectLst/>
            </c:spPr>
            <c:extLst>
              <c:ext xmlns:c16="http://schemas.microsoft.com/office/drawing/2014/chart" uri="{C3380CC4-5D6E-409C-BE32-E72D297353CC}">
                <c16:uniqueId val="{00000005-69AD-4871-874D-8A4335E93896}"/>
              </c:ext>
            </c:extLst>
          </c:dPt>
          <c:dLbls>
            <c:dLbl>
              <c:idx val="0"/>
              <c:tx>
                <c:rich>
                  <a:bodyPr/>
                  <a:lstStyle/>
                  <a:p>
                    <a:fld id="{1675A1D9-703E-45BC-988D-A0ED478C00FA}"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9AD-4871-874D-8A4335E93896}"/>
                </c:ext>
              </c:extLst>
            </c:dLbl>
            <c:dLbl>
              <c:idx val="1"/>
              <c:tx>
                <c:rich>
                  <a:bodyPr/>
                  <a:lstStyle/>
                  <a:p>
                    <a:fld id="{DAF525A1-C7BD-4A9E-B1B5-88D73CE242D6}"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9AD-4871-874D-8A4335E93896}"/>
                </c:ext>
              </c:extLst>
            </c:dLbl>
            <c:dLbl>
              <c:idx val="2"/>
              <c:tx>
                <c:rich>
                  <a:bodyPr/>
                  <a:lstStyle/>
                  <a:p>
                    <a:fld id="{FC61F7AE-8BD7-4974-9D26-A3CAF05EA92D}"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9AD-4871-874D-8A4335E938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Arbeitsbereich!$C$117:$C$119</c:f>
              <c:strCache>
                <c:ptCount val="3"/>
                <c:pt idx="0">
                  <c:v>Lange Projektlaufzeit (&gt;12 Monate)</c:v>
                </c:pt>
                <c:pt idx="1">
                  <c:v>Mittlere Projektlaufzeit (6 - 12 Monate)</c:v>
                </c:pt>
                <c:pt idx="2">
                  <c:v>Kurze Projektlaufzeit (&lt;6 Monate)</c:v>
                </c:pt>
              </c:strCache>
            </c:strRef>
          </c:cat>
          <c:val>
            <c:numRef>
              <c:f>Arbeitsbereich!$F$117:$F$119</c:f>
              <c:numCache>
                <c:formatCode>General</c:formatCode>
                <c:ptCount val="3"/>
                <c:pt idx="0">
                  <c:v>3</c:v>
                </c:pt>
                <c:pt idx="1">
                  <c:v>0</c:v>
                </c:pt>
                <c:pt idx="2">
                  <c:v>0</c:v>
                </c:pt>
              </c:numCache>
            </c:numRef>
          </c:val>
          <c:extLst>
            <c:ext xmlns:c15="http://schemas.microsoft.com/office/drawing/2012/chart" uri="{02D57815-91ED-43cb-92C2-25804820EDAC}">
              <c15:datalabelsRange>
                <c15:f>Arbeitsbereich!$G$117:$G$119</c15:f>
                <c15:dlblRangeCache>
                  <c:ptCount val="3"/>
                  <c:pt idx="0">
                    <c:v>75%</c:v>
                  </c:pt>
                  <c:pt idx="1">
                    <c:v>0%</c:v>
                  </c:pt>
                  <c:pt idx="2">
                    <c:v>0%</c:v>
                  </c:pt>
                </c15:dlblRangeCache>
              </c15:datalabelsRange>
            </c:ext>
            <c:ext xmlns:c16="http://schemas.microsoft.com/office/drawing/2014/chart" uri="{C3380CC4-5D6E-409C-BE32-E72D297353CC}">
              <c16:uniqueId val="{00000006-69AD-4871-874D-8A4335E93896}"/>
            </c:ext>
          </c:extLst>
        </c:ser>
        <c:dLbls>
          <c:showLegendKey val="0"/>
          <c:showVal val="0"/>
          <c:showCatName val="0"/>
          <c:showSerName val="0"/>
          <c:showPercent val="0"/>
          <c:showBubbleSize val="0"/>
        </c:dLbls>
        <c:gapWidth val="0"/>
        <c:axId val="218505711"/>
        <c:axId val="218506191"/>
      </c:barChart>
      <c:catAx>
        <c:axId val="2185057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crossAx val="218506191"/>
        <c:crosses val="autoZero"/>
        <c:auto val="1"/>
        <c:lblAlgn val="ctr"/>
        <c:lblOffset val="0"/>
        <c:tickLblSkip val="1"/>
        <c:noMultiLvlLbl val="0"/>
      </c:catAx>
      <c:valAx>
        <c:axId val="218506191"/>
        <c:scaling>
          <c:orientation val="minMax"/>
        </c:scaling>
        <c:delete val="1"/>
        <c:axPos val="b"/>
        <c:numFmt formatCode="General" sourceLinked="1"/>
        <c:majorTickMark val="none"/>
        <c:minorTickMark val="none"/>
        <c:tickLblPos val="nextTo"/>
        <c:crossAx val="21850571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Arbeitsbereich!$E$79</c:f>
              <c:strCache>
                <c:ptCount val="1"/>
                <c:pt idx="0">
                  <c:v>Sehr Gering</c:v>
                </c:pt>
              </c:strCache>
            </c:strRef>
          </c:tx>
          <c:spPr>
            <a:solidFill>
              <a:srgbClr val="339966"/>
            </a:solidFill>
            <a:ln>
              <a:noFill/>
            </a:ln>
            <a:effectLst/>
          </c:spPr>
          <c:cat>
            <c:strRef>
              <c:f>Arbeitsbereich!$F$78:$O$78</c:f>
              <c:strCache>
                <c:ptCount val="10"/>
                <c:pt idx="0">
                  <c:v>initial</c:v>
                </c:pt>
                <c:pt idx="1">
                  <c:v>Q4/26</c:v>
                </c:pt>
                <c:pt idx="2">
                  <c:v>Q1/26</c:v>
                </c:pt>
                <c:pt idx="3">
                  <c:v>Q2/26</c:v>
                </c:pt>
                <c:pt idx="4">
                  <c:v>Q3/26</c:v>
                </c:pt>
                <c:pt idx="5">
                  <c:v>Q4/26</c:v>
                </c:pt>
                <c:pt idx="6">
                  <c:v>Q1/27</c:v>
                </c:pt>
                <c:pt idx="7">
                  <c:v>Q2/27</c:v>
                </c:pt>
                <c:pt idx="8">
                  <c:v>Q3/27</c:v>
                </c:pt>
                <c:pt idx="9">
                  <c:v>Q4/27</c:v>
                </c:pt>
              </c:strCache>
            </c:strRef>
          </c:cat>
          <c:val>
            <c:numRef>
              <c:f>Arbeitsbereich!$F$79:$O$79</c:f>
              <c:numCache>
                <c:formatCode>General</c:formatCode>
                <c:ptCount val="10"/>
                <c:pt idx="0">
                  <c:v>0</c:v>
                </c:pt>
                <c:pt idx="1">
                  <c:v>0</c:v>
                </c:pt>
              </c:numCache>
            </c:numRef>
          </c:val>
          <c:extLst>
            <c:ext xmlns:c16="http://schemas.microsoft.com/office/drawing/2014/chart" uri="{C3380CC4-5D6E-409C-BE32-E72D297353CC}">
              <c16:uniqueId val="{00000000-5C1E-486C-8881-DF82C1C45E06}"/>
            </c:ext>
          </c:extLst>
        </c:ser>
        <c:ser>
          <c:idx val="1"/>
          <c:order val="1"/>
          <c:tx>
            <c:strRef>
              <c:f>Arbeitsbereich!$E$80</c:f>
              <c:strCache>
                <c:ptCount val="1"/>
                <c:pt idx="0">
                  <c:v>Gering</c:v>
                </c:pt>
              </c:strCache>
            </c:strRef>
          </c:tx>
          <c:spPr>
            <a:solidFill>
              <a:srgbClr val="61C59F"/>
            </a:solidFill>
            <a:ln>
              <a:noFill/>
            </a:ln>
            <a:effectLst/>
          </c:spPr>
          <c:cat>
            <c:strRef>
              <c:f>Arbeitsbereich!$F$78:$O$78</c:f>
              <c:strCache>
                <c:ptCount val="10"/>
                <c:pt idx="0">
                  <c:v>initial</c:v>
                </c:pt>
                <c:pt idx="1">
                  <c:v>Q4/26</c:v>
                </c:pt>
                <c:pt idx="2">
                  <c:v>Q1/26</c:v>
                </c:pt>
                <c:pt idx="3">
                  <c:v>Q2/26</c:v>
                </c:pt>
                <c:pt idx="4">
                  <c:v>Q3/26</c:v>
                </c:pt>
                <c:pt idx="5">
                  <c:v>Q4/26</c:v>
                </c:pt>
                <c:pt idx="6">
                  <c:v>Q1/27</c:v>
                </c:pt>
                <c:pt idx="7">
                  <c:v>Q2/27</c:v>
                </c:pt>
                <c:pt idx="8">
                  <c:v>Q3/27</c:v>
                </c:pt>
                <c:pt idx="9">
                  <c:v>Q4/27</c:v>
                </c:pt>
              </c:strCache>
            </c:strRef>
          </c:cat>
          <c:val>
            <c:numRef>
              <c:f>Arbeitsbereich!$F$80:$O$80</c:f>
              <c:numCache>
                <c:formatCode>General</c:formatCode>
                <c:ptCount val="10"/>
                <c:pt idx="0">
                  <c:v>1</c:v>
                </c:pt>
                <c:pt idx="1">
                  <c:v>1</c:v>
                </c:pt>
              </c:numCache>
            </c:numRef>
          </c:val>
          <c:extLst>
            <c:ext xmlns:c16="http://schemas.microsoft.com/office/drawing/2014/chart" uri="{C3380CC4-5D6E-409C-BE32-E72D297353CC}">
              <c16:uniqueId val="{00000001-5C1E-486C-8881-DF82C1C45E06}"/>
            </c:ext>
          </c:extLst>
        </c:ser>
        <c:ser>
          <c:idx val="2"/>
          <c:order val="2"/>
          <c:tx>
            <c:strRef>
              <c:f>Arbeitsbereich!$E$81</c:f>
              <c:strCache>
                <c:ptCount val="1"/>
                <c:pt idx="0">
                  <c:v>Mittel</c:v>
                </c:pt>
              </c:strCache>
            </c:strRef>
          </c:tx>
          <c:spPr>
            <a:solidFill>
              <a:srgbClr val="FFFF99"/>
            </a:solidFill>
            <a:ln>
              <a:noFill/>
            </a:ln>
            <a:effectLst/>
          </c:spPr>
          <c:cat>
            <c:strRef>
              <c:f>Arbeitsbereich!$F$78:$O$78</c:f>
              <c:strCache>
                <c:ptCount val="10"/>
                <c:pt idx="0">
                  <c:v>initial</c:v>
                </c:pt>
                <c:pt idx="1">
                  <c:v>Q4/26</c:v>
                </c:pt>
                <c:pt idx="2">
                  <c:v>Q1/26</c:v>
                </c:pt>
                <c:pt idx="3">
                  <c:v>Q2/26</c:v>
                </c:pt>
                <c:pt idx="4">
                  <c:v>Q3/26</c:v>
                </c:pt>
                <c:pt idx="5">
                  <c:v>Q4/26</c:v>
                </c:pt>
                <c:pt idx="6">
                  <c:v>Q1/27</c:v>
                </c:pt>
                <c:pt idx="7">
                  <c:v>Q2/27</c:v>
                </c:pt>
                <c:pt idx="8">
                  <c:v>Q3/27</c:v>
                </c:pt>
                <c:pt idx="9">
                  <c:v>Q4/27</c:v>
                </c:pt>
              </c:strCache>
            </c:strRef>
          </c:cat>
          <c:val>
            <c:numRef>
              <c:f>Arbeitsbereich!$F$81:$O$81</c:f>
              <c:numCache>
                <c:formatCode>General</c:formatCode>
                <c:ptCount val="10"/>
                <c:pt idx="0">
                  <c:v>1</c:v>
                </c:pt>
                <c:pt idx="1">
                  <c:v>2</c:v>
                </c:pt>
              </c:numCache>
            </c:numRef>
          </c:val>
          <c:extLst>
            <c:ext xmlns:c16="http://schemas.microsoft.com/office/drawing/2014/chart" uri="{C3380CC4-5D6E-409C-BE32-E72D297353CC}">
              <c16:uniqueId val="{00000002-5C1E-486C-8881-DF82C1C45E06}"/>
            </c:ext>
          </c:extLst>
        </c:ser>
        <c:ser>
          <c:idx val="3"/>
          <c:order val="3"/>
          <c:tx>
            <c:strRef>
              <c:f>Arbeitsbereich!$E$82</c:f>
              <c:strCache>
                <c:ptCount val="1"/>
                <c:pt idx="0">
                  <c:v>Hoch</c:v>
                </c:pt>
              </c:strCache>
            </c:strRef>
          </c:tx>
          <c:spPr>
            <a:solidFill>
              <a:srgbClr val="E26785"/>
            </a:solidFill>
            <a:ln>
              <a:noFill/>
            </a:ln>
            <a:effectLst/>
          </c:spPr>
          <c:cat>
            <c:strRef>
              <c:f>Arbeitsbereich!$F$78:$O$78</c:f>
              <c:strCache>
                <c:ptCount val="10"/>
                <c:pt idx="0">
                  <c:v>initial</c:v>
                </c:pt>
                <c:pt idx="1">
                  <c:v>Q4/26</c:v>
                </c:pt>
                <c:pt idx="2">
                  <c:v>Q1/26</c:v>
                </c:pt>
                <c:pt idx="3">
                  <c:v>Q2/26</c:v>
                </c:pt>
                <c:pt idx="4">
                  <c:v>Q3/26</c:v>
                </c:pt>
                <c:pt idx="5">
                  <c:v>Q4/26</c:v>
                </c:pt>
                <c:pt idx="6">
                  <c:v>Q1/27</c:v>
                </c:pt>
                <c:pt idx="7">
                  <c:v>Q2/27</c:v>
                </c:pt>
                <c:pt idx="8">
                  <c:v>Q3/27</c:v>
                </c:pt>
                <c:pt idx="9">
                  <c:v>Q4/27</c:v>
                </c:pt>
              </c:strCache>
            </c:strRef>
          </c:cat>
          <c:val>
            <c:numRef>
              <c:f>Arbeitsbereich!$F$82:$O$82</c:f>
              <c:numCache>
                <c:formatCode>General</c:formatCode>
                <c:ptCount val="10"/>
                <c:pt idx="0">
                  <c:v>1</c:v>
                </c:pt>
                <c:pt idx="1">
                  <c:v>1</c:v>
                </c:pt>
              </c:numCache>
            </c:numRef>
          </c:val>
          <c:extLst>
            <c:ext xmlns:c16="http://schemas.microsoft.com/office/drawing/2014/chart" uri="{C3380CC4-5D6E-409C-BE32-E72D297353CC}">
              <c16:uniqueId val="{00000003-5C1E-486C-8881-DF82C1C45E06}"/>
            </c:ext>
          </c:extLst>
        </c:ser>
        <c:ser>
          <c:idx val="4"/>
          <c:order val="4"/>
          <c:tx>
            <c:strRef>
              <c:f>Arbeitsbereich!$E$83</c:f>
              <c:strCache>
                <c:ptCount val="1"/>
                <c:pt idx="0">
                  <c:v>Sehr Hoch</c:v>
                </c:pt>
              </c:strCache>
            </c:strRef>
          </c:tx>
          <c:spPr>
            <a:solidFill>
              <a:srgbClr val="831933"/>
            </a:solidFill>
            <a:ln>
              <a:noFill/>
            </a:ln>
            <a:effectLst/>
          </c:spPr>
          <c:cat>
            <c:strRef>
              <c:f>Arbeitsbereich!$F$78:$O$78</c:f>
              <c:strCache>
                <c:ptCount val="10"/>
                <c:pt idx="0">
                  <c:v>initial</c:v>
                </c:pt>
                <c:pt idx="1">
                  <c:v>Q4/26</c:v>
                </c:pt>
                <c:pt idx="2">
                  <c:v>Q1/26</c:v>
                </c:pt>
                <c:pt idx="3">
                  <c:v>Q2/26</c:v>
                </c:pt>
                <c:pt idx="4">
                  <c:v>Q3/26</c:v>
                </c:pt>
                <c:pt idx="5">
                  <c:v>Q4/26</c:v>
                </c:pt>
                <c:pt idx="6">
                  <c:v>Q1/27</c:v>
                </c:pt>
                <c:pt idx="7">
                  <c:v>Q2/27</c:v>
                </c:pt>
                <c:pt idx="8">
                  <c:v>Q3/27</c:v>
                </c:pt>
                <c:pt idx="9">
                  <c:v>Q4/27</c:v>
                </c:pt>
              </c:strCache>
            </c:strRef>
          </c:cat>
          <c:val>
            <c:numRef>
              <c:f>Arbeitsbereich!$F$83:$O$83</c:f>
              <c:numCache>
                <c:formatCode>General</c:formatCode>
                <c:ptCount val="10"/>
                <c:pt idx="0">
                  <c:v>1</c:v>
                </c:pt>
                <c:pt idx="1">
                  <c:v>0</c:v>
                </c:pt>
              </c:numCache>
            </c:numRef>
          </c:val>
          <c:extLst>
            <c:ext xmlns:c16="http://schemas.microsoft.com/office/drawing/2014/chart" uri="{C3380CC4-5D6E-409C-BE32-E72D297353CC}">
              <c16:uniqueId val="{00000004-5C1E-486C-8881-DF82C1C45E06}"/>
            </c:ext>
          </c:extLst>
        </c:ser>
        <c:dLbls>
          <c:showLegendKey val="0"/>
          <c:showVal val="0"/>
          <c:showCatName val="0"/>
          <c:showSerName val="0"/>
          <c:showPercent val="0"/>
          <c:showBubbleSize val="0"/>
        </c:dLbls>
        <c:axId val="1082353663"/>
        <c:axId val="1082355103"/>
      </c:areaChart>
      <c:catAx>
        <c:axId val="108235366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82355103"/>
        <c:crosses val="autoZero"/>
        <c:auto val="1"/>
        <c:lblAlgn val="ctr"/>
        <c:lblOffset val="100"/>
        <c:noMultiLvlLbl val="0"/>
      </c:catAx>
      <c:valAx>
        <c:axId val="1082355103"/>
        <c:scaling>
          <c:orientation val="minMax"/>
          <c:max val="115"/>
        </c:scaling>
        <c:delete val="1"/>
        <c:axPos val="l"/>
        <c:majorGridlines>
          <c:spPr>
            <a:ln w="9525" cap="flat" cmpd="sng" algn="ctr">
              <a:noFill/>
              <a:round/>
            </a:ln>
            <a:effectLst/>
          </c:spPr>
        </c:majorGridlines>
        <c:numFmt formatCode="General" sourceLinked="0"/>
        <c:majorTickMark val="out"/>
        <c:minorTickMark val="none"/>
        <c:tickLblPos val="nextTo"/>
        <c:crossAx val="1082353663"/>
        <c:crosses val="autoZero"/>
        <c:crossBetween val="midCat"/>
        <c:majorUnit val="5"/>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Arbeitsbereich!$C$124</c:f>
              <c:strCache>
                <c:ptCount val="1"/>
                <c:pt idx="0">
                  <c:v>Gering</c:v>
                </c:pt>
              </c:strCache>
            </c:strRef>
          </c:tx>
          <c:spPr>
            <a:solidFill>
              <a:srgbClr val="F5CCD6"/>
            </a:solidFill>
            <a:ln>
              <a:noFill/>
            </a:ln>
            <a:effectLst/>
          </c:spPr>
          <c:invertIfNegative val="0"/>
          <c:dLbls>
            <c:dLbl>
              <c:idx val="0"/>
              <c:tx>
                <c:rich>
                  <a:bodyPr/>
                  <a:lstStyle/>
                  <a:p>
                    <a:fld id="{3CACDD9A-FD52-4E6E-9A83-D1481BA0189B}"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538-4499-93C5-3E1CB5A331D6}"/>
                </c:ext>
              </c:extLst>
            </c:dLbl>
            <c:dLbl>
              <c:idx val="1"/>
              <c:tx>
                <c:rich>
                  <a:bodyPr/>
                  <a:lstStyle/>
                  <a:p>
                    <a:fld id="{07C37F54-A2F8-439A-AC5A-E503C75C1CAE}"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538-4499-93C5-3E1CB5A331D6}"/>
                </c:ext>
              </c:extLst>
            </c:dLbl>
            <c:dLbl>
              <c:idx val="2"/>
              <c:tx>
                <c:rich>
                  <a:bodyPr/>
                  <a:lstStyle/>
                  <a:p>
                    <a:fld id="{E0BC1880-D7F1-4B33-AE17-FD51B4A90BB8}"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538-4499-93C5-3E1CB5A331D6}"/>
                </c:ext>
              </c:extLst>
            </c:dLbl>
            <c:dLbl>
              <c:idx val="3"/>
              <c:tx>
                <c:rich>
                  <a:bodyPr/>
                  <a:lstStyle/>
                  <a:p>
                    <a:fld id="{D8F11BAB-5A59-46F9-9B96-E1C2ADEB7428}"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538-4499-93C5-3E1CB5A331D6}"/>
                </c:ext>
              </c:extLst>
            </c:dLbl>
            <c:dLbl>
              <c:idx val="4"/>
              <c:tx>
                <c:rich>
                  <a:bodyPr/>
                  <a:lstStyle/>
                  <a:p>
                    <a:fld id="{F7307478-B0EF-4792-ABD6-4CC48226340F}"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538-4499-93C5-3E1CB5A331D6}"/>
                </c:ext>
              </c:extLst>
            </c:dLbl>
            <c:dLbl>
              <c:idx val="5"/>
              <c:tx>
                <c:rich>
                  <a:bodyPr/>
                  <a:lstStyle/>
                  <a:p>
                    <a:fld id="{347CC350-EFA9-45C8-98E5-D0C18B599664}"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538-4499-93C5-3E1CB5A331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Arbeitsbereich!$D$123:$I$123</c:f>
              <c:strCache>
                <c:ptCount val="6"/>
                <c:pt idx="0">
                  <c:v>Idee erfasst/noch nicht gestartet</c:v>
                </c:pt>
                <c:pt idx="1">
                  <c:v>Planung</c:v>
                </c:pt>
                <c:pt idx="2">
                  <c:v>In Arbeit</c:v>
                </c:pt>
                <c:pt idx="3">
                  <c:v>Abgeschlossen</c:v>
                </c:pt>
                <c:pt idx="4">
                  <c:v>Blockiert</c:v>
                </c:pt>
                <c:pt idx="5">
                  <c:v>Abgebrochen</c:v>
                </c:pt>
              </c:strCache>
            </c:strRef>
          </c:cat>
          <c:val>
            <c:numRef>
              <c:f>Arbeitsbereich!$D$124:$I$124</c:f>
              <c:numCache>
                <c:formatCode>General</c:formatCode>
                <c:ptCount val="6"/>
                <c:pt idx="0">
                  <c:v>1</c:v>
                </c:pt>
                <c:pt idx="1">
                  <c:v>1</c:v>
                </c:pt>
                <c:pt idx="2">
                  <c:v>0</c:v>
                </c:pt>
                <c:pt idx="3">
                  <c:v>0</c:v>
                </c:pt>
                <c:pt idx="4">
                  <c:v>0</c:v>
                </c:pt>
                <c:pt idx="5">
                  <c:v>0</c:v>
                </c:pt>
              </c:numCache>
            </c:numRef>
          </c:val>
          <c:extLst>
            <c:ext xmlns:c15="http://schemas.microsoft.com/office/drawing/2012/chart" uri="{02D57815-91ED-43cb-92C2-25804820EDAC}">
              <c15:datalabelsRange>
                <c15:f>Arbeitsbereich!$J$124:$O$124</c15:f>
                <c15:dlblRangeCache>
                  <c:ptCount val="6"/>
                  <c:pt idx="0">
                    <c:v>100%</c:v>
                  </c:pt>
                  <c:pt idx="1">
                    <c:v>50%</c:v>
                  </c:pt>
                  <c:pt idx="3">
                    <c:v>#DIV/0!</c:v>
                  </c:pt>
                </c15:dlblRangeCache>
              </c15:datalabelsRange>
            </c:ext>
            <c:ext xmlns:c16="http://schemas.microsoft.com/office/drawing/2014/chart" uri="{C3380CC4-5D6E-409C-BE32-E72D297353CC}">
              <c16:uniqueId val="{00000005-B538-4499-93C5-3E1CB5A331D6}"/>
            </c:ext>
          </c:extLst>
        </c:ser>
        <c:ser>
          <c:idx val="1"/>
          <c:order val="1"/>
          <c:tx>
            <c:strRef>
              <c:f>Arbeitsbereich!$C$125</c:f>
              <c:strCache>
                <c:ptCount val="1"/>
                <c:pt idx="0">
                  <c:v>Mittel</c:v>
                </c:pt>
              </c:strCache>
            </c:strRef>
          </c:tx>
          <c:spPr>
            <a:solidFill>
              <a:srgbClr val="E26785"/>
            </a:solidFill>
            <a:ln>
              <a:noFill/>
            </a:ln>
            <a:effectLst/>
          </c:spPr>
          <c:invertIfNegative val="0"/>
          <c:dLbls>
            <c:dLbl>
              <c:idx val="0"/>
              <c:tx>
                <c:rich>
                  <a:bodyPr/>
                  <a:lstStyle/>
                  <a:p>
                    <a:fld id="{190BE61E-482F-4C2B-AE0B-CEB501A5C1A8}"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B538-4499-93C5-3E1CB5A331D6}"/>
                </c:ext>
              </c:extLst>
            </c:dLbl>
            <c:dLbl>
              <c:idx val="1"/>
              <c:tx>
                <c:rich>
                  <a:bodyPr/>
                  <a:lstStyle/>
                  <a:p>
                    <a:fld id="{52E292BA-6493-412E-928D-965571272C32}"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538-4499-93C5-3E1CB5A331D6}"/>
                </c:ext>
              </c:extLst>
            </c:dLbl>
            <c:dLbl>
              <c:idx val="2"/>
              <c:tx>
                <c:rich>
                  <a:bodyPr/>
                  <a:lstStyle/>
                  <a:p>
                    <a:fld id="{780A6896-C82E-40F5-890A-539025FEB143}"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538-4499-93C5-3E1CB5A331D6}"/>
                </c:ext>
              </c:extLst>
            </c:dLbl>
            <c:dLbl>
              <c:idx val="3"/>
              <c:tx>
                <c:rich>
                  <a:bodyPr/>
                  <a:lstStyle/>
                  <a:p>
                    <a:fld id="{C629BCFB-7753-48BF-AD71-A897B9250040}"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538-4499-93C5-3E1CB5A331D6}"/>
                </c:ext>
              </c:extLst>
            </c:dLbl>
            <c:dLbl>
              <c:idx val="4"/>
              <c:tx>
                <c:rich>
                  <a:bodyPr/>
                  <a:lstStyle/>
                  <a:p>
                    <a:fld id="{3F053E1F-7A27-4961-9CF1-A1A5F7772E9B}"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538-4499-93C5-3E1CB5A331D6}"/>
                </c:ext>
              </c:extLst>
            </c:dLbl>
            <c:dLbl>
              <c:idx val="5"/>
              <c:layout>
                <c:manualLayout>
                  <c:x val="6.8754778772927502E-2"/>
                  <c:y val="8.6021505376344086E-3"/>
                </c:manualLayout>
              </c:layout>
              <c:tx>
                <c:rich>
                  <a:bodyPr/>
                  <a:lstStyle/>
                  <a:p>
                    <a:fld id="{3488FE3C-9B34-4E7B-8F50-57C9DCE39E4B}"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4B8-4EA8-AD4F-C8AC643897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Arbeitsbereich!$D$123:$I$123</c:f>
              <c:strCache>
                <c:ptCount val="6"/>
                <c:pt idx="0">
                  <c:v>Idee erfasst/noch nicht gestartet</c:v>
                </c:pt>
                <c:pt idx="1">
                  <c:v>Planung</c:v>
                </c:pt>
                <c:pt idx="2">
                  <c:v>In Arbeit</c:v>
                </c:pt>
                <c:pt idx="3">
                  <c:v>Abgeschlossen</c:v>
                </c:pt>
                <c:pt idx="4">
                  <c:v>Blockiert</c:v>
                </c:pt>
                <c:pt idx="5">
                  <c:v>Abgebrochen</c:v>
                </c:pt>
              </c:strCache>
            </c:strRef>
          </c:cat>
          <c:val>
            <c:numRef>
              <c:f>Arbeitsbereich!$D$125:$I$125</c:f>
              <c:numCache>
                <c:formatCode>General</c:formatCode>
                <c:ptCount val="6"/>
                <c:pt idx="0">
                  <c:v>0</c:v>
                </c:pt>
                <c:pt idx="1">
                  <c:v>0</c:v>
                </c:pt>
                <c:pt idx="2">
                  <c:v>1</c:v>
                </c:pt>
                <c:pt idx="3">
                  <c:v>0</c:v>
                </c:pt>
                <c:pt idx="4">
                  <c:v>0</c:v>
                </c:pt>
                <c:pt idx="5">
                  <c:v>0</c:v>
                </c:pt>
              </c:numCache>
            </c:numRef>
          </c:val>
          <c:extLst>
            <c:ext xmlns:c15="http://schemas.microsoft.com/office/drawing/2012/chart" uri="{02D57815-91ED-43cb-92C2-25804820EDAC}">
              <c15:datalabelsRange>
                <c15:f>Arbeitsbereich!$J$125:$O$125</c15:f>
                <c15:dlblRangeCache>
                  <c:ptCount val="6"/>
                  <c:pt idx="2">
                    <c:v>100%</c:v>
                  </c:pt>
                  <c:pt idx="3">
                    <c:v>#DIV/0!</c:v>
                  </c:pt>
                </c15:dlblRangeCache>
              </c15:datalabelsRange>
            </c:ext>
            <c:ext xmlns:c16="http://schemas.microsoft.com/office/drawing/2014/chart" uri="{C3380CC4-5D6E-409C-BE32-E72D297353CC}">
              <c16:uniqueId val="{0000000B-B538-4499-93C5-3E1CB5A331D6}"/>
            </c:ext>
          </c:extLst>
        </c:ser>
        <c:ser>
          <c:idx val="2"/>
          <c:order val="2"/>
          <c:tx>
            <c:strRef>
              <c:f>Arbeitsbereich!$C$126</c:f>
              <c:strCache>
                <c:ptCount val="1"/>
                <c:pt idx="0">
                  <c:v>Hoch</c:v>
                </c:pt>
              </c:strCache>
            </c:strRef>
          </c:tx>
          <c:spPr>
            <a:solidFill>
              <a:srgbClr val="831933"/>
            </a:solidFill>
            <a:ln>
              <a:noFill/>
            </a:ln>
            <a:effectLst/>
          </c:spPr>
          <c:invertIfNegative val="0"/>
          <c:dLbls>
            <c:dLbl>
              <c:idx val="0"/>
              <c:tx>
                <c:rich>
                  <a:bodyPr/>
                  <a:lstStyle/>
                  <a:p>
                    <a:fld id="{B035DDE3-0F71-4906-B7A1-B9BA99A4A905}"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B538-4499-93C5-3E1CB5A331D6}"/>
                </c:ext>
              </c:extLst>
            </c:dLbl>
            <c:dLbl>
              <c:idx val="1"/>
              <c:tx>
                <c:rich>
                  <a:bodyPr/>
                  <a:lstStyle/>
                  <a:p>
                    <a:fld id="{69DCE488-4A71-4C5A-B000-726E505D8CD2}"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538-4499-93C5-3E1CB5A331D6}"/>
                </c:ext>
              </c:extLst>
            </c:dLbl>
            <c:dLbl>
              <c:idx val="2"/>
              <c:tx>
                <c:rich>
                  <a:bodyPr/>
                  <a:lstStyle/>
                  <a:p>
                    <a:fld id="{E63B0B42-C6CA-4FB8-9F17-0EDF08357D35}"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538-4499-93C5-3E1CB5A331D6}"/>
                </c:ext>
              </c:extLst>
            </c:dLbl>
            <c:dLbl>
              <c:idx val="3"/>
              <c:tx>
                <c:rich>
                  <a:bodyPr/>
                  <a:lstStyle/>
                  <a:p>
                    <a:fld id="{6BCC9006-1FE1-4C4A-99DB-57D368ED40D9}"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538-4499-93C5-3E1CB5A331D6}"/>
                </c:ext>
              </c:extLst>
            </c:dLbl>
            <c:dLbl>
              <c:idx val="4"/>
              <c:tx>
                <c:rich>
                  <a:bodyPr/>
                  <a:lstStyle/>
                  <a:p>
                    <a:fld id="{FFBD63DF-B8F7-4F8A-A288-251121E8DC8A}"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538-4499-93C5-3E1CB5A331D6}"/>
                </c:ext>
              </c:extLst>
            </c:dLbl>
            <c:dLbl>
              <c:idx val="5"/>
              <c:tx>
                <c:rich>
                  <a:bodyPr/>
                  <a:lstStyle/>
                  <a:p>
                    <a:fld id="{618B0610-19B6-4761-A3C1-2F5F13366048}"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538-4499-93C5-3E1CB5A331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Arbeitsbereich!$D$123:$I$123</c:f>
              <c:strCache>
                <c:ptCount val="6"/>
                <c:pt idx="0">
                  <c:v>Idee erfasst/noch nicht gestartet</c:v>
                </c:pt>
                <c:pt idx="1">
                  <c:v>Planung</c:v>
                </c:pt>
                <c:pt idx="2">
                  <c:v>In Arbeit</c:v>
                </c:pt>
                <c:pt idx="3">
                  <c:v>Abgeschlossen</c:v>
                </c:pt>
                <c:pt idx="4">
                  <c:v>Blockiert</c:v>
                </c:pt>
                <c:pt idx="5">
                  <c:v>Abgebrochen</c:v>
                </c:pt>
              </c:strCache>
            </c:strRef>
          </c:cat>
          <c:val>
            <c:numRef>
              <c:f>Arbeitsbereich!$D$126:$I$126</c:f>
              <c:numCache>
                <c:formatCode>General</c:formatCode>
                <c:ptCount val="6"/>
                <c:pt idx="0">
                  <c:v>0</c:v>
                </c:pt>
                <c:pt idx="1">
                  <c:v>1</c:v>
                </c:pt>
                <c:pt idx="2">
                  <c:v>0</c:v>
                </c:pt>
                <c:pt idx="3">
                  <c:v>0</c:v>
                </c:pt>
                <c:pt idx="4">
                  <c:v>0</c:v>
                </c:pt>
                <c:pt idx="5">
                  <c:v>0</c:v>
                </c:pt>
              </c:numCache>
            </c:numRef>
          </c:val>
          <c:extLst>
            <c:ext xmlns:c15="http://schemas.microsoft.com/office/drawing/2012/chart" uri="{02D57815-91ED-43cb-92C2-25804820EDAC}">
              <c15:datalabelsRange>
                <c15:f>Arbeitsbereich!$J$126:$O$126</c15:f>
                <c15:dlblRangeCache>
                  <c:ptCount val="6"/>
                  <c:pt idx="1">
                    <c:v>50%</c:v>
                  </c:pt>
                  <c:pt idx="3">
                    <c:v>#DIV/0!</c:v>
                  </c:pt>
                </c15:dlblRangeCache>
              </c15:datalabelsRange>
            </c:ext>
            <c:ext xmlns:c16="http://schemas.microsoft.com/office/drawing/2014/chart" uri="{C3380CC4-5D6E-409C-BE32-E72D297353CC}">
              <c16:uniqueId val="{00000011-B538-4499-93C5-3E1CB5A331D6}"/>
            </c:ext>
          </c:extLst>
        </c:ser>
        <c:dLbls>
          <c:showLegendKey val="0"/>
          <c:showVal val="0"/>
          <c:showCatName val="0"/>
          <c:showSerName val="0"/>
          <c:showPercent val="0"/>
          <c:showBubbleSize val="0"/>
        </c:dLbls>
        <c:gapWidth val="30"/>
        <c:overlap val="100"/>
        <c:axId val="975340895"/>
        <c:axId val="975341375"/>
      </c:barChart>
      <c:catAx>
        <c:axId val="975340895"/>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75341375"/>
        <c:crosses val="autoZero"/>
        <c:auto val="1"/>
        <c:lblAlgn val="ctr"/>
        <c:lblOffset val="100"/>
        <c:noMultiLvlLbl val="0"/>
      </c:catAx>
      <c:valAx>
        <c:axId val="975341375"/>
        <c:scaling>
          <c:orientation val="minMax"/>
        </c:scaling>
        <c:delete val="1"/>
        <c:axPos val="t"/>
        <c:numFmt formatCode="0%" sourceLinked="1"/>
        <c:majorTickMark val="none"/>
        <c:minorTickMark val="none"/>
        <c:tickLblPos val="nextTo"/>
        <c:crossAx val="97534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EC99AE"/>
              </a:solidFill>
              <a:ln w="19050">
                <a:solidFill>
                  <a:schemeClr val="lt1"/>
                </a:solidFill>
              </a:ln>
              <a:effectLst/>
            </c:spPr>
            <c:extLst>
              <c:ext xmlns:c16="http://schemas.microsoft.com/office/drawing/2014/chart" uri="{C3380CC4-5D6E-409C-BE32-E72D297353CC}">
                <c16:uniqueId val="{00000001-3A2E-4242-AEC7-25275426904D}"/>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3A2E-4242-AEC7-25275426904D}"/>
              </c:ext>
            </c:extLst>
          </c:dPt>
          <c:dPt>
            <c:idx val="2"/>
            <c:bubble3D val="0"/>
            <c:spPr>
              <a:solidFill>
                <a:srgbClr val="831933"/>
              </a:solidFill>
              <a:ln w="19050">
                <a:solidFill>
                  <a:schemeClr val="lt1"/>
                </a:solidFill>
              </a:ln>
              <a:effectLst/>
            </c:spPr>
            <c:extLst>
              <c:ext xmlns:c16="http://schemas.microsoft.com/office/drawing/2014/chart" uri="{C3380CC4-5D6E-409C-BE32-E72D297353CC}">
                <c16:uniqueId val="{00000005-3A2E-4242-AEC7-25275426904D}"/>
              </c:ext>
            </c:extLst>
          </c:dPt>
          <c:dLbls>
            <c:dLbl>
              <c:idx val="0"/>
              <c:layout>
                <c:manualLayout>
                  <c:x val="0.17311471834470771"/>
                  <c:y val="-6.72269263425799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A2E-4242-AEC7-25275426904D}"/>
                </c:ext>
              </c:extLst>
            </c:dLbl>
            <c:dLbl>
              <c:idx val="1"/>
              <c:layout>
                <c:manualLayout>
                  <c:x val="0.16786881778880738"/>
                  <c:y val="9.411769687961192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A2E-4242-AEC7-25275426904D}"/>
                </c:ext>
              </c:extLst>
            </c:dLbl>
            <c:dLbl>
              <c:idx val="2"/>
              <c:layout>
                <c:manualLayout>
                  <c:x val="-0.24012426771393178"/>
                  <c:y val="5.90447263802330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A2E-4242-AEC7-25275426904D}"/>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e-DE"/>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Arbeitsbereich!$C$72:$C$74</c:f>
              <c:strCache>
                <c:ptCount val="3"/>
                <c:pt idx="0">
                  <c:v>Gering</c:v>
                </c:pt>
                <c:pt idx="1">
                  <c:v>Mittel</c:v>
                </c:pt>
                <c:pt idx="2">
                  <c:v>Hoch</c:v>
                </c:pt>
              </c:strCache>
            </c:strRef>
          </c:cat>
          <c:val>
            <c:numRef>
              <c:f>Arbeitsbereich!$D$72:$D$74</c:f>
              <c:numCache>
                <c:formatCode>General</c:formatCode>
                <c:ptCount val="3"/>
                <c:pt idx="0">
                  <c:v>2</c:v>
                </c:pt>
                <c:pt idx="1">
                  <c:v>1</c:v>
                </c:pt>
                <c:pt idx="2">
                  <c:v>1</c:v>
                </c:pt>
              </c:numCache>
            </c:numRef>
          </c:val>
          <c:extLst>
            <c:ext xmlns:c16="http://schemas.microsoft.com/office/drawing/2014/chart" uri="{C3380CC4-5D6E-409C-BE32-E72D297353CC}">
              <c16:uniqueId val="{00000006-3A2E-4242-AEC7-25275426904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292746913580245"/>
          <c:y val="0.35088620792374148"/>
          <c:w val="0.22982407407407407"/>
          <c:h val="0.55453529937444146"/>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BC51-4628-B8BB-7D4947C4C4D8}"/>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BC51-4628-B8BB-7D4947C4C4D8}"/>
              </c:ext>
            </c:extLst>
          </c:dPt>
          <c:dLbls>
            <c:delete val="1"/>
          </c:dLbls>
          <c:cat>
            <c:strRef>
              <c:f>Arbeitsbereich!$C$28:$C$29</c:f>
              <c:strCache>
                <c:ptCount val="2"/>
                <c:pt idx="0">
                  <c:v>Ja</c:v>
                </c:pt>
                <c:pt idx="1">
                  <c:v>Nein</c:v>
                </c:pt>
              </c:strCache>
            </c:strRef>
          </c:cat>
          <c:val>
            <c:numRef>
              <c:f>Arbeitsbereich!$E$28:$E$29</c:f>
              <c:numCache>
                <c:formatCode>0%</c:formatCode>
                <c:ptCount val="2"/>
                <c:pt idx="0">
                  <c:v>0.25</c:v>
                </c:pt>
                <c:pt idx="1">
                  <c:v>0.75</c:v>
                </c:pt>
              </c:numCache>
            </c:numRef>
          </c:val>
          <c:extLst>
            <c:ext xmlns:c16="http://schemas.microsoft.com/office/drawing/2014/chart" uri="{C3380CC4-5D6E-409C-BE32-E72D297353CC}">
              <c16:uniqueId val="{00000004-BC51-4628-B8BB-7D4947C4C4D8}"/>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292746913580245"/>
          <c:y val="0.35088620792374148"/>
          <c:w val="0.22982407407407407"/>
          <c:h val="0.55453529937444146"/>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6614-4A08-A045-B926AC13D6EA}"/>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6614-4A08-A045-B926AC13D6EA}"/>
              </c:ext>
            </c:extLst>
          </c:dPt>
          <c:val>
            <c:numRef>
              <c:f>Arbeitsbereich!$E$32:$E$33</c:f>
              <c:numCache>
                <c:formatCode>0%</c:formatCode>
                <c:ptCount val="2"/>
                <c:pt idx="0">
                  <c:v>0.25</c:v>
                </c:pt>
                <c:pt idx="1">
                  <c:v>0</c:v>
                </c:pt>
              </c:numCache>
            </c:numRef>
          </c:val>
          <c:extLst>
            <c:ext xmlns:c16="http://schemas.microsoft.com/office/drawing/2014/chart" uri="{C3380CC4-5D6E-409C-BE32-E72D297353CC}">
              <c16:uniqueId val="{00000004-6614-4A08-A045-B926AC13D6E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292746913580245"/>
          <c:y val="0.35088620792374148"/>
          <c:w val="0.22982407407407407"/>
          <c:h val="0.55453529937444146"/>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202E-4619-857A-FA91EE6BEF82}"/>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202E-4619-857A-FA91EE6BEF82}"/>
              </c:ext>
            </c:extLst>
          </c:dPt>
          <c:val>
            <c:numRef>
              <c:f>Arbeitsbereich!$E$24:$E$25</c:f>
              <c:numCache>
                <c:formatCode>0%</c:formatCode>
                <c:ptCount val="2"/>
                <c:pt idx="0">
                  <c:v>0.25</c:v>
                </c:pt>
                <c:pt idx="1">
                  <c:v>0.75</c:v>
                </c:pt>
              </c:numCache>
            </c:numRef>
          </c:val>
          <c:extLst>
            <c:ext xmlns:c16="http://schemas.microsoft.com/office/drawing/2014/chart" uri="{C3380CC4-5D6E-409C-BE32-E72D297353CC}">
              <c16:uniqueId val="{00000004-202E-4619-857A-FA91EE6BEF8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5CCD6"/>
              </a:solidFill>
              <a:ln>
                <a:noFill/>
              </a:ln>
              <a:effectLst/>
            </c:spPr>
            <c:extLst>
              <c:ext xmlns:c16="http://schemas.microsoft.com/office/drawing/2014/chart" uri="{C3380CC4-5D6E-409C-BE32-E72D297353CC}">
                <c16:uniqueId val="{00000001-DEC3-4FEF-A4D4-093B6BDA8412}"/>
              </c:ext>
            </c:extLst>
          </c:dPt>
          <c:dPt>
            <c:idx val="1"/>
            <c:invertIfNegative val="0"/>
            <c:bubble3D val="0"/>
            <c:spPr>
              <a:solidFill>
                <a:srgbClr val="F5CCD6"/>
              </a:solidFill>
              <a:ln>
                <a:noFill/>
              </a:ln>
              <a:effectLst/>
            </c:spPr>
            <c:extLst>
              <c:ext xmlns:c16="http://schemas.microsoft.com/office/drawing/2014/chart" uri="{C3380CC4-5D6E-409C-BE32-E72D297353CC}">
                <c16:uniqueId val="{00000003-DEC3-4FEF-A4D4-093B6BDA8412}"/>
              </c:ext>
            </c:extLst>
          </c:dPt>
          <c:dPt>
            <c:idx val="2"/>
            <c:invertIfNegative val="0"/>
            <c:bubble3D val="0"/>
            <c:spPr>
              <a:solidFill>
                <a:srgbClr val="F5CCD6"/>
              </a:solidFill>
              <a:ln>
                <a:noFill/>
              </a:ln>
              <a:effectLst/>
            </c:spPr>
            <c:extLst>
              <c:ext xmlns:c16="http://schemas.microsoft.com/office/drawing/2014/chart" uri="{C3380CC4-5D6E-409C-BE32-E72D297353CC}">
                <c16:uniqueId val="{00000005-DEC3-4FEF-A4D4-093B6BDA8412}"/>
              </c:ext>
            </c:extLst>
          </c:dPt>
          <c:dPt>
            <c:idx val="3"/>
            <c:invertIfNegative val="0"/>
            <c:bubble3D val="0"/>
            <c:spPr>
              <a:solidFill>
                <a:srgbClr val="F5CCD6"/>
              </a:solidFill>
              <a:ln>
                <a:noFill/>
              </a:ln>
              <a:effectLst/>
            </c:spPr>
            <c:extLst>
              <c:ext xmlns:c16="http://schemas.microsoft.com/office/drawing/2014/chart" uri="{C3380CC4-5D6E-409C-BE32-E72D297353CC}">
                <c16:uniqueId val="{00000007-DEC3-4FEF-A4D4-093B6BDA8412}"/>
              </c:ext>
            </c:extLst>
          </c:dPt>
          <c:dPt>
            <c:idx val="4"/>
            <c:invertIfNegative val="0"/>
            <c:bubble3D val="0"/>
            <c:spPr>
              <a:solidFill>
                <a:srgbClr val="F5CCD6"/>
              </a:solidFill>
              <a:ln>
                <a:noFill/>
              </a:ln>
              <a:effectLst/>
            </c:spPr>
            <c:extLst>
              <c:ext xmlns:c16="http://schemas.microsoft.com/office/drawing/2014/chart" uri="{C3380CC4-5D6E-409C-BE32-E72D297353CC}">
                <c16:uniqueId val="{00000009-DEC3-4FEF-A4D4-093B6BDA8412}"/>
              </c:ext>
            </c:extLst>
          </c:dPt>
          <c:dPt>
            <c:idx val="5"/>
            <c:invertIfNegative val="0"/>
            <c:bubble3D val="0"/>
            <c:spPr>
              <a:solidFill>
                <a:srgbClr val="E26785"/>
              </a:solidFill>
              <a:ln>
                <a:noFill/>
              </a:ln>
              <a:effectLst/>
            </c:spPr>
            <c:extLst>
              <c:ext xmlns:c16="http://schemas.microsoft.com/office/drawing/2014/chart" uri="{C3380CC4-5D6E-409C-BE32-E72D297353CC}">
                <c16:uniqueId val="{0000000B-DEC3-4FEF-A4D4-093B6BDA8412}"/>
              </c:ext>
            </c:extLst>
          </c:dPt>
          <c:dPt>
            <c:idx val="6"/>
            <c:invertIfNegative val="0"/>
            <c:bubble3D val="0"/>
            <c:spPr>
              <a:solidFill>
                <a:srgbClr val="E26785"/>
              </a:solidFill>
              <a:ln>
                <a:noFill/>
              </a:ln>
              <a:effectLst/>
            </c:spPr>
            <c:extLst>
              <c:ext xmlns:c16="http://schemas.microsoft.com/office/drawing/2014/chart" uri="{C3380CC4-5D6E-409C-BE32-E72D297353CC}">
                <c16:uniqueId val="{0000000D-DEC3-4FEF-A4D4-093B6BDA8412}"/>
              </c:ext>
            </c:extLst>
          </c:dPt>
          <c:dPt>
            <c:idx val="7"/>
            <c:invertIfNegative val="0"/>
            <c:bubble3D val="0"/>
            <c:spPr>
              <a:solidFill>
                <a:srgbClr val="E26785"/>
              </a:solidFill>
              <a:ln>
                <a:noFill/>
              </a:ln>
              <a:effectLst/>
            </c:spPr>
            <c:extLst>
              <c:ext xmlns:c16="http://schemas.microsoft.com/office/drawing/2014/chart" uri="{C3380CC4-5D6E-409C-BE32-E72D297353CC}">
                <c16:uniqueId val="{0000000F-DEC3-4FEF-A4D4-093B6BDA8412}"/>
              </c:ext>
            </c:extLst>
          </c:dPt>
          <c:dPt>
            <c:idx val="8"/>
            <c:invertIfNegative val="0"/>
            <c:bubble3D val="0"/>
            <c:spPr>
              <a:solidFill>
                <a:srgbClr val="E26785"/>
              </a:solidFill>
              <a:ln>
                <a:noFill/>
              </a:ln>
              <a:effectLst/>
            </c:spPr>
            <c:extLst>
              <c:ext xmlns:c16="http://schemas.microsoft.com/office/drawing/2014/chart" uri="{C3380CC4-5D6E-409C-BE32-E72D297353CC}">
                <c16:uniqueId val="{00000011-DEC3-4FEF-A4D4-093B6BDA8412}"/>
              </c:ext>
            </c:extLst>
          </c:dPt>
          <c:dPt>
            <c:idx val="9"/>
            <c:invertIfNegative val="0"/>
            <c:bubble3D val="0"/>
            <c:spPr>
              <a:solidFill>
                <a:srgbClr val="831933"/>
              </a:solidFill>
              <a:ln>
                <a:noFill/>
              </a:ln>
              <a:effectLst/>
            </c:spPr>
            <c:extLst>
              <c:ext xmlns:c16="http://schemas.microsoft.com/office/drawing/2014/chart" uri="{C3380CC4-5D6E-409C-BE32-E72D297353CC}">
                <c16:uniqueId val="{00000013-DEC3-4FEF-A4D4-093B6BDA8412}"/>
              </c:ext>
            </c:extLst>
          </c:dPt>
          <c:dPt>
            <c:idx val="10"/>
            <c:invertIfNegative val="0"/>
            <c:bubble3D val="0"/>
            <c:spPr>
              <a:solidFill>
                <a:srgbClr val="831933"/>
              </a:solidFill>
              <a:ln>
                <a:noFill/>
              </a:ln>
              <a:effectLst/>
            </c:spPr>
            <c:extLst>
              <c:ext xmlns:c16="http://schemas.microsoft.com/office/drawing/2014/chart" uri="{C3380CC4-5D6E-409C-BE32-E72D297353CC}">
                <c16:uniqueId val="{00000015-DEC3-4FEF-A4D4-093B6BDA8412}"/>
              </c:ext>
            </c:extLst>
          </c:dPt>
          <c:dPt>
            <c:idx val="11"/>
            <c:invertIfNegative val="0"/>
            <c:bubble3D val="0"/>
            <c:spPr>
              <a:solidFill>
                <a:srgbClr val="831933"/>
              </a:solidFill>
              <a:ln>
                <a:noFill/>
              </a:ln>
              <a:effectLst/>
            </c:spPr>
            <c:extLst>
              <c:ext xmlns:c16="http://schemas.microsoft.com/office/drawing/2014/chart" uri="{C3380CC4-5D6E-409C-BE32-E72D297353CC}">
                <c16:uniqueId val="{00000017-DEC3-4FEF-A4D4-093B6BDA8412}"/>
              </c:ext>
            </c:extLst>
          </c:dPt>
          <c:dPt>
            <c:idx val="12"/>
            <c:invertIfNegative val="0"/>
            <c:bubble3D val="0"/>
            <c:spPr>
              <a:solidFill>
                <a:srgbClr val="831933"/>
              </a:solidFill>
              <a:ln>
                <a:noFill/>
              </a:ln>
              <a:effectLst/>
            </c:spPr>
            <c:extLst>
              <c:ext xmlns:c16="http://schemas.microsoft.com/office/drawing/2014/chart" uri="{C3380CC4-5D6E-409C-BE32-E72D297353CC}">
                <c16:uniqueId val="{00000019-DEC3-4FEF-A4D4-093B6BDA8412}"/>
              </c:ext>
            </c:extLst>
          </c:dPt>
          <c:dPt>
            <c:idx val="13"/>
            <c:invertIfNegative val="0"/>
            <c:bubble3D val="0"/>
            <c:spPr>
              <a:solidFill>
                <a:srgbClr val="571022"/>
              </a:solidFill>
              <a:ln>
                <a:noFill/>
              </a:ln>
              <a:effectLst/>
            </c:spPr>
            <c:extLst>
              <c:ext xmlns:c16="http://schemas.microsoft.com/office/drawing/2014/chart" uri="{C3380CC4-5D6E-409C-BE32-E72D297353CC}">
                <c16:uniqueId val="{0000001B-DEC3-4FEF-A4D4-093B6BDA8412}"/>
              </c:ext>
            </c:extLst>
          </c:dPt>
          <c:dPt>
            <c:idx val="14"/>
            <c:invertIfNegative val="0"/>
            <c:bubble3D val="0"/>
            <c:spPr>
              <a:solidFill>
                <a:srgbClr val="571022"/>
              </a:solidFill>
              <a:ln>
                <a:noFill/>
              </a:ln>
              <a:effectLst/>
            </c:spPr>
            <c:extLst>
              <c:ext xmlns:c16="http://schemas.microsoft.com/office/drawing/2014/chart" uri="{C3380CC4-5D6E-409C-BE32-E72D297353CC}">
                <c16:uniqueId val="{0000001D-DEC3-4FEF-A4D4-093B6BDA8412}"/>
              </c:ext>
            </c:extLst>
          </c:dPt>
          <c:dPt>
            <c:idx val="15"/>
            <c:invertIfNegative val="0"/>
            <c:bubble3D val="0"/>
            <c:spPr>
              <a:solidFill>
                <a:srgbClr val="571022"/>
              </a:solidFill>
              <a:ln>
                <a:noFill/>
              </a:ln>
              <a:effectLst/>
            </c:spPr>
            <c:extLst>
              <c:ext xmlns:c16="http://schemas.microsoft.com/office/drawing/2014/chart" uri="{C3380CC4-5D6E-409C-BE32-E72D297353CC}">
                <c16:uniqueId val="{0000001F-DEC3-4FEF-A4D4-093B6BDA8412}"/>
              </c:ext>
            </c:extLst>
          </c:dPt>
          <c:dPt>
            <c:idx val="16"/>
            <c:invertIfNegative val="0"/>
            <c:bubble3D val="0"/>
            <c:spPr>
              <a:solidFill>
                <a:srgbClr val="571022"/>
              </a:solidFill>
              <a:ln>
                <a:noFill/>
              </a:ln>
              <a:effectLst/>
            </c:spPr>
            <c:extLst>
              <c:ext xmlns:c16="http://schemas.microsoft.com/office/drawing/2014/chart" uri="{C3380CC4-5D6E-409C-BE32-E72D297353CC}">
                <c16:uniqueId val="{00000021-DEC3-4FEF-A4D4-093B6BDA8412}"/>
              </c:ext>
            </c:extLst>
          </c:dPt>
          <c:dPt>
            <c:idx val="17"/>
            <c:invertIfNegative val="0"/>
            <c:bubble3D val="0"/>
            <c:spPr>
              <a:solidFill>
                <a:srgbClr val="571022"/>
              </a:solidFill>
              <a:ln>
                <a:noFill/>
              </a:ln>
              <a:effectLst/>
            </c:spPr>
            <c:extLst>
              <c:ext xmlns:c16="http://schemas.microsoft.com/office/drawing/2014/chart" uri="{C3380CC4-5D6E-409C-BE32-E72D297353CC}">
                <c16:uniqueId val="{00000023-DEC3-4FEF-A4D4-093B6BDA84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Arbeitsbereich!$C$43:$C$60</c:f>
              <c:strCache>
                <c:ptCount val="18"/>
                <c:pt idx="0">
                  <c:v>Wildtierkunde und Ökologie</c:v>
                </c:pt>
                <c:pt idx="1">
                  <c:v>Klinischer Bereich</c:v>
                </c:pt>
                <c:pt idx="2">
                  <c:v>Internationalisierung</c:v>
                </c:pt>
                <c:pt idx="3">
                  <c:v>Bibliothek</c:v>
                </c:pt>
                <c:pt idx="4">
                  <c:v>Kooperationen</c:v>
                </c:pt>
                <c:pt idx="5">
                  <c:v>Weiterbildung</c:v>
                </c:pt>
                <c:pt idx="6">
                  <c:v>Lehr-/Lernorganisation</c:v>
                </c:pt>
                <c:pt idx="7">
                  <c:v>Qualitätssichernde Maßnahmen in der Lehre</c:v>
                </c:pt>
                <c:pt idx="8">
                  <c:v>Studienbereich</c:v>
                </c:pt>
                <c:pt idx="9">
                  <c:v>Europäischer Forschungsraum</c:v>
                </c:pt>
                <c:pt idx="10">
                  <c:v>Wissens-/Technologietransfer und Verwertung</c:v>
                </c:pt>
                <c:pt idx="11">
                  <c:v>Großforschungsinfrastruktur</c:v>
                </c:pt>
                <c:pt idx="12">
                  <c:v>Forschungsstärken</c:v>
                </c:pt>
                <c:pt idx="13">
                  <c:v>Standortentwicklung</c:v>
                </c:pt>
                <c:pt idx="14">
                  <c:v>Personal</c:v>
                </c:pt>
                <c:pt idx="15">
                  <c:v>Qualitätssicherung</c:v>
                </c:pt>
                <c:pt idx="16">
                  <c:v>Wissenschaftskommunikation</c:v>
                </c:pt>
                <c:pt idx="17">
                  <c:v>Allgemeine gesellschaftliche Zielsetzungen</c:v>
                </c:pt>
              </c:strCache>
            </c:strRef>
          </c:cat>
          <c:val>
            <c:numRef>
              <c:f>Arbeitsbereich!$D$43:$D$60</c:f>
              <c:numCache>
                <c:formatCode>General</c:formatCode>
                <c:ptCount val="18"/>
                <c:pt idx="0">
                  <c:v>#N/A</c:v>
                </c:pt>
                <c:pt idx="1">
                  <c:v>#N/A</c:v>
                </c:pt>
                <c:pt idx="2">
                  <c:v>#N/A</c:v>
                </c:pt>
                <c:pt idx="3">
                  <c:v>#N/A</c:v>
                </c:pt>
                <c:pt idx="4">
                  <c:v>1</c:v>
                </c:pt>
                <c:pt idx="5">
                  <c:v>1</c:v>
                </c:pt>
                <c:pt idx="6">
                  <c:v>#N/A</c:v>
                </c:pt>
                <c:pt idx="7">
                  <c:v>#N/A</c:v>
                </c:pt>
                <c:pt idx="8">
                  <c:v>#N/A</c:v>
                </c:pt>
                <c:pt idx="9">
                  <c:v>#N/A</c:v>
                </c:pt>
                <c:pt idx="10">
                  <c:v>#N/A</c:v>
                </c:pt>
                <c:pt idx="11">
                  <c:v>#N/A</c:v>
                </c:pt>
                <c:pt idx="12">
                  <c:v>#N/A</c:v>
                </c:pt>
                <c:pt idx="13">
                  <c:v>#N/A</c:v>
                </c:pt>
                <c:pt idx="14">
                  <c:v>#N/A</c:v>
                </c:pt>
                <c:pt idx="15">
                  <c:v>#N/A</c:v>
                </c:pt>
                <c:pt idx="16">
                  <c:v>#N/A</c:v>
                </c:pt>
                <c:pt idx="17">
                  <c:v>#N/A</c:v>
                </c:pt>
              </c:numCache>
            </c:numRef>
          </c:val>
          <c:extLst>
            <c:ext xmlns:c16="http://schemas.microsoft.com/office/drawing/2014/chart" uri="{C3380CC4-5D6E-409C-BE32-E72D297353CC}">
              <c16:uniqueId val="{00000024-DEC3-4FEF-A4D4-093B6BDA8412}"/>
            </c:ext>
          </c:extLst>
        </c:ser>
        <c:dLbls>
          <c:showLegendKey val="0"/>
          <c:showVal val="0"/>
          <c:showCatName val="0"/>
          <c:showSerName val="0"/>
          <c:showPercent val="0"/>
          <c:showBubbleSize val="0"/>
        </c:dLbls>
        <c:gapWidth val="219"/>
        <c:axId val="1514607392"/>
        <c:axId val="1514594912"/>
      </c:barChart>
      <c:catAx>
        <c:axId val="15146073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14594912"/>
        <c:crosses val="autoZero"/>
        <c:auto val="1"/>
        <c:lblAlgn val="ctr"/>
        <c:lblOffset val="100"/>
        <c:noMultiLvlLbl val="0"/>
      </c:catAx>
      <c:valAx>
        <c:axId val="1514594912"/>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51460739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571022"/>
              </a:solidFill>
              <a:ln w="19050">
                <a:solidFill>
                  <a:schemeClr val="lt1"/>
                </a:solidFill>
              </a:ln>
              <a:effectLst/>
            </c:spPr>
            <c:extLst>
              <c:ext xmlns:c16="http://schemas.microsoft.com/office/drawing/2014/chart" uri="{C3380CC4-5D6E-409C-BE32-E72D297353CC}">
                <c16:uniqueId val="{00000001-4DA4-49E5-B9F3-126FB2399FA0}"/>
              </c:ext>
            </c:extLst>
          </c:dPt>
          <c:dPt>
            <c:idx val="1"/>
            <c:bubble3D val="0"/>
            <c:spPr>
              <a:solidFill>
                <a:srgbClr val="831933"/>
              </a:solidFill>
              <a:ln w="19050">
                <a:solidFill>
                  <a:schemeClr val="lt1"/>
                </a:solidFill>
              </a:ln>
              <a:effectLst/>
            </c:spPr>
            <c:extLst>
              <c:ext xmlns:c16="http://schemas.microsoft.com/office/drawing/2014/chart" uri="{C3380CC4-5D6E-409C-BE32-E72D297353CC}">
                <c16:uniqueId val="{00000003-4DA4-49E5-B9F3-126FB2399FA0}"/>
              </c:ext>
            </c:extLst>
          </c:dPt>
          <c:dPt>
            <c:idx val="2"/>
            <c:bubble3D val="0"/>
            <c:spPr>
              <a:solidFill>
                <a:srgbClr val="E26785"/>
              </a:solidFill>
              <a:ln w="19050">
                <a:solidFill>
                  <a:schemeClr val="lt1"/>
                </a:solidFill>
              </a:ln>
              <a:effectLst/>
            </c:spPr>
            <c:extLst>
              <c:ext xmlns:c16="http://schemas.microsoft.com/office/drawing/2014/chart" uri="{C3380CC4-5D6E-409C-BE32-E72D297353CC}">
                <c16:uniqueId val="{00000005-4DA4-49E5-B9F3-126FB2399FA0}"/>
              </c:ext>
            </c:extLst>
          </c:dPt>
          <c:dPt>
            <c:idx val="3"/>
            <c:bubble3D val="0"/>
            <c:spPr>
              <a:solidFill>
                <a:srgbClr val="EC99AE"/>
              </a:solidFill>
              <a:ln w="19050">
                <a:solidFill>
                  <a:schemeClr val="lt1"/>
                </a:solidFill>
              </a:ln>
              <a:effectLst/>
            </c:spPr>
            <c:extLst>
              <c:ext xmlns:c16="http://schemas.microsoft.com/office/drawing/2014/chart" uri="{C3380CC4-5D6E-409C-BE32-E72D297353CC}">
                <c16:uniqueId val="{00000007-4DA4-49E5-B9F3-126FB2399FA0}"/>
              </c:ext>
            </c:extLst>
          </c:dPt>
          <c:dLbls>
            <c:dLbl>
              <c:idx val="0"/>
              <c:layout>
                <c:manualLayout>
                  <c:x val="-2.6886645548280389E-3"/>
                  <c:y val="-5.205204769280423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e-DE"/>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851608263778626"/>
                      <c:h val="0.34754000187143258"/>
                    </c:manualLayout>
                  </c15:layout>
                </c:ext>
                <c:ext xmlns:c16="http://schemas.microsoft.com/office/drawing/2014/chart" uri="{C3380CC4-5D6E-409C-BE32-E72D297353CC}">
                  <c16:uniqueId val="{00000001-4DA4-49E5-B9F3-126FB2399FA0}"/>
                </c:ext>
              </c:extLst>
            </c:dLbl>
            <c:dLbl>
              <c:idx val="1"/>
              <c:layout>
                <c:manualLayout>
                  <c:x val="0.44275990557852135"/>
                  <c:y val="-2.9706652942827734E-3"/>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de-DE"/>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4571610542881868"/>
                      <c:h val="0.2043885094039487"/>
                    </c:manualLayout>
                  </c15:layout>
                </c:ext>
                <c:ext xmlns:c16="http://schemas.microsoft.com/office/drawing/2014/chart" uri="{C3380CC4-5D6E-409C-BE32-E72D297353CC}">
                  <c16:uniqueId val="{00000003-4DA4-49E5-B9F3-126FB2399FA0}"/>
                </c:ext>
              </c:extLst>
            </c:dLbl>
            <c:dLbl>
              <c:idx val="2"/>
              <c:layout>
                <c:manualLayout>
                  <c:x val="-0.27894543396538463"/>
                  <c:y val="-5.4530695636719369E-2"/>
                </c:manualLayout>
              </c:layout>
              <c:spPr>
                <a:solidFill>
                  <a:sysClr val="window" lastClr="FFFFFF"/>
                </a:solidFill>
                <a:ln>
                  <a:noFill/>
                </a:ln>
                <a:effectLst/>
              </c:spPr>
              <c:txPr>
                <a:bodyPr rot="0" spcFirstLastPara="1" vertOverflow="clip" horzOverflow="clip" vert="horz" wrap="square" lIns="38100" tIns="19050" rIns="38100" bIns="19050" anchor="ctr" anchorCtr="0">
                  <a:spAutoFit/>
                </a:bodyPr>
                <a:lstStyle/>
                <a:p>
                  <a:pPr algn="ctr" rtl="0">
                    <a:defRPr lang="en-US" sz="900" b="0" i="0" u="none" strike="noStrike" kern="1200" baseline="0">
                      <a:solidFill>
                        <a:sysClr val="windowText" lastClr="000000">
                          <a:lumMod val="65000"/>
                          <a:lumOff val="35000"/>
                        </a:sysClr>
                      </a:solidFill>
                      <a:latin typeface="+mn-lt"/>
                      <a:ea typeface="+mn-ea"/>
                      <a:cs typeface="+mn-cs"/>
                    </a:defRPr>
                  </a:pPr>
                  <a:endParaRPr lang="de-DE"/>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537075163236516"/>
                      <c:h val="0.25444542876361542"/>
                    </c:manualLayout>
                  </c15:layout>
                </c:ext>
                <c:ext xmlns:c16="http://schemas.microsoft.com/office/drawing/2014/chart" uri="{C3380CC4-5D6E-409C-BE32-E72D297353CC}">
                  <c16:uniqueId val="{00000005-4DA4-49E5-B9F3-126FB2399FA0}"/>
                </c:ext>
              </c:extLst>
            </c:dLbl>
            <c:dLbl>
              <c:idx val="3"/>
              <c:layout>
                <c:manualLayout>
                  <c:x val="-6.5303190317910528E-2"/>
                  <c:y val="1.8001248383788812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2720221423852155"/>
                      <c:h val="0.22982668013266982"/>
                    </c:manualLayout>
                  </c15:layout>
                </c:ext>
                <c:ext xmlns:c16="http://schemas.microsoft.com/office/drawing/2014/chart" uri="{C3380CC4-5D6E-409C-BE32-E72D297353CC}">
                  <c16:uniqueId val="{00000007-4DA4-49E5-B9F3-126FB2399FA0}"/>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e-DE"/>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Arbeitsbereich!$C$36:$C$39</c:f>
              <c:strCache>
                <c:ptCount val="4"/>
                <c:pt idx="0">
                  <c:v>A. Gesellschaftliche Zielsetzungen</c:v>
                </c:pt>
                <c:pt idx="1">
                  <c:v>B. Forschung/Entwicklung</c:v>
                </c:pt>
                <c:pt idx="2">
                  <c:v>C. Lehre</c:v>
                </c:pt>
                <c:pt idx="3">
                  <c:v>D. Sonstige</c:v>
                </c:pt>
              </c:strCache>
            </c:strRef>
          </c:cat>
          <c:val>
            <c:numRef>
              <c:f>Arbeitsbereich!$D$36:$D$39</c:f>
              <c:numCache>
                <c:formatCode>General</c:formatCode>
                <c:ptCount val="4"/>
                <c:pt idx="0">
                  <c:v>1</c:v>
                </c:pt>
                <c:pt idx="1">
                  <c:v>#N/A</c:v>
                </c:pt>
                <c:pt idx="2">
                  <c:v>2</c:v>
                </c:pt>
                <c:pt idx="3">
                  <c:v>1</c:v>
                </c:pt>
              </c:numCache>
            </c:numRef>
          </c:val>
          <c:extLst>
            <c:ext xmlns:c16="http://schemas.microsoft.com/office/drawing/2014/chart" uri="{C3380CC4-5D6E-409C-BE32-E72D297353CC}">
              <c16:uniqueId val="{00000008-4DA4-49E5-B9F3-126FB2399FA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292746913580245"/>
          <c:y val="0.35088620792374148"/>
          <c:w val="0.22982407407407407"/>
          <c:h val="0.55453529937444146"/>
        </c:manualLayout>
      </c:layout>
      <c:doughnutChart>
        <c:varyColors val="1"/>
        <c:ser>
          <c:idx val="0"/>
          <c:order val="0"/>
          <c:spPr>
            <a:solidFill>
              <a:srgbClr val="E26785"/>
            </a:solidFill>
          </c:spPr>
          <c:dPt>
            <c:idx val="0"/>
            <c:bubble3D val="0"/>
            <c:spPr>
              <a:solidFill>
                <a:srgbClr val="61C59F"/>
              </a:solidFill>
              <a:ln w="19050">
                <a:solidFill>
                  <a:schemeClr val="lt1"/>
                </a:solidFill>
              </a:ln>
              <a:effectLst/>
            </c:spPr>
            <c:extLst>
              <c:ext xmlns:c16="http://schemas.microsoft.com/office/drawing/2014/chart" uri="{C3380CC4-5D6E-409C-BE32-E72D297353CC}">
                <c16:uniqueId val="{00000001-F5B8-4A4C-83A2-2C9B14E7D81A}"/>
              </c:ext>
            </c:extLst>
          </c:dPt>
          <c:dPt>
            <c:idx val="1"/>
            <c:bubble3D val="0"/>
            <c:spPr>
              <a:solidFill>
                <a:srgbClr val="95D9BF"/>
              </a:solidFill>
              <a:ln w="19050">
                <a:solidFill>
                  <a:schemeClr val="lt1"/>
                </a:solidFill>
              </a:ln>
              <a:effectLst/>
            </c:spPr>
            <c:extLst>
              <c:ext xmlns:c16="http://schemas.microsoft.com/office/drawing/2014/chart" uri="{C3380CC4-5D6E-409C-BE32-E72D297353CC}">
                <c16:uniqueId val="{00000003-F5B8-4A4C-83A2-2C9B14E7D81A}"/>
              </c:ext>
            </c:extLst>
          </c:dPt>
          <c:dPt>
            <c:idx val="2"/>
            <c:bubble3D val="0"/>
            <c:spPr>
              <a:solidFill>
                <a:srgbClr val="E26785"/>
              </a:solidFill>
              <a:ln w="19050">
                <a:solidFill>
                  <a:schemeClr val="lt1"/>
                </a:solidFill>
              </a:ln>
              <a:effectLst/>
            </c:spPr>
            <c:extLst>
              <c:ext xmlns:c16="http://schemas.microsoft.com/office/drawing/2014/chart" uri="{C3380CC4-5D6E-409C-BE32-E72D297353CC}">
                <c16:uniqueId val="{00000004-9543-4437-BB5F-E07783EDD668}"/>
              </c:ext>
            </c:extLst>
          </c:dPt>
          <c:dPt>
            <c:idx val="3"/>
            <c:bubble3D val="0"/>
            <c:spPr>
              <a:solidFill>
                <a:srgbClr val="571022"/>
              </a:solidFill>
              <a:ln w="19050">
                <a:solidFill>
                  <a:schemeClr val="lt1"/>
                </a:solidFill>
              </a:ln>
              <a:effectLst/>
            </c:spPr>
            <c:extLst>
              <c:ext xmlns:c16="http://schemas.microsoft.com/office/drawing/2014/chart" uri="{C3380CC4-5D6E-409C-BE32-E72D297353CC}">
                <c16:uniqueId val="{00000005-9543-4437-BB5F-E07783EDD668}"/>
              </c:ext>
            </c:extLst>
          </c:dPt>
          <c:dLbls>
            <c:dLbl>
              <c:idx val="0"/>
              <c:layout>
                <c:manualLayout>
                  <c:x val="0.18603485027162783"/>
                  <c:y val="-2.8851068663271726E-2"/>
                </c:manualLayout>
              </c:layout>
              <c:tx>
                <c:rich>
                  <a:bodyPr/>
                  <a:lstStyle/>
                  <a:p>
                    <a:fld id="{6E0A80DC-754A-4C72-AEE8-F70C2E14E88C}" type="CELLRANGE">
                      <a:rPr lang="en-US" baseline="0"/>
                      <a:pPr/>
                      <a:t>[ZELLBEREICH]</a:t>
                    </a:fld>
                    <a:r>
                      <a:rPr lang="en-US" baseline="0"/>
                      <a:t>; </a:t>
                    </a:r>
                    <a:fld id="{DCE7FA4E-62FD-44E9-97F4-DAF03D7CCFF5}" type="PERCENTAGE">
                      <a:rPr lang="en-US" baseline="0"/>
                      <a:pPr/>
                      <a:t>[PROZENTSATZ]</a:t>
                    </a:fld>
                    <a:endParaRPr lang="en-US" baseline="0"/>
                  </a:p>
                </c:rich>
              </c:tx>
              <c:showLegendKey val="0"/>
              <c:showVal val="0"/>
              <c:showCatName val="0"/>
              <c:showSerName val="0"/>
              <c:showPercent val="1"/>
              <c:showBubbleSize val="0"/>
              <c:extLst>
                <c:ext xmlns:c15="http://schemas.microsoft.com/office/drawing/2012/chart" uri="{CE6537A1-D6FC-4f65-9D91-7224C49458BB}">
                  <c15:layout>
                    <c:manualLayout>
                      <c:w val="0.33828953406326634"/>
                      <c:h val="0.34578043655225943"/>
                    </c:manualLayout>
                  </c15:layout>
                  <c15:dlblFieldTable/>
                  <c15:showDataLabelsRange val="1"/>
                </c:ext>
                <c:ext xmlns:c16="http://schemas.microsoft.com/office/drawing/2014/chart" uri="{C3380CC4-5D6E-409C-BE32-E72D297353CC}">
                  <c16:uniqueId val="{00000001-F5B8-4A4C-83A2-2C9B14E7D81A}"/>
                </c:ext>
              </c:extLst>
            </c:dLbl>
            <c:dLbl>
              <c:idx val="1"/>
              <c:layout>
                <c:manualLayout>
                  <c:x val="-0.18258470017356362"/>
                  <c:y val="7.6936183102057729E-2"/>
                </c:manualLayout>
              </c:layout>
              <c:tx>
                <c:rich>
                  <a:bodyPr/>
                  <a:lstStyle/>
                  <a:p>
                    <a:fld id="{4C4862F0-3350-4968-8F71-56C2E041B133}" type="CELLRANGE">
                      <a:rPr lang="en-US" baseline="0"/>
                      <a:pPr/>
                      <a:t>[ZELLBEREICH]</a:t>
                    </a:fld>
                    <a:r>
                      <a:rPr lang="en-US" baseline="0"/>
                      <a:t>; </a:t>
                    </a:r>
                    <a:fld id="{C893E53B-9E49-4109-8F6E-C142DBFCEF0C}" type="PERCENTAGE">
                      <a:rPr lang="en-US" baseline="0"/>
                      <a:pPr/>
                      <a:t>[PROZENTSATZ]</a:t>
                    </a:fld>
                    <a:endParaRPr lang="en-US" baseline="0"/>
                  </a:p>
                </c:rich>
              </c:tx>
              <c:showLegendKey val="0"/>
              <c:showVal val="0"/>
              <c:showCatName val="0"/>
              <c:showSerName val="0"/>
              <c:showPercent val="1"/>
              <c:showBubbleSize val="0"/>
              <c:extLst>
                <c:ext xmlns:c15="http://schemas.microsoft.com/office/drawing/2012/chart" uri="{CE6537A1-D6FC-4f65-9D91-7224C49458BB}">
                  <c15:layout>
                    <c:manualLayout>
                      <c:w val="0.31304769646760455"/>
                      <c:h val="0.24013706150729797"/>
                    </c:manualLayout>
                  </c15:layout>
                  <c15:dlblFieldTable/>
                  <c15:showDataLabelsRange val="1"/>
                </c:ext>
                <c:ext xmlns:c16="http://schemas.microsoft.com/office/drawing/2014/chart" uri="{C3380CC4-5D6E-409C-BE32-E72D297353CC}">
                  <c16:uniqueId val="{00000003-F5B8-4A4C-83A2-2C9B14E7D81A}"/>
                </c:ext>
              </c:extLst>
            </c:dLbl>
            <c:dLbl>
              <c:idx val="2"/>
              <c:layout>
                <c:manualLayout>
                  <c:x val="-0.12532874123562296"/>
                  <c:y val="0"/>
                </c:manualLayout>
              </c:layout>
              <c:tx>
                <c:rich>
                  <a:bodyPr/>
                  <a:lstStyle/>
                  <a:p>
                    <a:fld id="{6369B14F-7EB0-4F16-A6E0-EE3E89E2B45D}" type="CELLRANGE">
                      <a:rPr lang="en-US" baseline="0"/>
                      <a:pPr/>
                      <a:t>[ZELLBEREICH]</a:t>
                    </a:fld>
                    <a:r>
                      <a:rPr lang="en-US" baseline="0"/>
                      <a:t>; </a:t>
                    </a:r>
                    <a:fld id="{864F19AA-1904-4460-AF77-FC897C174F52}" type="PERCENTAGE">
                      <a:rPr lang="en-US" baseline="0"/>
                      <a:pPr/>
                      <a:t>[PROZENTSATZ]</a:t>
                    </a:fld>
                    <a:endParaRPr lang="en-US" baseline="0"/>
                  </a:p>
                </c:rich>
              </c:tx>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543-4437-BB5F-E07783EDD668}"/>
                </c:ext>
              </c:extLst>
            </c:dLbl>
            <c:dLbl>
              <c:idx val="3"/>
              <c:layout>
                <c:manualLayout>
                  <c:x val="-0.1449113570536891"/>
                  <c:y val="-2.8851068663271681E-2"/>
                </c:manualLayout>
              </c:layout>
              <c:tx>
                <c:rich>
                  <a:bodyPr/>
                  <a:lstStyle/>
                  <a:p>
                    <a:fld id="{6F87DB9A-D7BD-493A-A6DA-50CD68344919}" type="CELLRANGE">
                      <a:rPr lang="en-US" baseline="0"/>
                      <a:pPr/>
                      <a:t>[ZELLBEREICH]</a:t>
                    </a:fld>
                    <a:r>
                      <a:rPr lang="en-US" baseline="0"/>
                      <a:t>; </a:t>
                    </a:r>
                    <a:fld id="{198B218B-048A-43AA-AAA0-2018CE3BE977}" type="PERCENTAGE">
                      <a:rPr lang="en-US" baseline="0"/>
                      <a:pPr/>
                      <a:t>[PROZENTSATZ]</a:t>
                    </a:fld>
                    <a:endParaRPr lang="en-US" baseline="0"/>
                  </a:p>
                </c:rich>
              </c:tx>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543-4437-BB5F-E07783EDD6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Arbeitsbereich!$E$14:$E$17</c:f>
              <c:numCache>
                <c:formatCode>0%</c:formatCode>
                <c:ptCount val="4"/>
                <c:pt idx="0">
                  <c:v>0.5</c:v>
                </c:pt>
                <c:pt idx="1">
                  <c:v>0.25</c:v>
                </c:pt>
                <c:pt idx="2">
                  <c:v>0.25</c:v>
                </c:pt>
                <c:pt idx="3">
                  <c:v>0</c:v>
                </c:pt>
              </c:numCache>
            </c:numRef>
          </c:val>
          <c:extLst>
            <c:ext xmlns:c15="http://schemas.microsoft.com/office/drawing/2012/chart" uri="{02D57815-91ED-43cb-92C2-25804820EDAC}">
              <c15:datalabelsRange>
                <c15:f>Arbeitsbereich!$C$14:$C$17</c15:f>
                <c15:dlblRangeCache>
                  <c:ptCount val="4"/>
                  <c:pt idx="0">
                    <c:v>Unterzeichnet</c:v>
                  </c:pt>
                  <c:pt idx="1">
                    <c:v>Entwurf</c:v>
                  </c:pt>
                  <c:pt idx="2">
                    <c:v>Offen</c:v>
                  </c:pt>
                  <c:pt idx="3">
                    <c:v>n/a</c:v>
                  </c:pt>
                </c15:dlblRangeCache>
              </c15:datalabelsRange>
            </c:ext>
            <c:ext xmlns:c16="http://schemas.microsoft.com/office/drawing/2014/chart" uri="{C3380CC4-5D6E-409C-BE32-E72D297353CC}">
              <c16:uniqueId val="{00000004-F5B8-4A4C-83A2-2C9B14E7D81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de-AT">
                <a:solidFill>
                  <a:srgbClr val="831933"/>
                </a:solidFill>
                <a:latin typeface="Arial" panose="020B0604020202020204" pitchFamily="34" charset="0"/>
                <a:cs typeface="Arial" panose="020B0604020202020204" pitchFamily="34" charset="0"/>
              </a:rPr>
              <a:t>PROJEKTPHASEN</a:t>
            </a:r>
          </a:p>
        </c:rich>
      </c:tx>
      <c:layout>
        <c:manualLayout>
          <c:xMode val="edge"/>
          <c:yMode val="edge"/>
          <c:x val="1.1304758440800415E-2"/>
          <c:y val="0.2719390232979646"/>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4.3117283950617286E-2"/>
          <c:y val="0.74795304645959837"/>
          <c:w val="0.91376543209876548"/>
          <c:h val="0.17086614173228346"/>
        </c:manualLayout>
      </c:layout>
      <c:barChart>
        <c:barDir val="bar"/>
        <c:grouping val="stacked"/>
        <c:varyColors val="0"/>
        <c:ser>
          <c:idx val="0"/>
          <c:order val="0"/>
          <c:tx>
            <c:strRef>
              <c:f>Arbeitsbereich!$C$64</c:f>
              <c:strCache>
                <c:ptCount val="1"/>
                <c:pt idx="0">
                  <c:v>Idee erfasst/noch nicht gestartet</c:v>
                </c:pt>
              </c:strCache>
            </c:strRef>
          </c:tx>
          <c:spPr>
            <a:solidFill>
              <a:schemeClr val="bg1"/>
            </a:solidFill>
            <a:ln>
              <a:solidFill>
                <a:schemeClr val="bg2"/>
              </a:solidFill>
            </a:ln>
            <a:effectLst/>
          </c:spPr>
          <c:invertIfNegative val="0"/>
          <c:dLbls>
            <c:dLbl>
              <c:idx val="0"/>
              <c:tx>
                <c:rich>
                  <a:bodyPr/>
                  <a:lstStyle/>
                  <a:p>
                    <a:fld id="{F8208B27-4D19-4593-A524-C983FBCD2A52}" type="CELLRANGE">
                      <a:rPr lang="en-US"/>
                      <a:pPr/>
                      <a:t>[ZELLBEREICH]</a:t>
                    </a:fld>
                    <a:endParaRPr lang="de-AT"/>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39A5-402F-ACB5-DA7AE67B31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de-DE"/>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Arbeitsbereich!$F$64</c:f>
              <c:numCache>
                <c:formatCode>General</c:formatCode>
                <c:ptCount val="1"/>
                <c:pt idx="0">
                  <c:v>1</c:v>
                </c:pt>
              </c:numCache>
            </c:numRef>
          </c:val>
          <c:extLst>
            <c:ext xmlns:c15="http://schemas.microsoft.com/office/drawing/2012/chart" uri="{02D57815-91ED-43cb-92C2-25804820EDAC}">
              <c15:datalabelsRange>
                <c15:f>Arbeitsbereich!$G$64</c15:f>
                <c15:dlblRangeCache>
                  <c:ptCount val="1"/>
                  <c:pt idx="0">
                    <c:v>100%</c:v>
                  </c:pt>
                </c15:dlblRangeCache>
              </c15:datalabelsRange>
            </c:ext>
            <c:ext xmlns:c16="http://schemas.microsoft.com/office/drawing/2014/chart" uri="{C3380CC4-5D6E-409C-BE32-E72D297353CC}">
              <c16:uniqueId val="{00000000-10FC-45C0-81A6-14D50575454B}"/>
            </c:ext>
          </c:extLst>
        </c:ser>
        <c:ser>
          <c:idx val="1"/>
          <c:order val="1"/>
          <c:tx>
            <c:strRef>
              <c:f>Arbeitsbereich!$C$65</c:f>
              <c:strCache>
                <c:ptCount val="1"/>
                <c:pt idx="0">
                  <c:v>Planung</c:v>
                </c:pt>
              </c:strCache>
            </c:strRef>
          </c:tx>
          <c:spPr>
            <a:solidFill>
              <a:srgbClr val="AEE4C9"/>
            </a:solidFill>
            <a:ln>
              <a:solidFill>
                <a:srgbClr val="AEE4C9"/>
              </a:solidFill>
            </a:ln>
            <a:effectLst/>
          </c:spPr>
          <c:invertIfNegative val="0"/>
          <c:dLbls>
            <c:dLbl>
              <c:idx val="0"/>
              <c:tx>
                <c:rich>
                  <a:bodyPr/>
                  <a:lstStyle/>
                  <a:p>
                    <a:fld id="{125922B2-AB9F-436D-ACE3-3E8E261E26C1}" type="CELLRANGE">
                      <a:rPr lang="en-US"/>
                      <a:pPr/>
                      <a:t>[ZELLBEREICH]</a:t>
                    </a:fld>
                    <a:endParaRPr lang="de-AT"/>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9A5-402F-ACB5-DA7AE67B31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Arbeitsbereich!$F$65</c:f>
              <c:numCache>
                <c:formatCode>General</c:formatCode>
                <c:ptCount val="1"/>
                <c:pt idx="0">
                  <c:v>0</c:v>
                </c:pt>
              </c:numCache>
            </c:numRef>
          </c:val>
          <c:extLst>
            <c:ext xmlns:c15="http://schemas.microsoft.com/office/drawing/2012/chart" uri="{02D57815-91ED-43cb-92C2-25804820EDAC}">
              <c15:datalabelsRange>
                <c15:f>Arbeitsbereich!$G$65</c15:f>
                <c15:dlblRangeCache>
                  <c:ptCount val="1"/>
                  <c:pt idx="0">
                    <c:v>0%</c:v>
                  </c:pt>
                </c15:dlblRangeCache>
              </c15:datalabelsRange>
            </c:ext>
            <c:ext xmlns:c16="http://schemas.microsoft.com/office/drawing/2014/chart" uri="{C3380CC4-5D6E-409C-BE32-E72D297353CC}">
              <c16:uniqueId val="{00000001-39A5-402F-ACB5-DA7AE67B31AB}"/>
            </c:ext>
          </c:extLst>
        </c:ser>
        <c:ser>
          <c:idx val="2"/>
          <c:order val="2"/>
          <c:tx>
            <c:strRef>
              <c:f>Arbeitsbereich!$C$66</c:f>
              <c:strCache>
                <c:ptCount val="1"/>
                <c:pt idx="0">
                  <c:v>In Arbeit</c:v>
                </c:pt>
              </c:strCache>
            </c:strRef>
          </c:tx>
          <c:spPr>
            <a:solidFill>
              <a:srgbClr val="61C59F"/>
            </a:solidFill>
            <a:ln>
              <a:solidFill>
                <a:srgbClr val="61C59F"/>
              </a:solidFill>
            </a:ln>
            <a:effectLst/>
          </c:spPr>
          <c:invertIfNegative val="0"/>
          <c:dLbls>
            <c:dLbl>
              <c:idx val="0"/>
              <c:tx>
                <c:rich>
                  <a:bodyPr/>
                  <a:lstStyle/>
                  <a:p>
                    <a:fld id="{97CAF3CD-E711-44F8-8EF5-A10688D420E0}" type="CELLRANGE">
                      <a:rPr lang="en-US"/>
                      <a:pPr/>
                      <a:t>[ZELLBEREICH]</a:t>
                    </a:fld>
                    <a:endParaRPr lang="de-AT"/>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39A5-402F-ACB5-DA7AE67B31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Arbeitsbereich!$F$66</c:f>
              <c:numCache>
                <c:formatCode>General</c:formatCode>
                <c:ptCount val="1"/>
                <c:pt idx="0">
                  <c:v>0</c:v>
                </c:pt>
              </c:numCache>
            </c:numRef>
          </c:val>
          <c:extLst>
            <c:ext xmlns:c15="http://schemas.microsoft.com/office/drawing/2012/chart" uri="{02D57815-91ED-43cb-92C2-25804820EDAC}">
              <c15:datalabelsRange>
                <c15:f>Arbeitsbereich!$G$66</c15:f>
                <c15:dlblRangeCache>
                  <c:ptCount val="1"/>
                  <c:pt idx="0">
                    <c:v>0%</c:v>
                  </c:pt>
                </c15:dlblRangeCache>
              </c15:datalabelsRange>
            </c:ext>
            <c:ext xmlns:c16="http://schemas.microsoft.com/office/drawing/2014/chart" uri="{C3380CC4-5D6E-409C-BE32-E72D297353CC}">
              <c16:uniqueId val="{00000002-39A5-402F-ACB5-DA7AE67B31AB}"/>
            </c:ext>
          </c:extLst>
        </c:ser>
        <c:ser>
          <c:idx val="3"/>
          <c:order val="3"/>
          <c:tx>
            <c:strRef>
              <c:f>Arbeitsbereich!$C$67</c:f>
              <c:strCache>
                <c:ptCount val="1"/>
                <c:pt idx="0">
                  <c:v>Abgeschlossen</c:v>
                </c:pt>
              </c:strCache>
            </c:strRef>
          </c:tx>
          <c:spPr>
            <a:solidFill>
              <a:srgbClr val="1E533E"/>
            </a:solidFill>
            <a:ln>
              <a:solidFill>
                <a:srgbClr val="1E533E"/>
              </a:solidFill>
            </a:ln>
            <a:effectLst/>
          </c:spPr>
          <c:invertIfNegative val="0"/>
          <c:dLbls>
            <c:dLbl>
              <c:idx val="0"/>
              <c:tx>
                <c:rich>
                  <a:bodyPr/>
                  <a:lstStyle/>
                  <a:p>
                    <a:fld id="{1E905D7E-8A4F-4DF5-9933-19D90C4DE006}" type="CELLRANGE">
                      <a:rPr lang="en-US"/>
                      <a:pPr/>
                      <a:t>[ZELLBEREICH]</a:t>
                    </a:fld>
                    <a:endParaRPr lang="de-AT"/>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39A5-402F-ACB5-DA7AE67B31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Arbeitsbereich!$F$67</c:f>
              <c:numCache>
                <c:formatCode>General</c:formatCode>
                <c:ptCount val="1"/>
                <c:pt idx="0">
                  <c:v>0</c:v>
                </c:pt>
              </c:numCache>
            </c:numRef>
          </c:val>
          <c:extLst>
            <c:ext xmlns:c15="http://schemas.microsoft.com/office/drawing/2012/chart" uri="{02D57815-91ED-43cb-92C2-25804820EDAC}">
              <c15:datalabelsRange>
                <c15:f>Arbeitsbereich!$G$67</c15:f>
                <c15:dlblRangeCache>
                  <c:ptCount val="1"/>
                  <c:pt idx="0">
                    <c:v>0%</c:v>
                  </c:pt>
                </c15:dlblRangeCache>
              </c15:datalabelsRange>
            </c:ext>
            <c:ext xmlns:c16="http://schemas.microsoft.com/office/drawing/2014/chart" uri="{C3380CC4-5D6E-409C-BE32-E72D297353CC}">
              <c16:uniqueId val="{00000003-39A5-402F-ACB5-DA7AE67B31AB}"/>
            </c:ext>
          </c:extLst>
        </c:ser>
        <c:ser>
          <c:idx val="4"/>
          <c:order val="4"/>
          <c:tx>
            <c:strRef>
              <c:f>Arbeitsbereich!$C$68</c:f>
              <c:strCache>
                <c:ptCount val="1"/>
                <c:pt idx="0">
                  <c:v>Blockiert</c:v>
                </c:pt>
              </c:strCache>
            </c:strRef>
          </c:tx>
          <c:spPr>
            <a:solidFill>
              <a:srgbClr val="E26785"/>
            </a:solidFill>
            <a:ln>
              <a:noFill/>
            </a:ln>
            <a:effectLst/>
          </c:spPr>
          <c:invertIfNegative val="0"/>
          <c:dLbls>
            <c:delete val="1"/>
          </c:dLbls>
          <c:val>
            <c:numRef>
              <c:f>Arbeitsbereich!$F$68</c:f>
              <c:numCache>
                <c:formatCode>General</c:formatCode>
                <c:ptCount val="1"/>
                <c:pt idx="0">
                  <c:v>0</c:v>
                </c:pt>
              </c:numCache>
            </c:numRef>
          </c:val>
          <c:extLst>
            <c:ext xmlns:c16="http://schemas.microsoft.com/office/drawing/2014/chart" uri="{C3380CC4-5D6E-409C-BE32-E72D297353CC}">
              <c16:uniqueId val="{00000004-39A5-402F-ACB5-DA7AE67B31AB}"/>
            </c:ext>
          </c:extLst>
        </c:ser>
        <c:ser>
          <c:idx val="5"/>
          <c:order val="5"/>
          <c:tx>
            <c:strRef>
              <c:f>Arbeitsbereich!$C$69</c:f>
              <c:strCache>
                <c:ptCount val="1"/>
                <c:pt idx="0">
                  <c:v>Abgebrochen</c:v>
                </c:pt>
              </c:strCache>
            </c:strRef>
          </c:tx>
          <c:spPr>
            <a:solidFill>
              <a:srgbClr val="571022"/>
            </a:solidFill>
            <a:ln>
              <a:noFill/>
            </a:ln>
            <a:effectLst/>
          </c:spPr>
          <c:invertIfNegative val="0"/>
          <c:dLbls>
            <c:delete val="1"/>
          </c:dLbls>
          <c:val>
            <c:numRef>
              <c:f>Arbeitsbereich!$F$69</c:f>
              <c:numCache>
                <c:formatCode>General</c:formatCode>
                <c:ptCount val="1"/>
                <c:pt idx="0">
                  <c:v>0</c:v>
                </c:pt>
              </c:numCache>
            </c:numRef>
          </c:val>
          <c:extLst>
            <c:ext xmlns:c16="http://schemas.microsoft.com/office/drawing/2014/chart" uri="{C3380CC4-5D6E-409C-BE32-E72D297353CC}">
              <c16:uniqueId val="{00000005-39A5-402F-ACB5-DA7AE67B31AB}"/>
            </c:ext>
          </c:extLst>
        </c:ser>
        <c:dLbls>
          <c:dLblPos val="ctr"/>
          <c:showLegendKey val="0"/>
          <c:showVal val="1"/>
          <c:showCatName val="0"/>
          <c:showSerName val="0"/>
          <c:showPercent val="0"/>
          <c:showBubbleSize val="0"/>
        </c:dLbls>
        <c:gapWidth val="0"/>
        <c:overlap val="100"/>
        <c:axId val="216409327"/>
        <c:axId val="216407887"/>
      </c:barChart>
      <c:catAx>
        <c:axId val="216409327"/>
        <c:scaling>
          <c:orientation val="minMax"/>
        </c:scaling>
        <c:delete val="1"/>
        <c:axPos val="l"/>
        <c:numFmt formatCode="General" sourceLinked="1"/>
        <c:majorTickMark val="none"/>
        <c:minorTickMark val="none"/>
        <c:tickLblPos val="nextTo"/>
        <c:crossAx val="216407887"/>
        <c:crosses val="autoZero"/>
        <c:auto val="1"/>
        <c:lblAlgn val="ctr"/>
        <c:lblOffset val="100"/>
        <c:noMultiLvlLbl val="0"/>
      </c:catAx>
      <c:valAx>
        <c:axId val="216407887"/>
        <c:scaling>
          <c:orientation val="minMax"/>
        </c:scaling>
        <c:delete val="1"/>
        <c:axPos val="b"/>
        <c:numFmt formatCode="General" sourceLinked="1"/>
        <c:majorTickMark val="none"/>
        <c:minorTickMark val="none"/>
        <c:tickLblPos val="nextTo"/>
        <c:crossAx val="216409327"/>
        <c:crosses val="autoZero"/>
        <c:crossBetween val="between"/>
      </c:valAx>
      <c:spPr>
        <a:noFill/>
        <a:ln>
          <a:noFill/>
        </a:ln>
        <a:effectLst/>
      </c:spPr>
    </c:plotArea>
    <c:legend>
      <c:legendPos val="t"/>
      <c:layout>
        <c:manualLayout>
          <c:xMode val="edge"/>
          <c:yMode val="edge"/>
          <c:x val="0.4870932098765432"/>
          <c:y val="4.0960771756257605E-2"/>
          <c:w val="0.48834444444444447"/>
          <c:h val="0.66015248299550555"/>
        </c:manualLayout>
      </c:layout>
      <c:overlay val="0"/>
      <c:spPr>
        <a:noFill/>
        <a:ln>
          <a:noFill/>
        </a:ln>
        <a:effectLst/>
      </c:spPr>
      <c:txPr>
        <a:bodyPr rot="0" spcFirstLastPara="1" vertOverflow="ellipsis" vert="horz" wrap="square" anchor="t"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AT">
                <a:solidFill>
                  <a:srgbClr val="831933"/>
                </a:solidFill>
                <a:latin typeface="Arial" panose="020B0604020202020204" pitchFamily="34" charset="0"/>
                <a:cs typeface="Arial" panose="020B0604020202020204" pitchFamily="34" charset="0"/>
              </a:rPr>
              <a:t>Ø PROJEKTFORTSCHRITT</a:t>
            </a:r>
          </a:p>
        </c:rich>
      </c:tx>
      <c:layout>
        <c:manualLayout>
          <c:xMode val="edge"/>
          <c:yMode val="edge"/>
          <c:x val="0.12547566207734165"/>
          <c:y val="0.114577851289376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881F-4D58-83C7-3AA26A0D1F5A}"/>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881F-4D58-83C7-3AA26A0D1F5A}"/>
              </c:ext>
            </c:extLst>
          </c:dPt>
          <c:val>
            <c:numRef>
              <c:f>Arbeitsbereich!$E$105:$E$106</c:f>
              <c:numCache>
                <c:formatCode>0%</c:formatCode>
                <c:ptCount val="2"/>
                <c:pt idx="0">
                  <c:v>0</c:v>
                </c:pt>
                <c:pt idx="1">
                  <c:v>1</c:v>
                </c:pt>
              </c:numCache>
            </c:numRef>
          </c:val>
          <c:extLst>
            <c:ext xmlns:c16="http://schemas.microsoft.com/office/drawing/2014/chart" uri="{C3380CC4-5D6E-409C-BE32-E72D297353CC}">
              <c16:uniqueId val="{00000004-881F-4D58-83C7-3AA26A0D1F5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Arbeitsbereich!$C$109</c:f>
              <c:strCache>
                <c:ptCount val="1"/>
                <c:pt idx="0">
                  <c:v>Plan-Kosten</c:v>
                </c:pt>
              </c:strCache>
            </c:strRef>
          </c:tx>
          <c:spPr>
            <a:solidFill>
              <a:srgbClr val="1E533E"/>
            </a:solidFill>
            <a:ln>
              <a:noFill/>
            </a:ln>
            <a:effectLst/>
          </c:spPr>
          <c:invertIfNegative val="0"/>
          <c:dLbls>
            <c:dLbl>
              <c:idx val="0"/>
              <c:tx>
                <c:rich>
                  <a:bodyPr/>
                  <a:lstStyle/>
                  <a:p>
                    <a:fld id="{E0F2AEA1-5A78-4DEB-A225-D1D616258967}"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576-4DE9-96AA-6D5B7732F9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Arbeitsbereich!$S$109</c:f>
              <c:numCache>
                <c:formatCode>#\ ##0_ ;\-#\ ##0\ </c:formatCode>
                <c:ptCount val="1"/>
                <c:pt idx="0">
                  <c:v>0</c:v>
                </c:pt>
              </c:numCache>
            </c:numRef>
          </c:val>
          <c:extLst>
            <c:ext xmlns:c15="http://schemas.microsoft.com/office/drawing/2012/chart" uri="{02D57815-91ED-43cb-92C2-25804820EDAC}">
              <c15:datalabelsRange>
                <c15:f>Arbeitsbereich!$T$109</c15:f>
                <c15:dlblRangeCache>
                  <c:ptCount val="1"/>
                  <c:pt idx="0">
                    <c:v>€ 0,00 Mio</c:v>
                  </c:pt>
                </c15:dlblRangeCache>
              </c15:datalabelsRange>
            </c:ext>
            <c:ext xmlns:c16="http://schemas.microsoft.com/office/drawing/2014/chart" uri="{C3380CC4-5D6E-409C-BE32-E72D297353CC}">
              <c16:uniqueId val="{00000000-E576-4DE9-96AA-6D5B7732F999}"/>
            </c:ext>
          </c:extLst>
        </c:ser>
        <c:ser>
          <c:idx val="1"/>
          <c:order val="1"/>
          <c:tx>
            <c:strRef>
              <c:f>Arbeitsbereich!$C$110</c:f>
              <c:strCache>
                <c:ptCount val="1"/>
                <c:pt idx="0">
                  <c:v>Ist-Kosten</c:v>
                </c:pt>
              </c:strCache>
            </c:strRef>
          </c:tx>
          <c:spPr>
            <a:solidFill>
              <a:srgbClr val="61C59F"/>
            </a:solidFill>
            <a:ln>
              <a:noFill/>
            </a:ln>
            <a:effectLst/>
          </c:spPr>
          <c:invertIfNegative val="0"/>
          <c:dLbls>
            <c:dLbl>
              <c:idx val="0"/>
              <c:tx>
                <c:rich>
                  <a:bodyPr/>
                  <a:lstStyle/>
                  <a:p>
                    <a:fld id="{F51F610D-E6E5-4CC9-B004-0B456BD7E9EA}"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576-4DE9-96AA-6D5B7732F9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Arbeitsbereich!$S$110</c:f>
              <c:numCache>
                <c:formatCode>#\ ##0_ ;\-#\ ##0\ </c:formatCode>
                <c:ptCount val="1"/>
                <c:pt idx="0">
                  <c:v>0</c:v>
                </c:pt>
              </c:numCache>
            </c:numRef>
          </c:val>
          <c:extLst>
            <c:ext xmlns:c15="http://schemas.microsoft.com/office/drawing/2012/chart" uri="{02D57815-91ED-43cb-92C2-25804820EDAC}">
              <c15:datalabelsRange>
                <c15:f>Arbeitsbereich!$T$110</c15:f>
                <c15:dlblRangeCache>
                  <c:ptCount val="1"/>
                  <c:pt idx="0">
                    <c:v>€ 0,00 Mio</c:v>
                  </c:pt>
                </c15:dlblRangeCache>
              </c15:datalabelsRange>
            </c:ext>
            <c:ext xmlns:c16="http://schemas.microsoft.com/office/drawing/2014/chart" uri="{C3380CC4-5D6E-409C-BE32-E72D297353CC}">
              <c16:uniqueId val="{00000001-E576-4DE9-96AA-6D5B7732F999}"/>
            </c:ext>
          </c:extLst>
        </c:ser>
        <c:dLbls>
          <c:showLegendKey val="0"/>
          <c:showVal val="0"/>
          <c:showCatName val="0"/>
          <c:showSerName val="0"/>
          <c:showPercent val="0"/>
          <c:showBubbleSize val="0"/>
        </c:dLbls>
        <c:gapWidth val="182"/>
        <c:axId val="993924319"/>
        <c:axId val="993915199"/>
      </c:barChart>
      <c:catAx>
        <c:axId val="993924319"/>
        <c:scaling>
          <c:orientation val="minMax"/>
        </c:scaling>
        <c:delete val="1"/>
        <c:axPos val="l"/>
        <c:numFmt formatCode="General" sourceLinked="1"/>
        <c:majorTickMark val="none"/>
        <c:minorTickMark val="none"/>
        <c:tickLblPos val="nextTo"/>
        <c:crossAx val="993915199"/>
        <c:crosses val="autoZero"/>
        <c:auto val="1"/>
        <c:lblAlgn val="ctr"/>
        <c:lblOffset val="100"/>
        <c:noMultiLvlLbl val="0"/>
      </c:catAx>
      <c:valAx>
        <c:axId val="993915199"/>
        <c:scaling>
          <c:orientation val="minMax"/>
        </c:scaling>
        <c:delete val="1"/>
        <c:axPos val="b"/>
        <c:numFmt formatCode="#\ ##0_ ;\-#\ ##0\ " sourceLinked="1"/>
        <c:majorTickMark val="none"/>
        <c:minorTickMark val="none"/>
        <c:tickLblPos val="nextTo"/>
        <c:crossAx val="993924319"/>
        <c:crosses val="autoZero"/>
        <c:crossBetween val="between"/>
      </c:valAx>
      <c:spPr>
        <a:noFill/>
        <a:ln>
          <a:noFill/>
        </a:ln>
        <a:effectLst/>
      </c:spPr>
    </c:plotArea>
    <c:legend>
      <c:legendPos val="r"/>
      <c:layout>
        <c:manualLayout>
          <c:xMode val="edge"/>
          <c:yMode val="edge"/>
          <c:x val="0.83400899550224872"/>
          <c:y val="0.27495478001330526"/>
          <c:w val="0.16599100449775112"/>
          <c:h val="0.499952172896776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292746913580245"/>
          <c:y val="0.35088620792374148"/>
          <c:w val="0.22982407407407407"/>
          <c:h val="0.55453529937444146"/>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E1EF-4214-A879-3F8115D60835}"/>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E1EF-4214-A879-3F8115D60835}"/>
              </c:ext>
            </c:extLst>
          </c:dPt>
          <c:val>
            <c:numRef>
              <c:f>Arbeitsbereich!$G$20:$G$21</c:f>
              <c:numCache>
                <c:formatCode>0%</c:formatCode>
                <c:ptCount val="2"/>
                <c:pt idx="0">
                  <c:v>1</c:v>
                </c:pt>
                <c:pt idx="1">
                  <c:v>0</c:v>
                </c:pt>
              </c:numCache>
            </c:numRef>
          </c:val>
          <c:extLst>
            <c:ext xmlns:c16="http://schemas.microsoft.com/office/drawing/2014/chart" uri="{C3380CC4-5D6E-409C-BE32-E72D297353CC}">
              <c16:uniqueId val="{00000004-E1EF-4214-A879-3F8115D6083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AT">
                <a:solidFill>
                  <a:srgbClr val="831933"/>
                </a:solidFill>
                <a:latin typeface="Arial" panose="020B0604020202020204" pitchFamily="34" charset="0"/>
                <a:cs typeface="Arial" panose="020B0604020202020204" pitchFamily="34" charset="0"/>
              </a:rPr>
              <a:t>PROJEKTAUFTRAGGEBER:IN</a:t>
            </a:r>
          </a:p>
        </c:rich>
      </c:tx>
      <c:layout>
        <c:manualLayout>
          <c:xMode val="edge"/>
          <c:yMode val="edge"/>
          <c:x val="1.2859570611227555E-2"/>
          <c:y val="6.37618775319864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2.5134649910233394E-2"/>
          <c:y val="0.54354947567038003"/>
          <c:w val="0.92100538599640935"/>
          <c:h val="0.3550680358503574"/>
        </c:manualLayout>
      </c:layout>
      <c:barChart>
        <c:barDir val="bar"/>
        <c:grouping val="percentStacked"/>
        <c:varyColors val="0"/>
        <c:ser>
          <c:idx val="0"/>
          <c:order val="0"/>
          <c:tx>
            <c:strRef>
              <c:f>Arbeitsbereich!$C$94</c:f>
              <c:strCache>
                <c:ptCount val="1"/>
                <c:pt idx="0">
                  <c:v>Rektor</c:v>
                </c:pt>
              </c:strCache>
            </c:strRef>
          </c:tx>
          <c:spPr>
            <a:solidFill>
              <a:srgbClr val="571022"/>
            </a:solidFill>
            <a:ln>
              <a:noFill/>
            </a:ln>
            <a:effectLst/>
          </c:spPr>
          <c:invertIfNegative val="0"/>
          <c:dLbls>
            <c:dLbl>
              <c:idx val="0"/>
              <c:tx>
                <c:rich>
                  <a:bodyPr/>
                  <a:lstStyle/>
                  <a:p>
                    <a:fld id="{F29C61C8-E530-49F6-B7E3-9744A35E1DD6}"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835-4E1A-922E-AFA161E6C4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Arbeitsbereich!$F$94</c:f>
              <c:numCache>
                <c:formatCode>General</c:formatCode>
                <c:ptCount val="1"/>
                <c:pt idx="0">
                  <c:v>0</c:v>
                </c:pt>
              </c:numCache>
            </c:numRef>
          </c:val>
          <c:extLst>
            <c:ext xmlns:c15="http://schemas.microsoft.com/office/drawing/2012/chart" uri="{02D57815-91ED-43cb-92C2-25804820EDAC}">
              <c15:datalabelsRange>
                <c15:f>Arbeitsbereich!$G$94</c15:f>
                <c15:dlblRangeCache>
                  <c:ptCount val="1"/>
                  <c:pt idx="0">
                    <c:v>0%</c:v>
                  </c:pt>
                </c15:dlblRangeCache>
              </c15:datalabelsRange>
            </c:ext>
            <c:ext xmlns:c16="http://schemas.microsoft.com/office/drawing/2014/chart" uri="{C3380CC4-5D6E-409C-BE32-E72D297353CC}">
              <c16:uniqueId val="{00000000-0835-4E1A-922E-AFA161E6C42E}"/>
            </c:ext>
          </c:extLst>
        </c:ser>
        <c:ser>
          <c:idx val="1"/>
          <c:order val="1"/>
          <c:tx>
            <c:strRef>
              <c:f>Arbeitsbereich!$C$95</c:f>
              <c:strCache>
                <c:ptCount val="1"/>
                <c:pt idx="0">
                  <c:v>VRLK</c:v>
                </c:pt>
              </c:strCache>
            </c:strRef>
          </c:tx>
          <c:spPr>
            <a:solidFill>
              <a:srgbClr val="83193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053329DA-3BD2-44BD-8035-33A6EF2F921E}" type="CELLRANGE">
                      <a:rPr lang="en-US">
                        <a:solidFill>
                          <a:schemeClr val="bg1"/>
                        </a:solidFill>
                      </a:rPr>
                      <a:pPr>
                        <a:defRPr>
                          <a:solidFill>
                            <a:schemeClr val="bg1"/>
                          </a:solidFill>
                        </a:defRPr>
                      </a:pPr>
                      <a:t>[ZELLBEREICH]</a:t>
                    </a:fld>
                    <a:endParaRPr lang="de-AT"/>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835-4E1A-922E-AFA161E6C4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Arbeitsbereich!$F$95</c:f>
              <c:numCache>
                <c:formatCode>General</c:formatCode>
                <c:ptCount val="1"/>
                <c:pt idx="0">
                  <c:v>1</c:v>
                </c:pt>
              </c:numCache>
            </c:numRef>
          </c:val>
          <c:extLst>
            <c:ext xmlns:c15="http://schemas.microsoft.com/office/drawing/2012/chart" uri="{02D57815-91ED-43cb-92C2-25804820EDAC}">
              <c15:datalabelsRange>
                <c15:f>Arbeitsbereich!$G$95</c15:f>
                <c15:dlblRangeCache>
                  <c:ptCount val="1"/>
                  <c:pt idx="0">
                    <c:v>100%</c:v>
                  </c:pt>
                </c15:dlblRangeCache>
              </c15:datalabelsRange>
            </c:ext>
            <c:ext xmlns:c16="http://schemas.microsoft.com/office/drawing/2014/chart" uri="{C3380CC4-5D6E-409C-BE32-E72D297353CC}">
              <c16:uniqueId val="{00000001-0835-4E1A-922E-AFA161E6C42E}"/>
            </c:ext>
          </c:extLst>
        </c:ser>
        <c:ser>
          <c:idx val="2"/>
          <c:order val="2"/>
          <c:tx>
            <c:strRef>
              <c:f>Arbeitsbereich!$C$96</c:f>
              <c:strCache>
                <c:ptCount val="1"/>
                <c:pt idx="0">
                  <c:v>VRFDI</c:v>
                </c:pt>
              </c:strCache>
            </c:strRef>
          </c:tx>
          <c:spPr>
            <a:solidFill>
              <a:srgbClr val="E26785"/>
            </a:solidFill>
            <a:ln>
              <a:noFill/>
            </a:ln>
            <a:effectLst/>
          </c:spPr>
          <c:invertIfNegative val="0"/>
          <c:dLbls>
            <c:dLbl>
              <c:idx val="0"/>
              <c:tx>
                <c:rich>
                  <a:bodyPr/>
                  <a:lstStyle/>
                  <a:p>
                    <a:fld id="{AE49C9AE-E997-4B96-8083-B9FF1551780E}"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835-4E1A-922E-AFA161E6C4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Arbeitsbereich!$F$96</c:f>
              <c:numCache>
                <c:formatCode>General</c:formatCode>
                <c:ptCount val="1"/>
                <c:pt idx="0">
                  <c:v>0</c:v>
                </c:pt>
              </c:numCache>
            </c:numRef>
          </c:val>
          <c:extLst>
            <c:ext xmlns:c15="http://schemas.microsoft.com/office/drawing/2012/chart" uri="{02D57815-91ED-43cb-92C2-25804820EDAC}">
              <c15:datalabelsRange>
                <c15:f>Arbeitsbereich!$G$96</c15:f>
                <c15:dlblRangeCache>
                  <c:ptCount val="1"/>
                  <c:pt idx="0">
                    <c:v>0%</c:v>
                  </c:pt>
                </c15:dlblRangeCache>
              </c15:datalabelsRange>
            </c:ext>
            <c:ext xmlns:c16="http://schemas.microsoft.com/office/drawing/2014/chart" uri="{C3380CC4-5D6E-409C-BE32-E72D297353CC}">
              <c16:uniqueId val="{00000002-0835-4E1A-922E-AFA161E6C42E}"/>
            </c:ext>
          </c:extLst>
        </c:ser>
        <c:ser>
          <c:idx val="3"/>
          <c:order val="3"/>
          <c:tx>
            <c:strRef>
              <c:f>Arbeitsbereich!$C$97</c:f>
              <c:strCache>
                <c:ptCount val="1"/>
                <c:pt idx="0">
                  <c:v>VRFIN</c:v>
                </c:pt>
              </c:strCache>
            </c:strRef>
          </c:tx>
          <c:spPr>
            <a:solidFill>
              <a:srgbClr val="EC99AE"/>
            </a:solidFill>
            <a:ln>
              <a:noFill/>
            </a:ln>
            <a:effectLst/>
          </c:spPr>
          <c:invertIfNegative val="0"/>
          <c:val>
            <c:numRef>
              <c:f>Arbeitsbereich!$F$97</c:f>
              <c:numCache>
                <c:formatCode>General</c:formatCode>
                <c:ptCount val="1"/>
                <c:pt idx="0">
                  <c:v>0</c:v>
                </c:pt>
              </c:numCache>
            </c:numRef>
          </c:val>
          <c:extLst>
            <c:ext xmlns:c16="http://schemas.microsoft.com/office/drawing/2014/chart" uri="{C3380CC4-5D6E-409C-BE32-E72D297353CC}">
              <c16:uniqueId val="{00000003-0835-4E1A-922E-AFA161E6C42E}"/>
            </c:ext>
          </c:extLst>
        </c:ser>
        <c:dLbls>
          <c:showLegendKey val="0"/>
          <c:showVal val="0"/>
          <c:showCatName val="0"/>
          <c:showSerName val="0"/>
          <c:showPercent val="0"/>
          <c:showBubbleSize val="0"/>
        </c:dLbls>
        <c:gapWidth val="150"/>
        <c:overlap val="100"/>
        <c:axId val="945456111"/>
        <c:axId val="945452271"/>
      </c:barChart>
      <c:catAx>
        <c:axId val="945456111"/>
        <c:scaling>
          <c:orientation val="minMax"/>
        </c:scaling>
        <c:delete val="1"/>
        <c:axPos val="l"/>
        <c:numFmt formatCode="General" sourceLinked="1"/>
        <c:majorTickMark val="none"/>
        <c:minorTickMark val="none"/>
        <c:tickLblPos val="nextTo"/>
        <c:crossAx val="945452271"/>
        <c:crosses val="autoZero"/>
        <c:auto val="1"/>
        <c:lblAlgn val="ctr"/>
        <c:lblOffset val="100"/>
        <c:noMultiLvlLbl val="0"/>
      </c:catAx>
      <c:valAx>
        <c:axId val="945452271"/>
        <c:scaling>
          <c:orientation val="minMax"/>
        </c:scaling>
        <c:delete val="1"/>
        <c:axPos val="b"/>
        <c:numFmt formatCode="0%" sourceLinked="1"/>
        <c:majorTickMark val="none"/>
        <c:minorTickMark val="none"/>
        <c:tickLblPos val="nextTo"/>
        <c:crossAx val="945456111"/>
        <c:crosses val="autoZero"/>
        <c:crossBetween val="between"/>
      </c:valAx>
      <c:spPr>
        <a:noFill/>
        <a:ln>
          <a:noFill/>
        </a:ln>
        <a:effectLst/>
      </c:spPr>
    </c:plotArea>
    <c:legend>
      <c:legendPos val="t"/>
      <c:layout>
        <c:manualLayout>
          <c:xMode val="edge"/>
          <c:yMode val="edge"/>
          <c:x val="0.22910100266243699"/>
          <c:y val="0.3763382696919586"/>
          <c:w val="0.54179799467512602"/>
          <c:h val="0.148352686683395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831933"/>
              </a:solidFill>
              <a:ln>
                <a:noFill/>
              </a:ln>
              <a:effectLst/>
            </c:spPr>
            <c:extLst>
              <c:ext xmlns:c16="http://schemas.microsoft.com/office/drawing/2014/chart" uri="{C3380CC4-5D6E-409C-BE32-E72D297353CC}">
                <c16:uniqueId val="{00000003-BF9E-42A1-9FC3-166789A850E3}"/>
              </c:ext>
            </c:extLst>
          </c:dPt>
          <c:dPt>
            <c:idx val="1"/>
            <c:invertIfNegative val="0"/>
            <c:bubble3D val="0"/>
            <c:spPr>
              <a:solidFill>
                <a:srgbClr val="E26785"/>
              </a:solidFill>
              <a:ln>
                <a:noFill/>
              </a:ln>
              <a:effectLst/>
            </c:spPr>
            <c:extLst>
              <c:ext xmlns:c16="http://schemas.microsoft.com/office/drawing/2014/chart" uri="{C3380CC4-5D6E-409C-BE32-E72D297353CC}">
                <c16:uniqueId val="{00000002-BF9E-42A1-9FC3-166789A850E3}"/>
              </c:ext>
            </c:extLst>
          </c:dPt>
          <c:dPt>
            <c:idx val="2"/>
            <c:invertIfNegative val="0"/>
            <c:bubble3D val="0"/>
            <c:spPr>
              <a:solidFill>
                <a:srgbClr val="EC99AE"/>
              </a:solidFill>
              <a:ln>
                <a:noFill/>
              </a:ln>
              <a:effectLst/>
            </c:spPr>
            <c:extLst>
              <c:ext xmlns:c16="http://schemas.microsoft.com/office/drawing/2014/chart" uri="{C3380CC4-5D6E-409C-BE32-E72D297353CC}">
                <c16:uniqueId val="{00000001-BF9E-42A1-9FC3-166789A850E3}"/>
              </c:ext>
            </c:extLst>
          </c:dPt>
          <c:dLbls>
            <c:dLbl>
              <c:idx val="0"/>
              <c:tx>
                <c:rich>
                  <a:bodyPr/>
                  <a:lstStyle/>
                  <a:p>
                    <a:fld id="{6128D7D1-830D-4F2A-9730-C00D3B2DFCBD}"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F9E-42A1-9FC3-166789A850E3}"/>
                </c:ext>
              </c:extLst>
            </c:dLbl>
            <c:dLbl>
              <c:idx val="1"/>
              <c:tx>
                <c:rich>
                  <a:bodyPr/>
                  <a:lstStyle/>
                  <a:p>
                    <a:fld id="{78BFC556-FFBB-40B1-A93B-3B299AA9552E}"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F9E-42A1-9FC3-166789A850E3}"/>
                </c:ext>
              </c:extLst>
            </c:dLbl>
            <c:dLbl>
              <c:idx val="2"/>
              <c:tx>
                <c:rich>
                  <a:bodyPr/>
                  <a:lstStyle/>
                  <a:p>
                    <a:fld id="{B87EA038-2BB9-4D41-9F2C-C4479D4772B5}"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F9E-42A1-9FC3-166789A850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Arbeitsbereich!$C$117:$C$119</c:f>
              <c:strCache>
                <c:ptCount val="3"/>
                <c:pt idx="0">
                  <c:v>Lange Projektlaufzeit (&gt;12 Monate)</c:v>
                </c:pt>
                <c:pt idx="1">
                  <c:v>Mittlere Projektlaufzeit (6 - 12 Monate)</c:v>
                </c:pt>
                <c:pt idx="2">
                  <c:v>Kurze Projektlaufzeit (&lt;6 Monate)</c:v>
                </c:pt>
              </c:strCache>
            </c:strRef>
          </c:cat>
          <c:val>
            <c:numRef>
              <c:f>Arbeitsbereich!$H$117:$H$119</c:f>
              <c:numCache>
                <c:formatCode>General</c:formatCode>
                <c:ptCount val="3"/>
                <c:pt idx="0">
                  <c:v>0</c:v>
                </c:pt>
                <c:pt idx="1">
                  <c:v>0</c:v>
                </c:pt>
                <c:pt idx="2">
                  <c:v>0</c:v>
                </c:pt>
              </c:numCache>
            </c:numRef>
          </c:val>
          <c:extLst>
            <c:ext xmlns:c15="http://schemas.microsoft.com/office/drawing/2012/chart" uri="{02D57815-91ED-43cb-92C2-25804820EDAC}">
              <c15:datalabelsRange>
                <c15:f>Arbeitsbereich!$I$117:$I$119</c15:f>
                <c15:dlblRangeCache>
                  <c:ptCount val="3"/>
                  <c:pt idx="0">
                    <c:v>0%</c:v>
                  </c:pt>
                  <c:pt idx="1">
                    <c:v>0%</c:v>
                  </c:pt>
                  <c:pt idx="2">
                    <c:v>0%</c:v>
                  </c:pt>
                </c15:dlblRangeCache>
              </c15:datalabelsRange>
            </c:ext>
            <c:ext xmlns:c16="http://schemas.microsoft.com/office/drawing/2014/chart" uri="{C3380CC4-5D6E-409C-BE32-E72D297353CC}">
              <c16:uniqueId val="{00000000-BF9E-42A1-9FC3-166789A850E3}"/>
            </c:ext>
          </c:extLst>
        </c:ser>
        <c:dLbls>
          <c:showLegendKey val="0"/>
          <c:showVal val="1"/>
          <c:showCatName val="0"/>
          <c:showSerName val="0"/>
          <c:showPercent val="0"/>
          <c:showBubbleSize val="0"/>
        </c:dLbls>
        <c:gapWidth val="0"/>
        <c:axId val="218505711"/>
        <c:axId val="218506191"/>
      </c:barChart>
      <c:catAx>
        <c:axId val="2185057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crossAx val="218506191"/>
        <c:crosses val="autoZero"/>
        <c:auto val="1"/>
        <c:lblAlgn val="ctr"/>
        <c:lblOffset val="0"/>
        <c:tickLblSkip val="1"/>
        <c:noMultiLvlLbl val="0"/>
      </c:catAx>
      <c:valAx>
        <c:axId val="218506191"/>
        <c:scaling>
          <c:orientation val="minMax"/>
        </c:scaling>
        <c:delete val="1"/>
        <c:axPos val="b"/>
        <c:numFmt formatCode="General" sourceLinked="1"/>
        <c:majorTickMark val="none"/>
        <c:minorTickMark val="none"/>
        <c:tickLblPos val="nextTo"/>
        <c:crossAx val="21850571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Arbeitsbereich!$R$79</c:f>
              <c:strCache>
                <c:ptCount val="1"/>
                <c:pt idx="0">
                  <c:v>Sehr Gering</c:v>
                </c:pt>
              </c:strCache>
            </c:strRef>
          </c:tx>
          <c:spPr>
            <a:solidFill>
              <a:srgbClr val="339966"/>
            </a:solidFill>
            <a:ln w="25400">
              <a:noFill/>
            </a:ln>
            <a:effectLst/>
          </c:spPr>
          <c:cat>
            <c:strRef>
              <c:f>Arbeitsbereich!$S$78:$AB$78</c:f>
              <c:strCache>
                <c:ptCount val="10"/>
                <c:pt idx="0">
                  <c:v>initial</c:v>
                </c:pt>
                <c:pt idx="1">
                  <c:v>Q4/25</c:v>
                </c:pt>
                <c:pt idx="2">
                  <c:v>Q1/26</c:v>
                </c:pt>
                <c:pt idx="3">
                  <c:v>Q2/26</c:v>
                </c:pt>
                <c:pt idx="4">
                  <c:v>Q3/26</c:v>
                </c:pt>
                <c:pt idx="5">
                  <c:v>Q4/26</c:v>
                </c:pt>
                <c:pt idx="6">
                  <c:v>Q1/27</c:v>
                </c:pt>
                <c:pt idx="7">
                  <c:v>Q2/27</c:v>
                </c:pt>
                <c:pt idx="8">
                  <c:v>Q3/27</c:v>
                </c:pt>
                <c:pt idx="9">
                  <c:v>Q4/27</c:v>
                </c:pt>
              </c:strCache>
            </c:strRef>
          </c:cat>
          <c:val>
            <c:numRef>
              <c:f>Arbeitsbereich!$S$79:$AB$79</c:f>
              <c:numCache>
                <c:formatCode>General</c:formatCode>
                <c:ptCount val="10"/>
                <c:pt idx="0">
                  <c:v>0</c:v>
                </c:pt>
                <c:pt idx="1">
                  <c:v>0</c:v>
                </c:pt>
              </c:numCache>
            </c:numRef>
          </c:val>
          <c:extLst>
            <c:ext xmlns:c16="http://schemas.microsoft.com/office/drawing/2014/chart" uri="{C3380CC4-5D6E-409C-BE32-E72D297353CC}">
              <c16:uniqueId val="{00000000-2350-44A8-B2FE-8348B21F3923}"/>
            </c:ext>
          </c:extLst>
        </c:ser>
        <c:ser>
          <c:idx val="1"/>
          <c:order val="1"/>
          <c:tx>
            <c:strRef>
              <c:f>Arbeitsbereich!$R$80</c:f>
              <c:strCache>
                <c:ptCount val="1"/>
                <c:pt idx="0">
                  <c:v>Gering</c:v>
                </c:pt>
              </c:strCache>
            </c:strRef>
          </c:tx>
          <c:spPr>
            <a:solidFill>
              <a:srgbClr val="AEE4C9"/>
            </a:solidFill>
            <a:ln w="25400">
              <a:noFill/>
            </a:ln>
            <a:effectLst/>
          </c:spPr>
          <c:cat>
            <c:strRef>
              <c:f>Arbeitsbereich!$S$78:$AB$78</c:f>
              <c:strCache>
                <c:ptCount val="10"/>
                <c:pt idx="0">
                  <c:v>initial</c:v>
                </c:pt>
                <c:pt idx="1">
                  <c:v>Q4/25</c:v>
                </c:pt>
                <c:pt idx="2">
                  <c:v>Q1/26</c:v>
                </c:pt>
                <c:pt idx="3">
                  <c:v>Q2/26</c:v>
                </c:pt>
                <c:pt idx="4">
                  <c:v>Q3/26</c:v>
                </c:pt>
                <c:pt idx="5">
                  <c:v>Q4/26</c:v>
                </c:pt>
                <c:pt idx="6">
                  <c:v>Q1/27</c:v>
                </c:pt>
                <c:pt idx="7">
                  <c:v>Q2/27</c:v>
                </c:pt>
                <c:pt idx="8">
                  <c:v>Q3/27</c:v>
                </c:pt>
                <c:pt idx="9">
                  <c:v>Q4/27</c:v>
                </c:pt>
              </c:strCache>
            </c:strRef>
          </c:cat>
          <c:val>
            <c:numRef>
              <c:f>Arbeitsbereich!$S$80:$AB$80</c:f>
              <c:numCache>
                <c:formatCode>General</c:formatCode>
                <c:ptCount val="10"/>
                <c:pt idx="0">
                  <c:v>0</c:v>
                </c:pt>
                <c:pt idx="1">
                  <c:v>0</c:v>
                </c:pt>
              </c:numCache>
            </c:numRef>
          </c:val>
          <c:extLst>
            <c:ext xmlns:c16="http://schemas.microsoft.com/office/drawing/2014/chart" uri="{C3380CC4-5D6E-409C-BE32-E72D297353CC}">
              <c16:uniqueId val="{00000001-2350-44A8-B2FE-8348B21F3923}"/>
            </c:ext>
          </c:extLst>
        </c:ser>
        <c:ser>
          <c:idx val="2"/>
          <c:order val="2"/>
          <c:tx>
            <c:strRef>
              <c:f>Arbeitsbereich!$R$81</c:f>
              <c:strCache>
                <c:ptCount val="1"/>
                <c:pt idx="0">
                  <c:v>Mittel</c:v>
                </c:pt>
              </c:strCache>
            </c:strRef>
          </c:tx>
          <c:spPr>
            <a:solidFill>
              <a:srgbClr val="FFFF99"/>
            </a:solidFill>
            <a:ln w="25400">
              <a:noFill/>
            </a:ln>
            <a:effectLst/>
          </c:spPr>
          <c:cat>
            <c:strRef>
              <c:f>Arbeitsbereich!$S$78:$AB$78</c:f>
              <c:strCache>
                <c:ptCount val="10"/>
                <c:pt idx="0">
                  <c:v>initial</c:v>
                </c:pt>
                <c:pt idx="1">
                  <c:v>Q4/25</c:v>
                </c:pt>
                <c:pt idx="2">
                  <c:v>Q1/26</c:v>
                </c:pt>
                <c:pt idx="3">
                  <c:v>Q2/26</c:v>
                </c:pt>
                <c:pt idx="4">
                  <c:v>Q3/26</c:v>
                </c:pt>
                <c:pt idx="5">
                  <c:v>Q4/26</c:v>
                </c:pt>
                <c:pt idx="6">
                  <c:v>Q1/27</c:v>
                </c:pt>
                <c:pt idx="7">
                  <c:v>Q2/27</c:v>
                </c:pt>
                <c:pt idx="8">
                  <c:v>Q3/27</c:v>
                </c:pt>
                <c:pt idx="9">
                  <c:v>Q4/27</c:v>
                </c:pt>
              </c:strCache>
            </c:strRef>
          </c:cat>
          <c:val>
            <c:numRef>
              <c:f>Arbeitsbereich!$S$81:$AB$81</c:f>
              <c:numCache>
                <c:formatCode>General</c:formatCode>
                <c:ptCount val="10"/>
                <c:pt idx="0">
                  <c:v>1</c:v>
                </c:pt>
                <c:pt idx="1">
                  <c:v>1</c:v>
                </c:pt>
              </c:numCache>
            </c:numRef>
          </c:val>
          <c:extLst>
            <c:ext xmlns:c16="http://schemas.microsoft.com/office/drawing/2014/chart" uri="{C3380CC4-5D6E-409C-BE32-E72D297353CC}">
              <c16:uniqueId val="{00000002-2350-44A8-B2FE-8348B21F3923}"/>
            </c:ext>
          </c:extLst>
        </c:ser>
        <c:ser>
          <c:idx val="3"/>
          <c:order val="3"/>
          <c:tx>
            <c:strRef>
              <c:f>Arbeitsbereich!$R$82</c:f>
              <c:strCache>
                <c:ptCount val="1"/>
                <c:pt idx="0">
                  <c:v>Hoch</c:v>
                </c:pt>
              </c:strCache>
            </c:strRef>
          </c:tx>
          <c:spPr>
            <a:solidFill>
              <a:srgbClr val="EC99AE"/>
            </a:solidFill>
            <a:ln w="25400">
              <a:noFill/>
            </a:ln>
            <a:effectLst/>
          </c:spPr>
          <c:cat>
            <c:strRef>
              <c:f>Arbeitsbereich!$S$78:$AB$78</c:f>
              <c:strCache>
                <c:ptCount val="10"/>
                <c:pt idx="0">
                  <c:v>initial</c:v>
                </c:pt>
                <c:pt idx="1">
                  <c:v>Q4/25</c:v>
                </c:pt>
                <c:pt idx="2">
                  <c:v>Q1/26</c:v>
                </c:pt>
                <c:pt idx="3">
                  <c:v>Q2/26</c:v>
                </c:pt>
                <c:pt idx="4">
                  <c:v>Q3/26</c:v>
                </c:pt>
                <c:pt idx="5">
                  <c:v>Q4/26</c:v>
                </c:pt>
                <c:pt idx="6">
                  <c:v>Q1/27</c:v>
                </c:pt>
                <c:pt idx="7">
                  <c:v>Q2/27</c:v>
                </c:pt>
                <c:pt idx="8">
                  <c:v>Q3/27</c:v>
                </c:pt>
                <c:pt idx="9">
                  <c:v>Q4/27</c:v>
                </c:pt>
              </c:strCache>
            </c:strRef>
          </c:cat>
          <c:val>
            <c:numRef>
              <c:f>Arbeitsbereich!$S$82:$AB$82</c:f>
              <c:numCache>
                <c:formatCode>General</c:formatCode>
                <c:ptCount val="10"/>
                <c:pt idx="0">
                  <c:v>0</c:v>
                </c:pt>
                <c:pt idx="1">
                  <c:v>0</c:v>
                </c:pt>
              </c:numCache>
            </c:numRef>
          </c:val>
          <c:extLst>
            <c:ext xmlns:c16="http://schemas.microsoft.com/office/drawing/2014/chart" uri="{C3380CC4-5D6E-409C-BE32-E72D297353CC}">
              <c16:uniqueId val="{00000003-2350-44A8-B2FE-8348B21F3923}"/>
            </c:ext>
          </c:extLst>
        </c:ser>
        <c:ser>
          <c:idx val="4"/>
          <c:order val="4"/>
          <c:tx>
            <c:strRef>
              <c:f>Arbeitsbereich!$R$83</c:f>
              <c:strCache>
                <c:ptCount val="1"/>
                <c:pt idx="0">
                  <c:v>Sehr Hoch</c:v>
                </c:pt>
              </c:strCache>
            </c:strRef>
          </c:tx>
          <c:spPr>
            <a:solidFill>
              <a:srgbClr val="831933"/>
            </a:solidFill>
            <a:ln w="25400">
              <a:noFill/>
            </a:ln>
            <a:effectLst/>
          </c:spPr>
          <c:cat>
            <c:strRef>
              <c:f>Arbeitsbereich!$S$78:$AB$78</c:f>
              <c:strCache>
                <c:ptCount val="10"/>
                <c:pt idx="0">
                  <c:v>initial</c:v>
                </c:pt>
                <c:pt idx="1">
                  <c:v>Q4/25</c:v>
                </c:pt>
                <c:pt idx="2">
                  <c:v>Q1/26</c:v>
                </c:pt>
                <c:pt idx="3">
                  <c:v>Q2/26</c:v>
                </c:pt>
                <c:pt idx="4">
                  <c:v>Q3/26</c:v>
                </c:pt>
                <c:pt idx="5">
                  <c:v>Q4/26</c:v>
                </c:pt>
                <c:pt idx="6">
                  <c:v>Q1/27</c:v>
                </c:pt>
                <c:pt idx="7">
                  <c:v>Q2/27</c:v>
                </c:pt>
                <c:pt idx="8">
                  <c:v>Q3/27</c:v>
                </c:pt>
                <c:pt idx="9">
                  <c:v>Q4/27</c:v>
                </c:pt>
              </c:strCache>
            </c:strRef>
          </c:cat>
          <c:val>
            <c:numRef>
              <c:f>Arbeitsbereich!$S$83:$AB$83</c:f>
              <c:numCache>
                <c:formatCode>General</c:formatCode>
                <c:ptCount val="10"/>
                <c:pt idx="0">
                  <c:v>0</c:v>
                </c:pt>
                <c:pt idx="1">
                  <c:v>0</c:v>
                </c:pt>
              </c:numCache>
            </c:numRef>
          </c:val>
          <c:extLst>
            <c:ext xmlns:c16="http://schemas.microsoft.com/office/drawing/2014/chart" uri="{C3380CC4-5D6E-409C-BE32-E72D297353CC}">
              <c16:uniqueId val="{00000004-2350-44A8-B2FE-8348B21F3923}"/>
            </c:ext>
          </c:extLst>
        </c:ser>
        <c:dLbls>
          <c:showLegendKey val="0"/>
          <c:showVal val="0"/>
          <c:showCatName val="0"/>
          <c:showSerName val="0"/>
          <c:showPercent val="0"/>
          <c:showBubbleSize val="0"/>
        </c:dLbls>
        <c:axId val="1082353663"/>
        <c:axId val="1082355103"/>
      </c:areaChart>
      <c:catAx>
        <c:axId val="10823536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82355103"/>
        <c:crosses val="autoZero"/>
        <c:auto val="1"/>
        <c:lblAlgn val="ctr"/>
        <c:lblOffset val="100"/>
        <c:noMultiLvlLbl val="0"/>
      </c:catAx>
      <c:valAx>
        <c:axId val="1082355103"/>
        <c:scaling>
          <c:orientation val="minMax"/>
          <c:max val="30"/>
        </c:scaling>
        <c:delete val="1"/>
        <c:axPos val="l"/>
        <c:majorGridlines>
          <c:spPr>
            <a:ln w="9525" cap="flat" cmpd="sng" algn="ctr">
              <a:noFill/>
              <a:round/>
            </a:ln>
            <a:effectLst/>
          </c:spPr>
        </c:majorGridlines>
        <c:numFmt formatCode="General" sourceLinked="0"/>
        <c:majorTickMark val="none"/>
        <c:minorTickMark val="none"/>
        <c:tickLblPos val="nextTo"/>
        <c:crossAx val="1082353663"/>
        <c:crosses val="autoZero"/>
        <c:crossBetween val="midCat"/>
        <c:majorUnit val="5"/>
      </c:valAx>
      <c:spPr>
        <a:noFill/>
        <a:ln w="25400">
          <a:noFill/>
        </a:ln>
        <a:effectLst/>
      </c:spPr>
    </c:plotArea>
    <c:legend>
      <c:legendPos val="r"/>
      <c:layout>
        <c:manualLayout>
          <c:xMode val="edge"/>
          <c:yMode val="edge"/>
          <c:x val="0.79593262521975527"/>
          <c:y val="0.53836753745412136"/>
          <c:w val="0.1819331196925405"/>
          <c:h val="0.414390054978987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5CCD6"/>
              </a:solidFill>
              <a:ln w="19050">
                <a:solidFill>
                  <a:schemeClr val="lt1"/>
                </a:solidFill>
              </a:ln>
              <a:effectLst/>
            </c:spPr>
            <c:extLst>
              <c:ext xmlns:c16="http://schemas.microsoft.com/office/drawing/2014/chart" uri="{C3380CC4-5D6E-409C-BE32-E72D297353CC}">
                <c16:uniqueId val="{00000001-2061-4603-A690-0B698101B6CE}"/>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2061-4603-A690-0B698101B6CE}"/>
              </c:ext>
            </c:extLst>
          </c:dPt>
          <c:dPt>
            <c:idx val="2"/>
            <c:bubble3D val="0"/>
            <c:spPr>
              <a:solidFill>
                <a:srgbClr val="831933"/>
              </a:solidFill>
              <a:ln w="19050">
                <a:solidFill>
                  <a:schemeClr val="lt1"/>
                </a:solidFill>
              </a:ln>
              <a:effectLst/>
            </c:spPr>
            <c:extLst>
              <c:ext xmlns:c16="http://schemas.microsoft.com/office/drawing/2014/chart" uri="{C3380CC4-5D6E-409C-BE32-E72D297353CC}">
                <c16:uniqueId val="{00000005-2061-4603-A690-0B698101B6CE}"/>
              </c:ext>
            </c:extLst>
          </c:dPt>
          <c:dLbls>
            <c:dLbl>
              <c:idx val="0"/>
              <c:layout>
                <c:manualLayout>
                  <c:x val="0.27026191672646038"/>
                  <c:y val="0.251865788334663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5D79F1A-16AA-45E8-8BC2-1BE3A444DC07}" type="CELLRANGE">
                      <a:rPr lang="en-US"/>
                      <a:pPr>
                        <a:defRPr/>
                      </a:pPr>
                      <a:t>[ZELLBEREICH]</a:t>
                    </a:fld>
                    <a:endParaRPr lang="en-US" baseline="0"/>
                  </a:p>
                  <a:p>
                    <a:pPr>
                      <a:defRPr/>
                    </a:pPr>
                    <a:fld id="{33B60EBC-C4FB-4365-8F99-2940B70E480C}" type="VALUE">
                      <a:rPr lang="en-US"/>
                      <a:pPr>
                        <a:defRPr/>
                      </a:pPr>
                      <a:t>[WERT]</a:t>
                    </a:fld>
                    <a:endParaRPr lang="de-AT"/>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eparator>
</c:separator>
              <c:extLst>
                <c:ext xmlns:c15="http://schemas.microsoft.com/office/drawing/2012/chart" uri="{CE6537A1-D6FC-4f65-9D91-7224C49458BB}">
                  <c15:layout>
                    <c:manualLayout>
                      <c:w val="0.31053301370505831"/>
                      <c:h val="0.33347607275682362"/>
                    </c:manualLayout>
                  </c15:layout>
                  <c15:dlblFieldTable/>
                  <c15:showDataLabelsRange val="1"/>
                </c:ext>
                <c:ext xmlns:c16="http://schemas.microsoft.com/office/drawing/2014/chart" uri="{C3380CC4-5D6E-409C-BE32-E72D297353CC}">
                  <c16:uniqueId val="{00000001-2061-4603-A690-0B698101B6CE}"/>
                </c:ext>
              </c:extLst>
            </c:dLbl>
            <c:dLbl>
              <c:idx val="1"/>
              <c:layout>
                <c:manualLayout>
                  <c:x val="0.16129331106103181"/>
                  <c:y val="-9.107899233669504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F92C0D3-D118-474A-A4F9-B0DB110401E2}" type="CELLRANGE">
                      <a:rPr lang="en-US"/>
                      <a:pPr>
                        <a:defRPr/>
                      </a:pPr>
                      <a:t>[ZELLBEREICH]</a:t>
                    </a:fld>
                    <a:endParaRPr lang="en-US" baseline="0"/>
                  </a:p>
                  <a:p>
                    <a:pPr>
                      <a:defRPr/>
                    </a:pPr>
                    <a:fld id="{76C6C8F9-922D-44A0-9440-D8BAB5D37103}" type="VALUE">
                      <a:rPr lang="en-US"/>
                      <a:pPr>
                        <a:defRPr/>
                      </a:pPr>
                      <a:t>[WERT]</a:t>
                    </a:fld>
                    <a:endParaRPr lang="de-AT"/>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eparator>
</c:separator>
              <c:extLst>
                <c:ext xmlns:c15="http://schemas.microsoft.com/office/drawing/2012/chart" uri="{CE6537A1-D6FC-4f65-9D91-7224C49458BB}">
                  <c15:layout>
                    <c:manualLayout>
                      <c:w val="0.30264731881203338"/>
                      <c:h val="0.30857641069904418"/>
                    </c:manualLayout>
                  </c15:layout>
                  <c15:dlblFieldTable/>
                  <c15:showDataLabelsRange val="1"/>
                </c:ext>
                <c:ext xmlns:c16="http://schemas.microsoft.com/office/drawing/2014/chart" uri="{C3380CC4-5D6E-409C-BE32-E72D297353CC}">
                  <c16:uniqueId val="{00000003-2061-4603-A690-0B698101B6CE}"/>
                </c:ext>
              </c:extLst>
            </c:dLbl>
            <c:dLbl>
              <c:idx val="2"/>
              <c:layout>
                <c:manualLayout>
                  <c:x val="-0.26702470938637418"/>
                  <c:y val="-0.1408679574777894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24EFEA1-8D22-49CA-A1CB-6CDF890D8A52}" type="CELLRANGE">
                      <a:rPr lang="en-US"/>
                      <a:pPr>
                        <a:defRPr/>
                      </a:pPr>
                      <a:t>[ZELLBEREICH]</a:t>
                    </a:fld>
                    <a:endParaRPr lang="en-US" baseline="0"/>
                  </a:p>
                  <a:p>
                    <a:pPr>
                      <a:defRPr/>
                    </a:pPr>
                    <a:fld id="{E4152CA6-92B8-4405-A9F5-61D1521C72C2}" type="VALUE">
                      <a:rPr lang="en-US"/>
                      <a:pPr>
                        <a:defRPr/>
                      </a:pPr>
                      <a:t>[WERT]</a:t>
                    </a:fld>
                    <a:endParaRPr lang="de-AT"/>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eparator>
</c:separator>
              <c:extLst>
                <c:ext xmlns:c15="http://schemas.microsoft.com/office/drawing/2012/chart" uri="{CE6537A1-D6FC-4f65-9D91-7224C49458BB}">
                  <c15:layout>
                    <c:manualLayout>
                      <c:w val="0.21375414959934833"/>
                      <c:h val="0.32235465755236042"/>
                    </c:manualLayout>
                  </c15:layout>
                  <c15:dlblFieldTable/>
                  <c15:showDataLabelsRange val="1"/>
                </c:ext>
                <c:ext xmlns:c16="http://schemas.microsoft.com/office/drawing/2014/chart" uri="{C3380CC4-5D6E-409C-BE32-E72D297353CC}">
                  <c16:uniqueId val="{00000005-2061-4603-A690-0B698101B6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numRef>
              <c:f>Arbeitsbereich!$F$72:$F$74</c:f>
              <c:numCache>
                <c:formatCode>General</c:formatCode>
                <c:ptCount val="3"/>
                <c:pt idx="0">
                  <c:v>1</c:v>
                </c:pt>
                <c:pt idx="1">
                  <c:v>0</c:v>
                </c:pt>
                <c:pt idx="2">
                  <c:v>0</c:v>
                </c:pt>
              </c:numCache>
            </c:numRef>
          </c:cat>
          <c:val>
            <c:numRef>
              <c:f>Arbeitsbereich!$G$72:$G$74</c:f>
              <c:numCache>
                <c:formatCode>0%</c:formatCode>
                <c:ptCount val="3"/>
                <c:pt idx="0">
                  <c:v>1</c:v>
                </c:pt>
                <c:pt idx="1">
                  <c:v>0</c:v>
                </c:pt>
                <c:pt idx="2">
                  <c:v>0</c:v>
                </c:pt>
              </c:numCache>
            </c:numRef>
          </c:val>
          <c:extLst>
            <c:ext xmlns:c15="http://schemas.microsoft.com/office/drawing/2012/chart" uri="{02D57815-91ED-43cb-92C2-25804820EDAC}">
              <c15:datalabelsRange>
                <c15:f>Arbeitsbereich!$C$72:$C$74</c15:f>
                <c15:dlblRangeCache>
                  <c:ptCount val="3"/>
                  <c:pt idx="0">
                    <c:v>Gering</c:v>
                  </c:pt>
                  <c:pt idx="1">
                    <c:v>Mittel</c:v>
                  </c:pt>
                  <c:pt idx="2">
                    <c:v>Hoch</c:v>
                  </c:pt>
                </c15:dlblRangeCache>
              </c15:datalabelsRange>
            </c:ext>
            <c:ext xmlns:c16="http://schemas.microsoft.com/office/drawing/2014/chart" uri="{C3380CC4-5D6E-409C-BE32-E72D297353CC}">
              <c16:uniqueId val="{00000004-2061-4603-A690-0B698101B6C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292746913580245"/>
          <c:y val="0.35088620792374148"/>
          <c:w val="0.22982407407407407"/>
          <c:h val="0.55453529937444146"/>
        </c:manualLayout>
      </c:layout>
      <c:doughnutChart>
        <c:varyColors val="1"/>
        <c:ser>
          <c:idx val="0"/>
          <c:order val="0"/>
          <c:spPr>
            <a:solidFill>
              <a:srgbClr val="E26785"/>
            </a:solidFill>
          </c:spPr>
          <c:dPt>
            <c:idx val="0"/>
            <c:bubble3D val="0"/>
            <c:spPr>
              <a:solidFill>
                <a:srgbClr val="61C59F"/>
              </a:solidFill>
              <a:ln w="19050">
                <a:solidFill>
                  <a:schemeClr val="lt1"/>
                </a:solidFill>
              </a:ln>
              <a:effectLst/>
            </c:spPr>
            <c:extLst>
              <c:ext xmlns:c16="http://schemas.microsoft.com/office/drawing/2014/chart" uri="{C3380CC4-5D6E-409C-BE32-E72D297353CC}">
                <c16:uniqueId val="{00000001-30F3-416B-8036-BE0161BB8077}"/>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30F3-416B-8036-BE0161BB8077}"/>
              </c:ext>
            </c:extLst>
          </c:dPt>
          <c:val>
            <c:numRef>
              <c:f>Arbeitsbereich!$G$24:$G$25</c:f>
              <c:numCache>
                <c:formatCode>0%</c:formatCode>
                <c:ptCount val="2"/>
                <c:pt idx="0">
                  <c:v>0</c:v>
                </c:pt>
                <c:pt idx="1">
                  <c:v>0</c:v>
                </c:pt>
              </c:numCache>
            </c:numRef>
          </c:val>
          <c:extLst>
            <c:ext xmlns:c16="http://schemas.microsoft.com/office/drawing/2014/chart" uri="{C3380CC4-5D6E-409C-BE32-E72D297353CC}">
              <c16:uniqueId val="{00000004-30F3-416B-8036-BE0161BB807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292746913580245"/>
          <c:y val="0.35088620792374148"/>
          <c:w val="0.22982407407407407"/>
          <c:h val="0.55453529937444146"/>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446D-4963-818C-060EC3EC5171}"/>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446D-4963-818C-060EC3EC5171}"/>
              </c:ext>
            </c:extLst>
          </c:dPt>
          <c:dLbls>
            <c:delete val="1"/>
          </c:dLbls>
          <c:cat>
            <c:numRef>
              <c:f>Arbeitsbereich!$F$28:$F$29</c:f>
              <c:numCache>
                <c:formatCode>General</c:formatCode>
                <c:ptCount val="2"/>
                <c:pt idx="0">
                  <c:v>0</c:v>
                </c:pt>
                <c:pt idx="1">
                  <c:v>0</c:v>
                </c:pt>
              </c:numCache>
            </c:numRef>
          </c:cat>
          <c:val>
            <c:numRef>
              <c:f>Arbeitsbereich!$G$28:$G$29</c:f>
              <c:numCache>
                <c:formatCode>0%</c:formatCode>
                <c:ptCount val="2"/>
                <c:pt idx="0">
                  <c:v>0</c:v>
                </c:pt>
                <c:pt idx="1">
                  <c:v>0</c:v>
                </c:pt>
              </c:numCache>
            </c:numRef>
          </c:val>
          <c:extLst>
            <c:ext xmlns:c16="http://schemas.microsoft.com/office/drawing/2014/chart" uri="{C3380CC4-5D6E-409C-BE32-E72D297353CC}">
              <c16:uniqueId val="{00000006-446D-4963-818C-060EC3EC5171}"/>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292746913580245"/>
          <c:y val="0.35088620792374148"/>
          <c:w val="0.22982407407407407"/>
          <c:h val="0.55453529937444146"/>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0A47-4F30-B731-8B6CD266FF31}"/>
              </c:ext>
            </c:extLst>
          </c:dPt>
          <c:dPt>
            <c:idx val="1"/>
            <c:bubble3D val="0"/>
            <c:spPr>
              <a:solidFill>
                <a:srgbClr val="95D9BF"/>
              </a:solidFill>
              <a:ln w="19050">
                <a:solidFill>
                  <a:schemeClr val="lt1"/>
                </a:solidFill>
              </a:ln>
              <a:effectLst/>
            </c:spPr>
            <c:extLst>
              <c:ext xmlns:c16="http://schemas.microsoft.com/office/drawing/2014/chart" uri="{C3380CC4-5D6E-409C-BE32-E72D297353CC}">
                <c16:uniqueId val="{00000003-0A47-4F30-B731-8B6CD266FF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05-4B98-A559-59158745AF97}"/>
              </c:ext>
            </c:extLst>
          </c:dPt>
          <c:dPt>
            <c:idx val="3"/>
            <c:bubble3D val="0"/>
            <c:spPr>
              <a:solidFill>
                <a:srgbClr val="E26785"/>
              </a:solidFill>
              <a:ln w="19050">
                <a:solidFill>
                  <a:schemeClr val="lt1"/>
                </a:solidFill>
              </a:ln>
              <a:effectLst/>
            </c:spPr>
            <c:extLst>
              <c:ext xmlns:c16="http://schemas.microsoft.com/office/drawing/2014/chart" uri="{C3380CC4-5D6E-409C-BE32-E72D297353CC}">
                <c16:uniqueId val="{00000004-2705-4B98-A559-59158745AF97}"/>
              </c:ext>
            </c:extLst>
          </c:dPt>
          <c:dLbls>
            <c:dLbl>
              <c:idx val="0"/>
              <c:layout>
                <c:manualLayout>
                  <c:x val="0.16414706764834869"/>
                  <c:y val="-5.8027697945271198E-2"/>
                </c:manualLayout>
              </c:layout>
              <c:tx>
                <c:rich>
                  <a:bodyPr/>
                  <a:lstStyle/>
                  <a:p>
                    <a:fld id="{26E8540D-ADC9-4308-A573-FEF4BAA70827}" type="CELLRANGE">
                      <a:rPr lang="en-US" baseline="0"/>
                      <a:pPr/>
                      <a:t>[ZELLBEREICH]</a:t>
                    </a:fld>
                    <a:r>
                      <a:rPr lang="en-US" baseline="0"/>
                      <a:t>; </a:t>
                    </a:r>
                    <a:fld id="{4F8512A8-9EBB-4C8C-AABC-6257CF1FFCAC}" type="VALUE">
                      <a:rPr lang="en-US" baseline="0"/>
                      <a:pPr/>
                      <a:t>[WERT]</a:t>
                    </a:fld>
                    <a:endParaRPr lang="en-US" baseline="0"/>
                  </a:p>
                </c:rich>
              </c:tx>
              <c:showLegendKey val="0"/>
              <c:showVal val="1"/>
              <c:showCatName val="0"/>
              <c:showSerName val="0"/>
              <c:showPercent val="0"/>
              <c:showBubbleSize val="0"/>
              <c:extLst>
                <c:ext xmlns:c15="http://schemas.microsoft.com/office/drawing/2012/chart" uri="{CE6537A1-D6FC-4f65-9D91-7224C49458BB}">
                  <c15:layout>
                    <c:manualLayout>
                      <c:w val="0.31803509743731778"/>
                      <c:h val="0.24149193628223697"/>
                    </c:manualLayout>
                  </c15:layout>
                  <c15:dlblFieldTable/>
                  <c15:showDataLabelsRange val="1"/>
                </c:ext>
                <c:ext xmlns:c16="http://schemas.microsoft.com/office/drawing/2014/chart" uri="{C3380CC4-5D6E-409C-BE32-E72D297353CC}">
                  <c16:uniqueId val="{00000001-0A47-4F30-B731-8B6CD266FF31}"/>
                </c:ext>
              </c:extLst>
            </c:dLbl>
            <c:dLbl>
              <c:idx val="1"/>
              <c:layout>
                <c:manualLayout>
                  <c:x val="0.2774867095960179"/>
                  <c:y val="0.10638411289966386"/>
                </c:manualLayout>
              </c:layout>
              <c:tx>
                <c:rich>
                  <a:bodyPr/>
                  <a:lstStyle/>
                  <a:p>
                    <a:fld id="{011A5C1A-F7DC-4647-928B-8C9DA54F58D2}" type="CELLRANGE">
                      <a:rPr lang="en-US" baseline="0"/>
                      <a:pPr/>
                      <a:t>[ZELLBEREICH]</a:t>
                    </a:fld>
                    <a:r>
                      <a:rPr lang="en-US" baseline="0"/>
                      <a:t>; </a:t>
                    </a:r>
                    <a:fld id="{FF5A7126-F8B8-43B5-B3A1-BBCC71E393B5}" type="VALUE">
                      <a:rPr lang="en-US" baseline="0"/>
                      <a:pPr/>
                      <a:t>[WERT]</a:t>
                    </a:fld>
                    <a:endParaRPr lang="en-US" baseline="0"/>
                  </a:p>
                </c:rich>
              </c:tx>
              <c:showLegendKey val="0"/>
              <c:showVal val="1"/>
              <c:showCatName val="0"/>
              <c:showSerName val="0"/>
              <c:showPercent val="0"/>
              <c:showBubbleSize val="0"/>
              <c:extLst>
                <c:ext xmlns:c15="http://schemas.microsoft.com/office/drawing/2012/chart" uri="{CE6537A1-D6FC-4f65-9D91-7224C49458BB}">
                  <c15:layout>
                    <c:manualLayout>
                      <c:w val="0.25767181357275298"/>
                      <c:h val="0.24149193628223697"/>
                    </c:manualLayout>
                  </c15:layout>
                  <c15:dlblFieldTable/>
                  <c15:showDataLabelsRange val="1"/>
                </c:ext>
                <c:ext xmlns:c16="http://schemas.microsoft.com/office/drawing/2014/chart" uri="{C3380CC4-5D6E-409C-BE32-E72D297353CC}">
                  <c16:uniqueId val="{00000003-0A47-4F30-B731-8B6CD266FF31}"/>
                </c:ext>
              </c:extLst>
            </c:dLbl>
            <c:dLbl>
              <c:idx val="2"/>
              <c:delete val="1"/>
              <c:extLst>
                <c:ext xmlns:c15="http://schemas.microsoft.com/office/drawing/2012/chart" uri="{CE6537A1-D6FC-4f65-9D91-7224C49458BB}"/>
                <c:ext xmlns:c16="http://schemas.microsoft.com/office/drawing/2014/chart" uri="{C3380CC4-5D6E-409C-BE32-E72D297353CC}">
                  <c16:uniqueId val="{00000005-2705-4B98-A559-59158745AF97}"/>
                </c:ext>
              </c:extLst>
            </c:dLbl>
            <c:dLbl>
              <c:idx val="3"/>
              <c:delete val="1"/>
              <c:extLst>
                <c:ext xmlns:c15="http://schemas.microsoft.com/office/drawing/2012/chart" uri="{CE6537A1-D6FC-4f65-9D91-7224C49458BB}"/>
                <c:ext xmlns:c16="http://schemas.microsoft.com/office/drawing/2014/chart" uri="{C3380CC4-5D6E-409C-BE32-E72D297353CC}">
                  <c16:uniqueId val="{00000004-2705-4B98-A559-59158745AF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Arbeitsbereich!$G$14:$G$17</c:f>
              <c:numCache>
                <c:formatCode>0%</c:formatCode>
                <c:ptCount val="4"/>
                <c:pt idx="0">
                  <c:v>0</c:v>
                </c:pt>
                <c:pt idx="1">
                  <c:v>0</c:v>
                </c:pt>
                <c:pt idx="2">
                  <c:v>1</c:v>
                </c:pt>
                <c:pt idx="3">
                  <c:v>0</c:v>
                </c:pt>
              </c:numCache>
            </c:numRef>
          </c:val>
          <c:extLst>
            <c:ext xmlns:c15="http://schemas.microsoft.com/office/drawing/2012/chart" uri="{02D57815-91ED-43cb-92C2-25804820EDAC}">
              <c15:datalabelsRange>
                <c15:f>Arbeitsbereich!$C$14:$C$17</c15:f>
                <c15:dlblRangeCache>
                  <c:ptCount val="4"/>
                  <c:pt idx="0">
                    <c:v>Unterzeichnet</c:v>
                  </c:pt>
                  <c:pt idx="1">
                    <c:v>Entwurf</c:v>
                  </c:pt>
                  <c:pt idx="2">
                    <c:v>Offen</c:v>
                  </c:pt>
                  <c:pt idx="3">
                    <c:v>n/a</c:v>
                  </c:pt>
                </c15:dlblRangeCache>
              </c15:datalabelsRange>
            </c:ext>
            <c:ext xmlns:c16="http://schemas.microsoft.com/office/drawing/2014/chart" uri="{C3380CC4-5D6E-409C-BE32-E72D297353CC}">
              <c16:uniqueId val="{00000004-0A47-4F30-B731-8B6CD266FF31}"/>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571022"/>
              </a:solidFill>
              <a:ln w="19050">
                <a:solidFill>
                  <a:schemeClr val="lt1"/>
                </a:solidFill>
              </a:ln>
              <a:effectLst/>
            </c:spPr>
            <c:extLst>
              <c:ext xmlns:c16="http://schemas.microsoft.com/office/drawing/2014/chart" uri="{C3380CC4-5D6E-409C-BE32-E72D297353CC}">
                <c16:uniqueId val="{00000001-8DB7-451C-80B7-DE4859374E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B7-451C-80B7-DE4859374E9B}"/>
              </c:ext>
            </c:extLst>
          </c:dPt>
          <c:dPt>
            <c:idx val="2"/>
            <c:bubble3D val="0"/>
            <c:spPr>
              <a:solidFill>
                <a:srgbClr val="E26785"/>
              </a:solidFill>
              <a:ln w="19050">
                <a:solidFill>
                  <a:schemeClr val="lt1"/>
                </a:solidFill>
              </a:ln>
              <a:effectLst/>
            </c:spPr>
            <c:extLst>
              <c:ext xmlns:c16="http://schemas.microsoft.com/office/drawing/2014/chart" uri="{C3380CC4-5D6E-409C-BE32-E72D297353CC}">
                <c16:uniqueId val="{00000005-8DB7-451C-80B7-DE4859374E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B7-451C-80B7-DE4859374E9B}"/>
              </c:ext>
            </c:extLst>
          </c:dPt>
          <c:dLbls>
            <c:dLbl>
              <c:idx val="0"/>
              <c:dLblPos val="outEnd"/>
              <c:showLegendKey val="0"/>
              <c:showVal val="0"/>
              <c:showCatName val="1"/>
              <c:showSerName val="0"/>
              <c:showPercent val="1"/>
              <c:showBubbleSize val="0"/>
              <c:extLst>
                <c:ext xmlns:c15="http://schemas.microsoft.com/office/drawing/2012/chart" uri="{CE6537A1-D6FC-4f65-9D91-7224C49458BB}">
                  <c15:layout>
                    <c:manualLayout>
                      <c:w val="0.27371821906292954"/>
                      <c:h val="0.34417890895480491"/>
                    </c:manualLayout>
                  </c15:layout>
                </c:ext>
                <c:ext xmlns:c16="http://schemas.microsoft.com/office/drawing/2014/chart" uri="{C3380CC4-5D6E-409C-BE32-E72D297353CC}">
                  <c16:uniqueId val="{00000001-8DB7-451C-80B7-DE4859374E9B}"/>
                </c:ext>
              </c:extLst>
            </c:dLbl>
            <c:dLbl>
              <c:idx val="1"/>
              <c:delete val="1"/>
              <c:extLst>
                <c:ext xmlns:c15="http://schemas.microsoft.com/office/drawing/2012/chart" uri="{CE6537A1-D6FC-4f65-9D91-7224C49458BB}"/>
                <c:ext xmlns:c16="http://schemas.microsoft.com/office/drawing/2014/chart" uri="{C3380CC4-5D6E-409C-BE32-E72D297353CC}">
                  <c16:uniqueId val="{00000003-8DB7-451C-80B7-DE4859374E9B}"/>
                </c:ext>
              </c:extLst>
            </c:dLbl>
            <c:dLbl>
              <c:idx val="3"/>
              <c:delete val="1"/>
              <c:extLst>
                <c:ext xmlns:c15="http://schemas.microsoft.com/office/drawing/2012/chart" uri="{CE6537A1-D6FC-4f65-9D91-7224C49458BB}"/>
                <c:ext xmlns:c16="http://schemas.microsoft.com/office/drawing/2014/chart" uri="{C3380CC4-5D6E-409C-BE32-E72D297353CC}">
                  <c16:uniqueId val="{00000007-8DB7-451C-80B7-DE4859374E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Arbeitsbereich!$C$36:$C$39</c:f>
              <c:strCache>
                <c:ptCount val="4"/>
                <c:pt idx="0">
                  <c:v>A. Gesellschaftliche Zielsetzungen</c:v>
                </c:pt>
                <c:pt idx="1">
                  <c:v>B. Forschung/Entwicklung</c:v>
                </c:pt>
                <c:pt idx="2">
                  <c:v>C. Lehre</c:v>
                </c:pt>
                <c:pt idx="3">
                  <c:v>D. Sonstige</c:v>
                </c:pt>
              </c:strCache>
            </c:strRef>
          </c:cat>
          <c:val>
            <c:numRef>
              <c:f>Arbeitsbereich!$F$36:$F$39</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08-8DB7-451C-80B7-DE4859374E9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Arbeitsbereich!$P$124</c:f>
              <c:strCache>
                <c:ptCount val="1"/>
                <c:pt idx="0">
                  <c:v>Gering</c:v>
                </c:pt>
              </c:strCache>
            </c:strRef>
          </c:tx>
          <c:spPr>
            <a:solidFill>
              <a:srgbClr val="F5CCD6"/>
            </a:solidFill>
            <a:ln>
              <a:noFill/>
            </a:ln>
            <a:effectLst/>
          </c:spPr>
          <c:invertIfNegative val="0"/>
          <c:cat>
            <c:strRef>
              <c:f>Arbeitsbereich!$Q$123:$V$123</c:f>
              <c:strCache>
                <c:ptCount val="6"/>
                <c:pt idx="0">
                  <c:v>Idee erfasst/noch nicht gestartet</c:v>
                </c:pt>
                <c:pt idx="1">
                  <c:v>Planung</c:v>
                </c:pt>
                <c:pt idx="2">
                  <c:v>In Arbeit</c:v>
                </c:pt>
                <c:pt idx="3">
                  <c:v>Abgeschlossen</c:v>
                </c:pt>
                <c:pt idx="4">
                  <c:v>Blockiert</c:v>
                </c:pt>
                <c:pt idx="5">
                  <c:v>Abgebrochen</c:v>
                </c:pt>
              </c:strCache>
            </c:strRef>
          </c:cat>
          <c:val>
            <c:numRef>
              <c:f>Arbeitsbereich!$Q$124:$V$124</c:f>
              <c:numCache>
                <c:formatCode>General</c:formatCode>
                <c:ptCount val="6"/>
                <c:pt idx="0">
                  <c:v>1</c:v>
                </c:pt>
                <c:pt idx="1">
                  <c:v>0</c:v>
                </c:pt>
                <c:pt idx="2">
                  <c:v>0</c:v>
                </c:pt>
                <c:pt idx="3">
                  <c:v>0</c:v>
                </c:pt>
                <c:pt idx="4">
                  <c:v>0</c:v>
                </c:pt>
                <c:pt idx="5">
                  <c:v>0</c:v>
                </c:pt>
              </c:numCache>
            </c:numRef>
          </c:val>
          <c:extLst>
            <c:ext xmlns:c16="http://schemas.microsoft.com/office/drawing/2014/chart" uri="{C3380CC4-5D6E-409C-BE32-E72D297353CC}">
              <c16:uniqueId val="{00000006-41DC-4F38-A90B-6B68713ACE44}"/>
            </c:ext>
          </c:extLst>
        </c:ser>
        <c:ser>
          <c:idx val="1"/>
          <c:order val="1"/>
          <c:tx>
            <c:strRef>
              <c:f>Arbeitsbereich!$P$125</c:f>
              <c:strCache>
                <c:ptCount val="1"/>
                <c:pt idx="0">
                  <c:v>Mittel</c:v>
                </c:pt>
              </c:strCache>
            </c:strRef>
          </c:tx>
          <c:spPr>
            <a:solidFill>
              <a:srgbClr val="E26785"/>
            </a:solidFill>
            <a:ln>
              <a:noFill/>
            </a:ln>
            <a:effectLst/>
          </c:spPr>
          <c:invertIfNegative val="0"/>
          <c:dLbls>
            <c:dLbl>
              <c:idx val="0"/>
              <c:tx>
                <c:rich>
                  <a:bodyPr/>
                  <a:lstStyle/>
                  <a:p>
                    <a:fld id="{A991602B-E51D-41A5-8CC8-A79F12A177C5}"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1DC-4F38-A90B-6B68713ACE44}"/>
                </c:ext>
              </c:extLst>
            </c:dLbl>
            <c:dLbl>
              <c:idx val="1"/>
              <c:tx>
                <c:rich>
                  <a:bodyPr/>
                  <a:lstStyle/>
                  <a:p>
                    <a:fld id="{79F677E2-4F12-4CA8-BED1-2FF757E64BA5}"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1DC-4F38-A90B-6B68713ACE44}"/>
                </c:ext>
              </c:extLst>
            </c:dLbl>
            <c:dLbl>
              <c:idx val="2"/>
              <c:tx>
                <c:rich>
                  <a:bodyPr/>
                  <a:lstStyle/>
                  <a:p>
                    <a:fld id="{87059DE5-6E9E-4C46-B77F-570046DD0680}"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1DC-4F38-A90B-6B68713ACE44}"/>
                </c:ext>
              </c:extLst>
            </c:dLbl>
            <c:dLbl>
              <c:idx val="3"/>
              <c:tx>
                <c:rich>
                  <a:bodyPr/>
                  <a:lstStyle/>
                  <a:p>
                    <a:fld id="{7C664741-ABA9-40FF-9F7C-4033C0583A44}"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1DC-4F38-A90B-6B68713ACE44}"/>
                </c:ext>
              </c:extLst>
            </c:dLbl>
            <c:dLbl>
              <c:idx val="4"/>
              <c:tx>
                <c:rich>
                  <a:bodyPr/>
                  <a:lstStyle/>
                  <a:p>
                    <a:fld id="{21A0A806-B0B8-4EE6-B462-7C9FE2A59785}"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1DC-4F38-A90B-6B68713ACE44}"/>
                </c:ext>
              </c:extLst>
            </c:dLbl>
            <c:dLbl>
              <c:idx val="5"/>
              <c:tx>
                <c:rich>
                  <a:bodyPr/>
                  <a:lstStyle/>
                  <a:p>
                    <a:fld id="{DBE7F062-1B9F-4870-9FDC-4B1944398637}"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1DC-4F38-A90B-6B68713ACE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Arbeitsbereich!$Q$123:$V$123</c:f>
              <c:strCache>
                <c:ptCount val="6"/>
                <c:pt idx="0">
                  <c:v>Idee erfasst/noch nicht gestartet</c:v>
                </c:pt>
                <c:pt idx="1">
                  <c:v>Planung</c:v>
                </c:pt>
                <c:pt idx="2">
                  <c:v>In Arbeit</c:v>
                </c:pt>
                <c:pt idx="3">
                  <c:v>Abgeschlossen</c:v>
                </c:pt>
                <c:pt idx="4">
                  <c:v>Blockiert</c:v>
                </c:pt>
                <c:pt idx="5">
                  <c:v>Abgebrochen</c:v>
                </c:pt>
              </c:strCache>
            </c:strRef>
          </c:cat>
          <c:val>
            <c:numRef>
              <c:f>Arbeitsbereich!$Q$125:$V$125</c:f>
              <c:numCache>
                <c:formatCode>General</c:formatCode>
                <c:ptCount val="6"/>
                <c:pt idx="0">
                  <c:v>0</c:v>
                </c:pt>
                <c:pt idx="1">
                  <c:v>0</c:v>
                </c:pt>
                <c:pt idx="2">
                  <c:v>0</c:v>
                </c:pt>
                <c:pt idx="3">
                  <c:v>0</c:v>
                </c:pt>
                <c:pt idx="4">
                  <c:v>0</c:v>
                </c:pt>
                <c:pt idx="5">
                  <c:v>0</c:v>
                </c:pt>
              </c:numCache>
            </c:numRef>
          </c:val>
          <c:extLst>
            <c:ext xmlns:c15="http://schemas.microsoft.com/office/drawing/2012/chart" uri="{02D57815-91ED-43cb-92C2-25804820EDAC}">
              <c15:datalabelsRange>
                <c15:f>Arbeitsbereich!$W$125:$AB$125</c15:f>
                <c15:dlblRangeCache>
                  <c:ptCount val="6"/>
                  <c:pt idx="1">
                    <c:v>#DIV/0!</c:v>
                  </c:pt>
                  <c:pt idx="2">
                    <c:v>#DIV/0!</c:v>
                  </c:pt>
                  <c:pt idx="3">
                    <c:v>#DIV/0!</c:v>
                  </c:pt>
                </c15:dlblRangeCache>
              </c15:datalabelsRange>
            </c:ext>
            <c:ext xmlns:c16="http://schemas.microsoft.com/office/drawing/2014/chart" uri="{C3380CC4-5D6E-409C-BE32-E72D297353CC}">
              <c16:uniqueId val="{0000000D-41DC-4F38-A90B-6B68713ACE44}"/>
            </c:ext>
          </c:extLst>
        </c:ser>
        <c:ser>
          <c:idx val="2"/>
          <c:order val="2"/>
          <c:tx>
            <c:strRef>
              <c:f>Arbeitsbereich!$P$126</c:f>
              <c:strCache>
                <c:ptCount val="1"/>
                <c:pt idx="0">
                  <c:v>Hoch</c:v>
                </c:pt>
              </c:strCache>
            </c:strRef>
          </c:tx>
          <c:spPr>
            <a:solidFill>
              <a:srgbClr val="831933"/>
            </a:solidFill>
            <a:ln>
              <a:noFill/>
            </a:ln>
            <a:effectLst/>
          </c:spPr>
          <c:invertIfNegative val="0"/>
          <c:dLbls>
            <c:dLbl>
              <c:idx val="0"/>
              <c:tx>
                <c:rich>
                  <a:bodyPr/>
                  <a:lstStyle/>
                  <a:p>
                    <a:fld id="{6F7BA9A4-81BE-4CE9-9036-EF1A42B544F9}"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41DC-4F38-A90B-6B68713ACE44}"/>
                </c:ext>
              </c:extLst>
            </c:dLbl>
            <c:dLbl>
              <c:idx val="1"/>
              <c:tx>
                <c:rich>
                  <a:bodyPr/>
                  <a:lstStyle/>
                  <a:p>
                    <a:fld id="{7205DA64-69D2-4A3C-A88C-B9883ADD4289}"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1DC-4F38-A90B-6B68713ACE44}"/>
                </c:ext>
              </c:extLst>
            </c:dLbl>
            <c:dLbl>
              <c:idx val="2"/>
              <c:tx>
                <c:rich>
                  <a:bodyPr/>
                  <a:lstStyle/>
                  <a:p>
                    <a:fld id="{6B10BD10-94F0-4907-8AD4-7975FC86C014}"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1DC-4F38-A90B-6B68713ACE44}"/>
                </c:ext>
              </c:extLst>
            </c:dLbl>
            <c:dLbl>
              <c:idx val="3"/>
              <c:tx>
                <c:rich>
                  <a:bodyPr/>
                  <a:lstStyle/>
                  <a:p>
                    <a:fld id="{12A46C0A-7A12-4932-A1DF-945E3926F751}"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41DC-4F38-A90B-6B68713ACE44}"/>
                </c:ext>
              </c:extLst>
            </c:dLbl>
            <c:dLbl>
              <c:idx val="4"/>
              <c:tx>
                <c:rich>
                  <a:bodyPr/>
                  <a:lstStyle/>
                  <a:p>
                    <a:fld id="{D118C0A8-757A-4579-BAF2-76339B6BCC69}"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41DC-4F38-A90B-6B68713ACE44}"/>
                </c:ext>
              </c:extLst>
            </c:dLbl>
            <c:dLbl>
              <c:idx val="5"/>
              <c:tx>
                <c:rich>
                  <a:bodyPr/>
                  <a:lstStyle/>
                  <a:p>
                    <a:fld id="{145A60BB-6783-4F60-9209-86A0FCDCE486}" type="CELLRANGE">
                      <a:rPr lang="de-AT"/>
                      <a:pPr/>
                      <a:t>[ZELLBEREICH]</a:t>
                    </a:fld>
                    <a:endParaRPr lang="de-A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41DC-4F38-A90B-6B68713ACE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Arbeitsbereich!$Q$123:$V$123</c:f>
              <c:strCache>
                <c:ptCount val="6"/>
                <c:pt idx="0">
                  <c:v>Idee erfasst/noch nicht gestartet</c:v>
                </c:pt>
                <c:pt idx="1">
                  <c:v>Planung</c:v>
                </c:pt>
                <c:pt idx="2">
                  <c:v>In Arbeit</c:v>
                </c:pt>
                <c:pt idx="3">
                  <c:v>Abgeschlossen</c:v>
                </c:pt>
                <c:pt idx="4">
                  <c:v>Blockiert</c:v>
                </c:pt>
                <c:pt idx="5">
                  <c:v>Abgebrochen</c:v>
                </c:pt>
              </c:strCache>
            </c:strRef>
          </c:cat>
          <c:val>
            <c:numRef>
              <c:f>Arbeitsbereich!$Q$126:$V$126</c:f>
              <c:numCache>
                <c:formatCode>General</c:formatCode>
                <c:ptCount val="6"/>
                <c:pt idx="0">
                  <c:v>0</c:v>
                </c:pt>
                <c:pt idx="1">
                  <c:v>0</c:v>
                </c:pt>
                <c:pt idx="2">
                  <c:v>0</c:v>
                </c:pt>
                <c:pt idx="3">
                  <c:v>0</c:v>
                </c:pt>
                <c:pt idx="4">
                  <c:v>0</c:v>
                </c:pt>
                <c:pt idx="5">
                  <c:v>0</c:v>
                </c:pt>
              </c:numCache>
            </c:numRef>
          </c:val>
          <c:extLst>
            <c:ext xmlns:c15="http://schemas.microsoft.com/office/drawing/2012/chart" uri="{02D57815-91ED-43cb-92C2-25804820EDAC}">
              <c15:datalabelsRange>
                <c15:f>Arbeitsbereich!$W$126:$AB$126</c15:f>
                <c15:dlblRangeCache>
                  <c:ptCount val="6"/>
                  <c:pt idx="1">
                    <c:v>#DIV/0!</c:v>
                  </c:pt>
                  <c:pt idx="2">
                    <c:v>#DIV/0!</c:v>
                  </c:pt>
                  <c:pt idx="3">
                    <c:v>#DIV/0!</c:v>
                  </c:pt>
                </c15:dlblRangeCache>
              </c15:datalabelsRange>
            </c:ext>
            <c:ext xmlns:c16="http://schemas.microsoft.com/office/drawing/2014/chart" uri="{C3380CC4-5D6E-409C-BE32-E72D297353CC}">
              <c16:uniqueId val="{00000014-41DC-4F38-A90B-6B68713ACE44}"/>
            </c:ext>
          </c:extLst>
        </c:ser>
        <c:dLbls>
          <c:showLegendKey val="0"/>
          <c:showVal val="0"/>
          <c:showCatName val="0"/>
          <c:showSerName val="0"/>
          <c:showPercent val="0"/>
          <c:showBubbleSize val="0"/>
        </c:dLbls>
        <c:gapWidth val="30"/>
        <c:overlap val="100"/>
        <c:axId val="975340895"/>
        <c:axId val="975341375"/>
      </c:barChart>
      <c:catAx>
        <c:axId val="975340895"/>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75341375"/>
        <c:crosses val="autoZero"/>
        <c:auto val="1"/>
        <c:lblAlgn val="ctr"/>
        <c:lblOffset val="100"/>
        <c:noMultiLvlLbl val="0"/>
      </c:catAx>
      <c:valAx>
        <c:axId val="975341375"/>
        <c:scaling>
          <c:orientation val="minMax"/>
        </c:scaling>
        <c:delete val="1"/>
        <c:axPos val="t"/>
        <c:numFmt formatCode="0%" sourceLinked="1"/>
        <c:majorTickMark val="none"/>
        <c:minorTickMark val="none"/>
        <c:tickLblPos val="nextTo"/>
        <c:crossAx val="97534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6"/>
            <c:invertIfNegative val="0"/>
            <c:bubble3D val="0"/>
            <c:spPr>
              <a:solidFill>
                <a:srgbClr val="E26785"/>
              </a:solidFill>
              <a:ln>
                <a:noFill/>
              </a:ln>
              <a:effectLst/>
            </c:spPr>
            <c:extLst>
              <c:ext xmlns:c16="http://schemas.microsoft.com/office/drawing/2014/chart" uri="{C3380CC4-5D6E-409C-BE32-E72D297353CC}">
                <c16:uniqueId val="{0000000D-3E51-472E-AA02-03E651776F2D}"/>
              </c:ext>
            </c:extLst>
          </c:dPt>
          <c:dPt>
            <c:idx val="17"/>
            <c:invertIfNegative val="0"/>
            <c:bubble3D val="0"/>
            <c:spPr>
              <a:solidFill>
                <a:srgbClr val="571022"/>
              </a:solidFill>
              <a:ln>
                <a:noFill/>
              </a:ln>
              <a:effectLst/>
            </c:spPr>
            <c:extLst>
              <c:ext xmlns:c16="http://schemas.microsoft.com/office/drawing/2014/chart" uri="{C3380CC4-5D6E-409C-BE32-E72D297353CC}">
                <c16:uniqueId val="{00000023-3E51-472E-AA02-03E651776F2D}"/>
              </c:ext>
            </c:extLst>
          </c:dPt>
          <c:dLbls>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E51-472E-AA02-03E651776F2D}"/>
                </c:ext>
              </c:extLst>
            </c:dLbl>
            <c:dLbl>
              <c:idx val="1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3E51-472E-AA02-03E651776F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Arbeitsbereich!$C$43:$C$60</c:f>
              <c:strCache>
                <c:ptCount val="18"/>
                <c:pt idx="0">
                  <c:v>Wildtierkunde und Ökologie</c:v>
                </c:pt>
                <c:pt idx="1">
                  <c:v>Klinischer Bereich</c:v>
                </c:pt>
                <c:pt idx="2">
                  <c:v>Internationalisierung</c:v>
                </c:pt>
                <c:pt idx="3">
                  <c:v>Bibliothek</c:v>
                </c:pt>
                <c:pt idx="4">
                  <c:v>Kooperationen</c:v>
                </c:pt>
                <c:pt idx="5">
                  <c:v>Weiterbildung</c:v>
                </c:pt>
                <c:pt idx="6">
                  <c:v>Lehr-/Lernorganisation</c:v>
                </c:pt>
                <c:pt idx="7">
                  <c:v>Qualitätssichernde Maßnahmen in der Lehre</c:v>
                </c:pt>
                <c:pt idx="8">
                  <c:v>Studienbereich</c:v>
                </c:pt>
                <c:pt idx="9">
                  <c:v>Europäischer Forschungsraum</c:v>
                </c:pt>
                <c:pt idx="10">
                  <c:v>Wissens-/Technologietransfer und Verwertung</c:v>
                </c:pt>
                <c:pt idx="11">
                  <c:v>Großforschungsinfrastruktur</c:v>
                </c:pt>
                <c:pt idx="12">
                  <c:v>Forschungsstärken</c:v>
                </c:pt>
                <c:pt idx="13">
                  <c:v>Standortentwicklung</c:v>
                </c:pt>
                <c:pt idx="14">
                  <c:v>Personal</c:v>
                </c:pt>
                <c:pt idx="15">
                  <c:v>Qualitätssicherung</c:v>
                </c:pt>
                <c:pt idx="16">
                  <c:v>Wissenschaftskommunikation</c:v>
                </c:pt>
                <c:pt idx="17">
                  <c:v>Allgemeine gesellschaftliche Zielsetzungen</c:v>
                </c:pt>
              </c:strCache>
            </c:strRef>
          </c:cat>
          <c:val>
            <c:numRef>
              <c:f>Arbeitsbereich!$F$43:$F$60</c:f>
              <c:numCache>
                <c:formatCode>General</c:formatCode>
                <c:ptCount val="18"/>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24-3E51-472E-AA02-03E651776F2D}"/>
            </c:ext>
          </c:extLst>
        </c:ser>
        <c:dLbls>
          <c:showLegendKey val="0"/>
          <c:showVal val="0"/>
          <c:showCatName val="0"/>
          <c:showSerName val="0"/>
          <c:showPercent val="0"/>
          <c:showBubbleSize val="0"/>
        </c:dLbls>
        <c:gapWidth val="219"/>
        <c:axId val="1514607392"/>
        <c:axId val="1514594912"/>
      </c:barChart>
      <c:catAx>
        <c:axId val="15146073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14594912"/>
        <c:crosses val="autoZero"/>
        <c:auto val="1"/>
        <c:lblAlgn val="ctr"/>
        <c:lblOffset val="100"/>
        <c:noMultiLvlLbl val="0"/>
      </c:catAx>
      <c:valAx>
        <c:axId val="1514594912"/>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51460739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034C-4459-B700-808EB6E7A125}"/>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034C-4459-B700-808EB6E7A125}"/>
              </c:ext>
            </c:extLst>
          </c:dPt>
          <c:val>
            <c:numRef>
              <c:f>Arbeitsbereich!$J$105:$J$106</c:f>
              <c:numCache>
                <c:formatCode>0%</c:formatCode>
                <c:ptCount val="2"/>
                <c:pt idx="0">
                  <c:v>0.33</c:v>
                </c:pt>
                <c:pt idx="1">
                  <c:v>0.66999999999999993</c:v>
                </c:pt>
              </c:numCache>
            </c:numRef>
          </c:val>
          <c:extLst>
            <c:ext xmlns:c16="http://schemas.microsoft.com/office/drawing/2014/chart" uri="{C3380CC4-5D6E-409C-BE32-E72D297353CC}">
              <c16:uniqueId val="{00000002-034C-4459-B700-808EB6E7A12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453A-4AAE-9C09-F11F5AC45CF9}"/>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453A-4AAE-9C09-F11F5AC45CF9}"/>
              </c:ext>
            </c:extLst>
          </c:dPt>
          <c:val>
            <c:numRef>
              <c:f>Arbeitsbereich!$K$105:$K$106</c:f>
              <c:numCache>
                <c:formatCode>0%</c:formatCode>
                <c:ptCount val="2"/>
                <c:pt idx="0">
                  <c:v>0</c:v>
                </c:pt>
                <c:pt idx="1">
                  <c:v>0</c:v>
                </c:pt>
              </c:numCache>
            </c:numRef>
          </c:val>
          <c:extLst>
            <c:ext xmlns:c16="http://schemas.microsoft.com/office/drawing/2014/chart" uri="{C3380CC4-5D6E-409C-BE32-E72D297353CC}">
              <c16:uniqueId val="{00000002-453A-4AAE-9C09-F11F5AC45CF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E1D8-4E92-879B-7BF5B84B8308}"/>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074B-4DF5-8893-8C47F8C92CCD}"/>
              </c:ext>
            </c:extLst>
          </c:dPt>
          <c:val>
            <c:numRef>
              <c:f>Arbeitsbereich!$L$105:$L$106</c:f>
              <c:numCache>
                <c:formatCode>0%</c:formatCode>
                <c:ptCount val="2"/>
                <c:pt idx="0">
                  <c:v>0</c:v>
                </c:pt>
                <c:pt idx="1">
                  <c:v>1</c:v>
                </c:pt>
              </c:numCache>
            </c:numRef>
          </c:val>
          <c:extLst>
            <c:ext xmlns:c16="http://schemas.microsoft.com/office/drawing/2014/chart" uri="{C3380CC4-5D6E-409C-BE32-E72D297353CC}">
              <c16:uniqueId val="{00000002-E1D8-4E92-879B-7BF5B84B830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C439-4D98-ADAC-2C88E39E7554}"/>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A671-4B6D-95C2-6C6FE53744E2}"/>
              </c:ext>
            </c:extLst>
          </c:dPt>
          <c:val>
            <c:numRef>
              <c:f>Arbeitsbereich!$M$105:$M$106</c:f>
              <c:numCache>
                <c:formatCode>0%</c:formatCode>
                <c:ptCount val="2"/>
                <c:pt idx="0">
                  <c:v>0.1</c:v>
                </c:pt>
                <c:pt idx="1">
                  <c:v>0.9</c:v>
                </c:pt>
              </c:numCache>
            </c:numRef>
          </c:val>
          <c:extLst>
            <c:ext xmlns:c16="http://schemas.microsoft.com/office/drawing/2014/chart" uri="{C3380CC4-5D6E-409C-BE32-E72D297353CC}">
              <c16:uniqueId val="{00000002-C439-4D98-ADAC-2C88E39E755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595A-4E95-90D5-5852404EE226}"/>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B824-4238-9C37-24DCADB9581F}"/>
              </c:ext>
            </c:extLst>
          </c:dPt>
          <c:val>
            <c:numRef>
              <c:f>Arbeitsbereich!$D$105:$D$106</c:f>
              <c:numCache>
                <c:formatCode>0%</c:formatCode>
                <c:ptCount val="2"/>
                <c:pt idx="0">
                  <c:v>0.10750000000000001</c:v>
                </c:pt>
                <c:pt idx="1">
                  <c:v>0.89249999999999996</c:v>
                </c:pt>
              </c:numCache>
            </c:numRef>
          </c:val>
          <c:extLst>
            <c:ext xmlns:c16="http://schemas.microsoft.com/office/drawing/2014/chart" uri="{C3380CC4-5D6E-409C-BE32-E72D297353CC}">
              <c16:uniqueId val="{00000002-595A-4E95-90D5-5852404EE22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1E533E"/>
              </a:solidFill>
              <a:ln>
                <a:noFill/>
              </a:ln>
              <a:effectLst/>
            </c:spPr>
            <c:extLst>
              <c:ext xmlns:c16="http://schemas.microsoft.com/office/drawing/2014/chart" uri="{C3380CC4-5D6E-409C-BE32-E72D297353CC}">
                <c16:uniqueId val="{00000001-A5EA-4B98-AB9D-1D0911D40160}"/>
              </c:ext>
            </c:extLst>
          </c:dPt>
          <c:dPt>
            <c:idx val="1"/>
            <c:invertIfNegative val="0"/>
            <c:bubble3D val="0"/>
            <c:spPr>
              <a:solidFill>
                <a:srgbClr val="61C59F"/>
              </a:solidFill>
              <a:ln>
                <a:noFill/>
              </a:ln>
              <a:effectLst/>
            </c:spPr>
            <c:extLst>
              <c:ext xmlns:c16="http://schemas.microsoft.com/office/drawing/2014/chart" uri="{C3380CC4-5D6E-409C-BE32-E72D297353CC}">
                <c16:uniqueId val="{00000003-A5EA-4B98-AB9D-1D0911D40160}"/>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34D3796-00AA-43D6-A8A2-A180AC31D718}" type="CELLRANGE">
                      <a:rPr lang="en-US"/>
                      <a:pPr>
                        <a:defRPr>
                          <a:solidFill>
                            <a:schemeClr val="bg1"/>
                          </a:solidFill>
                        </a:defRPr>
                      </a:pPr>
                      <a:t>[ZELLBEREICH]</a:t>
                    </a:fld>
                    <a:endParaRPr lang="de-AT"/>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inBase"/>
              <c:showLegendKey val="0"/>
              <c:showVal val="0"/>
              <c:showCatName val="0"/>
              <c:showSerName val="0"/>
              <c:showPercent val="0"/>
              <c:showBubbleSize val="0"/>
              <c:extLst>
                <c:ext xmlns:c15="http://schemas.microsoft.com/office/drawing/2012/chart" uri="{CE6537A1-D6FC-4f65-9D91-7224C49458BB}">
                  <c15:layout>
                    <c:manualLayout>
                      <c:w val="0.30280096765012809"/>
                      <c:h val="0.23446009389671363"/>
                    </c:manualLayout>
                  </c15:layout>
                  <c15:dlblFieldTable/>
                  <c15:showDataLabelsRange val="1"/>
                </c:ext>
                <c:ext xmlns:c16="http://schemas.microsoft.com/office/drawing/2014/chart" uri="{C3380CC4-5D6E-409C-BE32-E72D297353CC}">
                  <c16:uniqueId val="{00000001-A5EA-4B98-AB9D-1D0911D40160}"/>
                </c:ext>
              </c:extLst>
            </c:dLbl>
            <c:dLbl>
              <c:idx val="1"/>
              <c:tx>
                <c:rich>
                  <a:bodyPr/>
                  <a:lstStyle/>
                  <a:p>
                    <a:fld id="{C612C1D2-7936-40D8-A57A-57AF792057C8}" type="CELLRANGE">
                      <a:rPr lang="en-US"/>
                      <a:pPr/>
                      <a:t>[ZELLBEREICH]</a:t>
                    </a:fld>
                    <a:endParaRPr lang="de-AT"/>
                  </a:p>
                </c:rich>
              </c:tx>
              <c:dLblPos val="inBase"/>
              <c:showLegendKey val="0"/>
              <c:showVal val="0"/>
              <c:showCatName val="0"/>
              <c:showSerName val="0"/>
              <c:showPercent val="0"/>
              <c:showBubbleSize val="0"/>
              <c:extLst>
                <c:ext xmlns:c15="http://schemas.microsoft.com/office/drawing/2012/chart" uri="{CE6537A1-D6FC-4f65-9D91-7224C49458BB}">
                  <c15:layout>
                    <c:manualLayout>
                      <c:w val="0.27870458210795945"/>
                      <c:h val="0.23446009389671363"/>
                    </c:manualLayout>
                  </c15:layout>
                  <c15:dlblFieldTable/>
                  <c15:showDataLabelsRange val="1"/>
                </c:ext>
                <c:ext xmlns:c16="http://schemas.microsoft.com/office/drawing/2014/chart" uri="{C3380CC4-5D6E-409C-BE32-E72D297353CC}">
                  <c16:uniqueId val="{00000003-A5EA-4B98-AB9D-1D0911D401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Arbeitsbereich!$C$109:$C$110</c:f>
              <c:strCache>
                <c:ptCount val="2"/>
                <c:pt idx="0">
                  <c:v>Plan-Kosten</c:v>
                </c:pt>
                <c:pt idx="1">
                  <c:v>Ist-Kosten</c:v>
                </c:pt>
              </c:strCache>
            </c:strRef>
          </c:cat>
          <c:val>
            <c:numRef>
              <c:f>Arbeitsbereich!$V$109:$V$110</c:f>
              <c:numCache>
                <c:formatCode>#\ ##0_ ;\-#\ ##0\ </c:formatCode>
                <c:ptCount val="2"/>
                <c:pt idx="0">
                  <c:v>370000</c:v>
                </c:pt>
                <c:pt idx="1">
                  <c:v>10000</c:v>
                </c:pt>
              </c:numCache>
            </c:numRef>
          </c:val>
          <c:extLst>
            <c:ext xmlns:c15="http://schemas.microsoft.com/office/drawing/2012/chart" uri="{02D57815-91ED-43cb-92C2-25804820EDAC}">
              <c15:datalabelsRange>
                <c15:f>Arbeitsbereich!$W$109:$W$110</c15:f>
                <c15:dlblRangeCache>
                  <c:ptCount val="2"/>
                  <c:pt idx="0">
                    <c:v>€ 0,37 Mio</c:v>
                  </c:pt>
                  <c:pt idx="1">
                    <c:v>€ 0,01 Mio</c:v>
                  </c:pt>
                </c15:dlblRangeCache>
              </c15:datalabelsRange>
            </c:ext>
            <c:ext xmlns:c16="http://schemas.microsoft.com/office/drawing/2014/chart" uri="{C3380CC4-5D6E-409C-BE32-E72D297353CC}">
              <c16:uniqueId val="{00000004-A5EA-4B98-AB9D-1D0911D40160}"/>
            </c:ext>
          </c:extLst>
        </c:ser>
        <c:dLbls>
          <c:showLegendKey val="0"/>
          <c:showVal val="1"/>
          <c:showCatName val="0"/>
          <c:showSerName val="0"/>
          <c:showPercent val="0"/>
          <c:showBubbleSize val="0"/>
        </c:dLbls>
        <c:gapWidth val="25"/>
        <c:overlap val="-27"/>
        <c:axId val="951896191"/>
        <c:axId val="951897151"/>
      </c:barChart>
      <c:catAx>
        <c:axId val="9518961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97151"/>
        <c:crosses val="autoZero"/>
        <c:auto val="1"/>
        <c:lblAlgn val="ctr"/>
        <c:lblOffset val="100"/>
        <c:noMultiLvlLbl val="0"/>
      </c:catAx>
      <c:valAx>
        <c:axId val="951897151"/>
        <c:scaling>
          <c:orientation val="minMax"/>
          <c:max val="5000000"/>
        </c:scaling>
        <c:delete val="1"/>
        <c:axPos val="l"/>
        <c:numFmt formatCode="#\ ##0_ ;\-#\ ##0\ " sourceLinked="1"/>
        <c:majorTickMark val="out"/>
        <c:minorTickMark val="none"/>
        <c:tickLblPos val="nextTo"/>
        <c:crossAx val="95189619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1E533E"/>
              </a:solidFill>
              <a:ln>
                <a:noFill/>
              </a:ln>
              <a:effectLst/>
            </c:spPr>
            <c:extLst>
              <c:ext xmlns:c16="http://schemas.microsoft.com/office/drawing/2014/chart" uri="{C3380CC4-5D6E-409C-BE32-E72D297353CC}">
                <c16:uniqueId val="{00000001-9AED-4C1D-B9EF-42E476794106}"/>
              </c:ext>
            </c:extLst>
          </c:dPt>
          <c:dPt>
            <c:idx val="1"/>
            <c:invertIfNegative val="0"/>
            <c:bubble3D val="0"/>
            <c:spPr>
              <a:solidFill>
                <a:srgbClr val="61C59F"/>
              </a:solidFill>
              <a:ln>
                <a:noFill/>
              </a:ln>
              <a:effectLst/>
            </c:spPr>
            <c:extLst>
              <c:ext xmlns:c16="http://schemas.microsoft.com/office/drawing/2014/chart" uri="{C3380CC4-5D6E-409C-BE32-E72D297353CC}">
                <c16:uniqueId val="{00000003-9AED-4C1D-B9EF-42E476794106}"/>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5AE5E155-E07D-4559-91F5-7BCF5C5DCFC5}" type="CELLRANGE">
                      <a:rPr lang="en-US"/>
                      <a:pPr>
                        <a:defRPr>
                          <a:solidFill>
                            <a:schemeClr val="bg1"/>
                          </a:solidFill>
                        </a:defRPr>
                      </a:pPr>
                      <a:t>[ZELLBEREICH]</a:t>
                    </a:fld>
                    <a:endParaRPr lang="de-AT"/>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inBase"/>
              <c:showLegendKey val="0"/>
              <c:showVal val="0"/>
              <c:showCatName val="0"/>
              <c:showSerName val="0"/>
              <c:showPercent val="0"/>
              <c:showBubbleSize val="0"/>
              <c:extLst>
                <c:ext xmlns:c15="http://schemas.microsoft.com/office/drawing/2012/chart" uri="{CE6537A1-D6FC-4f65-9D91-7224C49458BB}">
                  <c15:layout>
                    <c:manualLayout>
                      <c:w val="0.30882506403567017"/>
                      <c:h val="0.23446009389671363"/>
                    </c:manualLayout>
                  </c15:layout>
                  <c15:dlblFieldTable/>
                  <c15:showDataLabelsRange val="1"/>
                </c:ext>
                <c:ext xmlns:c16="http://schemas.microsoft.com/office/drawing/2014/chart" uri="{C3380CC4-5D6E-409C-BE32-E72D297353CC}">
                  <c16:uniqueId val="{00000001-9AED-4C1D-B9EF-42E476794106}"/>
                </c:ext>
              </c:extLst>
            </c:dLbl>
            <c:dLbl>
              <c:idx val="1"/>
              <c:tx>
                <c:rich>
                  <a:bodyPr/>
                  <a:lstStyle/>
                  <a:p>
                    <a:fld id="{450C2582-101A-4DF7-B0B8-2DB14F0E98FB}" type="CELLRANGE">
                      <a:rPr lang="en-US"/>
                      <a:pPr/>
                      <a:t>[ZELLBEREICH]</a:t>
                    </a:fld>
                    <a:endParaRPr lang="de-AT"/>
                  </a:p>
                </c:rich>
              </c:tx>
              <c:dLblPos val="inBase"/>
              <c:showLegendKey val="0"/>
              <c:showVal val="0"/>
              <c:showCatName val="0"/>
              <c:showSerName val="0"/>
              <c:showPercent val="0"/>
              <c:showBubbleSize val="0"/>
              <c:extLst>
                <c:ext xmlns:c15="http://schemas.microsoft.com/office/drawing/2012/chart" uri="{CE6537A1-D6FC-4f65-9D91-7224C49458BB}">
                  <c15:layout>
                    <c:manualLayout>
                      <c:w val="0.31484916042121242"/>
                      <c:h val="0.23446009389671363"/>
                    </c:manualLayout>
                  </c15:layout>
                  <c15:dlblFieldTable/>
                  <c15:showDataLabelsRange val="1"/>
                </c:ext>
                <c:ext xmlns:c16="http://schemas.microsoft.com/office/drawing/2014/chart" uri="{C3380CC4-5D6E-409C-BE32-E72D297353CC}">
                  <c16:uniqueId val="{00000003-9AED-4C1D-B9EF-42E4767941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Arbeitsbereich!$C$109:$C$110</c:f>
              <c:strCache>
                <c:ptCount val="2"/>
                <c:pt idx="0">
                  <c:v>Plan-Kosten</c:v>
                </c:pt>
                <c:pt idx="1">
                  <c:v>Ist-Kosten</c:v>
                </c:pt>
              </c:strCache>
            </c:strRef>
          </c:cat>
          <c:val>
            <c:numRef>
              <c:f>Arbeitsbereich!$Y$109:$Y$110</c:f>
              <c:numCache>
                <c:formatCode>#\ ##0_ ;\-#\ ##0\ </c:formatCode>
                <c:ptCount val="2"/>
                <c:pt idx="0">
                  <c:v>0</c:v>
                </c:pt>
                <c:pt idx="1">
                  <c:v>0</c:v>
                </c:pt>
              </c:numCache>
            </c:numRef>
          </c:val>
          <c:extLst>
            <c:ext xmlns:c15="http://schemas.microsoft.com/office/drawing/2012/chart" uri="{02D57815-91ED-43cb-92C2-25804820EDAC}">
              <c15:datalabelsRange>
                <c15:f>Arbeitsbereich!$Z$109:$Z$110</c15:f>
                <c15:dlblRangeCache>
                  <c:ptCount val="2"/>
                  <c:pt idx="0">
                    <c:v>€ 0,00 Mio</c:v>
                  </c:pt>
                  <c:pt idx="1">
                    <c:v>€ 0,00 Mio</c:v>
                  </c:pt>
                </c15:dlblRangeCache>
              </c15:datalabelsRange>
            </c:ext>
            <c:ext xmlns:c16="http://schemas.microsoft.com/office/drawing/2014/chart" uri="{C3380CC4-5D6E-409C-BE32-E72D297353CC}">
              <c16:uniqueId val="{00000004-9AED-4C1D-B9EF-42E476794106}"/>
            </c:ext>
          </c:extLst>
        </c:ser>
        <c:dLbls>
          <c:showLegendKey val="0"/>
          <c:showVal val="1"/>
          <c:showCatName val="0"/>
          <c:showSerName val="0"/>
          <c:showPercent val="0"/>
          <c:showBubbleSize val="0"/>
        </c:dLbls>
        <c:gapWidth val="25"/>
        <c:overlap val="-27"/>
        <c:axId val="951896191"/>
        <c:axId val="951897151"/>
      </c:barChart>
      <c:catAx>
        <c:axId val="9518961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97151"/>
        <c:crosses val="autoZero"/>
        <c:auto val="1"/>
        <c:lblAlgn val="ctr"/>
        <c:lblOffset val="100"/>
        <c:noMultiLvlLbl val="0"/>
      </c:catAx>
      <c:valAx>
        <c:axId val="951897151"/>
        <c:scaling>
          <c:orientation val="minMax"/>
          <c:max val="5000000"/>
        </c:scaling>
        <c:delete val="1"/>
        <c:axPos val="l"/>
        <c:numFmt formatCode="#\ ##0_ ;\-#\ ##0\ " sourceLinked="1"/>
        <c:majorTickMark val="out"/>
        <c:minorTickMark val="none"/>
        <c:tickLblPos val="nextTo"/>
        <c:crossAx val="95189619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1E533E"/>
            </a:solidFill>
            <a:ln>
              <a:noFill/>
            </a:ln>
            <a:effectLst/>
          </c:spPr>
          <c:invertIfNegative val="0"/>
          <c:dLbls>
            <c:dLbl>
              <c:idx val="0"/>
              <c:tx>
                <c:rich>
                  <a:bodyPr/>
                  <a:lstStyle/>
                  <a:p>
                    <a:fld id="{0A18DB45-14C7-466E-9367-900B68809E6B}"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layout>
                    <c:manualLayout>
                      <c:w val="0.26063229295133289"/>
                      <c:h val="0.23446009389671363"/>
                    </c:manualLayout>
                  </c15:layout>
                  <c15:dlblFieldTable/>
                  <c15:showDataLabelsRange val="1"/>
                </c:ext>
                <c:ext xmlns:c16="http://schemas.microsoft.com/office/drawing/2014/chart" uri="{C3380CC4-5D6E-409C-BE32-E72D297353CC}">
                  <c16:uniqueId val="{00000001-E5F7-47DE-849F-AA3F4A78CBE5}"/>
                </c:ext>
              </c:extLst>
            </c:dLbl>
            <c:dLbl>
              <c:idx val="1"/>
              <c:tx>
                <c:rich>
                  <a:bodyPr/>
                  <a:lstStyle/>
                  <a:p>
                    <a:fld id="{EEF1C33E-80A2-491B-AE7B-B4B072D92DC5}" type="CELLRANGE">
                      <a:rPr lang="en-US"/>
                      <a:pPr/>
                      <a:t>[ZELLBEREICH]</a:t>
                    </a:fld>
                    <a:endParaRPr lang="de-AT"/>
                  </a:p>
                </c:rich>
              </c:tx>
              <c:showLegendKey val="0"/>
              <c:showVal val="0"/>
              <c:showCatName val="0"/>
              <c:showSerName val="0"/>
              <c:showPercent val="0"/>
              <c:showBubbleSize val="0"/>
              <c:extLst>
                <c:ext xmlns:c15="http://schemas.microsoft.com/office/drawing/2012/chart" uri="{CE6537A1-D6FC-4f65-9D91-7224C49458BB}">
                  <c15:layout>
                    <c:manualLayout>
                      <c:w val="0.27870458210795945"/>
                      <c:h val="0.23446009389671363"/>
                    </c:manualLayout>
                  </c15:layout>
                  <c15:dlblFieldTable/>
                  <c15:showDataLabelsRange val="1"/>
                </c:ext>
                <c:ext xmlns:c16="http://schemas.microsoft.com/office/drawing/2014/chart" uri="{C3380CC4-5D6E-409C-BE32-E72D297353CC}">
                  <c16:uniqueId val="{00000003-E5F7-47DE-849F-AA3F4A78CB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Arbeitsbereich!$C$109:$C$110</c:f>
              <c:strCache>
                <c:ptCount val="2"/>
                <c:pt idx="0">
                  <c:v>Plan-Kosten</c:v>
                </c:pt>
                <c:pt idx="1">
                  <c:v>Ist-Kosten</c:v>
                </c:pt>
              </c:strCache>
            </c:strRef>
          </c:cat>
          <c:val>
            <c:numRef>
              <c:f>Arbeitsbereich!$AB$109:$AB$110</c:f>
              <c:numCache>
                <c:formatCode>#\ ##0_ ;\-#\ ##0\ </c:formatCode>
                <c:ptCount val="2"/>
                <c:pt idx="0">
                  <c:v>0</c:v>
                </c:pt>
                <c:pt idx="1">
                  <c:v>0</c:v>
                </c:pt>
              </c:numCache>
            </c:numRef>
          </c:val>
          <c:extLst>
            <c:ext xmlns:c15="http://schemas.microsoft.com/office/drawing/2012/chart" uri="{02D57815-91ED-43cb-92C2-25804820EDAC}">
              <c15:datalabelsRange>
                <c15:f>Arbeitsbereich!$AC$109:$AC$110</c15:f>
                <c15:dlblRangeCache>
                  <c:ptCount val="2"/>
                  <c:pt idx="0">
                    <c:v>€ 0,00 Mio</c:v>
                  </c:pt>
                  <c:pt idx="1">
                    <c:v>€ 0,00 Mio</c:v>
                  </c:pt>
                </c15:dlblRangeCache>
              </c15:datalabelsRange>
            </c:ext>
            <c:ext xmlns:c16="http://schemas.microsoft.com/office/drawing/2014/chart" uri="{C3380CC4-5D6E-409C-BE32-E72D297353CC}">
              <c16:uniqueId val="{00000004-E5F7-47DE-849F-AA3F4A78CBE5}"/>
            </c:ext>
          </c:extLst>
        </c:ser>
        <c:dLbls>
          <c:showLegendKey val="0"/>
          <c:showVal val="1"/>
          <c:showCatName val="0"/>
          <c:showSerName val="0"/>
          <c:showPercent val="0"/>
          <c:showBubbleSize val="0"/>
        </c:dLbls>
        <c:gapWidth val="25"/>
        <c:overlap val="-27"/>
        <c:axId val="951896191"/>
        <c:axId val="951897151"/>
      </c:barChart>
      <c:catAx>
        <c:axId val="9518961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97151"/>
        <c:crosses val="autoZero"/>
        <c:auto val="1"/>
        <c:lblAlgn val="ctr"/>
        <c:lblOffset val="100"/>
        <c:noMultiLvlLbl val="0"/>
      </c:catAx>
      <c:valAx>
        <c:axId val="951897151"/>
        <c:scaling>
          <c:orientation val="minMax"/>
          <c:max val="5000000"/>
        </c:scaling>
        <c:delete val="1"/>
        <c:axPos val="l"/>
        <c:numFmt formatCode="#\ ##0_ ;\-#\ ##0\ " sourceLinked="1"/>
        <c:majorTickMark val="out"/>
        <c:minorTickMark val="none"/>
        <c:tickLblPos val="nextTo"/>
        <c:crossAx val="95189619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1E533E"/>
              </a:solidFill>
              <a:ln>
                <a:noFill/>
              </a:ln>
              <a:effectLst/>
            </c:spPr>
            <c:extLst>
              <c:ext xmlns:c16="http://schemas.microsoft.com/office/drawing/2014/chart" uri="{C3380CC4-5D6E-409C-BE32-E72D297353CC}">
                <c16:uniqueId val="{00000002-BA91-4306-B504-2F643E3CFAB9}"/>
              </c:ext>
            </c:extLst>
          </c:dPt>
          <c:dLbls>
            <c:dLbl>
              <c:idx val="0"/>
              <c:tx>
                <c:rich>
                  <a:bodyPr/>
                  <a:lstStyle/>
                  <a:p>
                    <a:fld id="{31DB2865-0804-4B73-AEF0-90B19DC1978F}" type="CELLRANGE">
                      <a:rPr lang="en-US"/>
                      <a:pPr/>
                      <a:t>[ZELLBEREICH]</a:t>
                    </a:fld>
                    <a:endParaRPr lang="de-AT"/>
                  </a:p>
                </c:rich>
              </c:tx>
              <c:dLblPos val="inBase"/>
              <c:showLegendKey val="0"/>
              <c:showVal val="0"/>
              <c:showCatName val="0"/>
              <c:showSerName val="0"/>
              <c:showPercent val="0"/>
              <c:showBubbleSize val="0"/>
              <c:extLst>
                <c:ext xmlns:c15="http://schemas.microsoft.com/office/drawing/2012/chart" uri="{CE6537A1-D6FC-4f65-9D91-7224C49458BB}">
                  <c15:layout>
                    <c:manualLayout>
                      <c:w val="0.28472867849350153"/>
                      <c:h val="0.23446009389671363"/>
                    </c:manualLayout>
                  </c15:layout>
                  <c15:dlblFieldTable/>
                  <c15:showDataLabelsRange val="1"/>
                </c:ext>
                <c:ext xmlns:c16="http://schemas.microsoft.com/office/drawing/2014/chart" uri="{C3380CC4-5D6E-409C-BE32-E72D297353CC}">
                  <c16:uniqueId val="{00000002-BA91-4306-B504-2F643E3CFAB9}"/>
                </c:ext>
              </c:extLst>
            </c:dLbl>
            <c:dLbl>
              <c:idx val="1"/>
              <c:tx>
                <c:rich>
                  <a:bodyPr/>
                  <a:lstStyle/>
                  <a:p>
                    <a:fld id="{F7F304D0-9AD8-4206-8DF1-904E1614C8FB}" type="CELLRANGE">
                      <a:rPr lang="en-US"/>
                      <a:pPr/>
                      <a:t>[ZELLBEREICH]</a:t>
                    </a:fld>
                    <a:endParaRPr lang="de-AT"/>
                  </a:p>
                </c:rich>
              </c:tx>
              <c:dLblPos val="inBase"/>
              <c:showLegendKey val="0"/>
              <c:showVal val="0"/>
              <c:showCatName val="0"/>
              <c:showSerName val="0"/>
              <c:showPercent val="0"/>
              <c:showBubbleSize val="0"/>
              <c:extLst>
                <c:ext xmlns:c15="http://schemas.microsoft.com/office/drawing/2012/chart" uri="{CE6537A1-D6FC-4f65-9D91-7224C49458BB}">
                  <c15:layout>
                    <c:manualLayout>
                      <c:w val="0.29677687126458585"/>
                      <c:h val="0.23446009389671363"/>
                    </c:manualLayout>
                  </c15:layout>
                  <c15:dlblFieldTable/>
                  <c15:showDataLabelsRange val="1"/>
                </c:ext>
                <c:ext xmlns:c16="http://schemas.microsoft.com/office/drawing/2014/chart" uri="{C3380CC4-5D6E-409C-BE32-E72D297353CC}">
                  <c16:uniqueId val="{00000001-BA91-4306-B504-2F643E3CFA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Arbeitsbereich!$C$109:$C$110</c:f>
              <c:strCache>
                <c:ptCount val="2"/>
                <c:pt idx="0">
                  <c:v>Plan-Kosten</c:v>
                </c:pt>
                <c:pt idx="1">
                  <c:v>Ist-Kosten</c:v>
                </c:pt>
              </c:strCache>
            </c:strRef>
          </c:cat>
          <c:val>
            <c:numRef>
              <c:f>Arbeitsbereich!$AE$109:$AE$110</c:f>
              <c:numCache>
                <c:formatCode>#\ ##0_ ;\-#\ ##0\ </c:formatCode>
                <c:ptCount val="2"/>
                <c:pt idx="0">
                  <c:v>1713125</c:v>
                </c:pt>
                <c:pt idx="1">
                  <c:v>0</c:v>
                </c:pt>
              </c:numCache>
            </c:numRef>
          </c:val>
          <c:extLst>
            <c:ext xmlns:c15="http://schemas.microsoft.com/office/drawing/2012/chart" uri="{02D57815-91ED-43cb-92C2-25804820EDAC}">
              <c15:datalabelsRange>
                <c15:f>Arbeitsbereich!$AF$109:$AF$110</c15:f>
                <c15:dlblRangeCache>
                  <c:ptCount val="2"/>
                  <c:pt idx="0">
                    <c:v>€ 1,71 Mio</c:v>
                  </c:pt>
                  <c:pt idx="1">
                    <c:v>€ 0,00 Mio</c:v>
                  </c:pt>
                </c15:dlblRangeCache>
              </c15:datalabelsRange>
            </c:ext>
            <c:ext xmlns:c16="http://schemas.microsoft.com/office/drawing/2014/chart" uri="{C3380CC4-5D6E-409C-BE32-E72D297353CC}">
              <c16:uniqueId val="{00000003-BA91-4306-B504-2F643E3CFAB9}"/>
            </c:ext>
          </c:extLst>
        </c:ser>
        <c:dLbls>
          <c:showLegendKey val="0"/>
          <c:showVal val="1"/>
          <c:showCatName val="0"/>
          <c:showSerName val="0"/>
          <c:showPercent val="0"/>
          <c:showBubbleSize val="0"/>
        </c:dLbls>
        <c:gapWidth val="25"/>
        <c:overlap val="-27"/>
        <c:axId val="951896191"/>
        <c:axId val="951897151"/>
      </c:barChart>
      <c:catAx>
        <c:axId val="9518961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97151"/>
        <c:crosses val="autoZero"/>
        <c:auto val="1"/>
        <c:lblAlgn val="ctr"/>
        <c:lblOffset val="100"/>
        <c:noMultiLvlLbl val="0"/>
      </c:catAx>
      <c:valAx>
        <c:axId val="951897151"/>
        <c:scaling>
          <c:orientation val="minMax"/>
          <c:max val="5000000"/>
        </c:scaling>
        <c:delete val="1"/>
        <c:axPos val="l"/>
        <c:numFmt formatCode="#\ ##0_ ;\-#\ ##0\ " sourceLinked="1"/>
        <c:majorTickMark val="out"/>
        <c:minorTickMark val="none"/>
        <c:tickLblPos val="nextTo"/>
        <c:crossAx val="95189619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1E533E"/>
              </a:solidFill>
              <a:ln>
                <a:noFill/>
              </a:ln>
              <a:effectLst/>
            </c:spPr>
            <c:extLst>
              <c:ext xmlns:c16="http://schemas.microsoft.com/office/drawing/2014/chart" uri="{C3380CC4-5D6E-409C-BE32-E72D297353CC}">
                <c16:uniqueId val="{00000002-E83E-4139-8257-4EC982DD0C10}"/>
              </c:ext>
            </c:extLst>
          </c:dPt>
          <c:dPt>
            <c:idx val="1"/>
            <c:invertIfNegative val="0"/>
            <c:bubble3D val="0"/>
            <c:spPr>
              <a:solidFill>
                <a:srgbClr val="61C59F"/>
              </a:solidFill>
              <a:ln>
                <a:noFill/>
              </a:ln>
              <a:effectLst/>
            </c:spPr>
            <c:extLst>
              <c:ext xmlns:c16="http://schemas.microsoft.com/office/drawing/2014/chart" uri="{C3380CC4-5D6E-409C-BE32-E72D297353CC}">
                <c16:uniqueId val="{00000001-E83E-4139-8257-4EC982DD0C10}"/>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F74CDAC-5812-4966-BCE0-FC82F3F06C26}" type="CELLRANGE">
                      <a:rPr lang="en-US">
                        <a:solidFill>
                          <a:schemeClr val="bg1"/>
                        </a:solidFill>
                      </a:rPr>
                      <a:pPr>
                        <a:defRPr>
                          <a:solidFill>
                            <a:schemeClr val="bg1"/>
                          </a:solidFill>
                        </a:defRPr>
                      </a:pPr>
                      <a:t>[ZELLBEREICH]</a:t>
                    </a:fld>
                    <a:endParaRPr lang="de-AT"/>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inBase"/>
              <c:showLegendKey val="0"/>
              <c:showVal val="0"/>
              <c:showCatName val="0"/>
              <c:showSerName val="0"/>
              <c:showPercent val="0"/>
              <c:showBubbleSize val="0"/>
              <c:extLst>
                <c:ext xmlns:c15="http://schemas.microsoft.com/office/drawing/2012/chart" uri="{CE6537A1-D6FC-4f65-9D91-7224C49458BB}">
                  <c15:layout>
                    <c:manualLayout>
                      <c:w val="0.26665638933687508"/>
                      <c:h val="0.23446009389671363"/>
                    </c:manualLayout>
                  </c15:layout>
                  <c15:dlblFieldTable/>
                  <c15:showDataLabelsRange val="1"/>
                </c:ext>
                <c:ext xmlns:c16="http://schemas.microsoft.com/office/drawing/2014/chart" uri="{C3380CC4-5D6E-409C-BE32-E72D297353CC}">
                  <c16:uniqueId val="{00000002-E83E-4139-8257-4EC982DD0C10}"/>
                </c:ext>
              </c:extLst>
            </c:dLbl>
            <c:dLbl>
              <c:idx val="1"/>
              <c:tx>
                <c:rich>
                  <a:bodyPr/>
                  <a:lstStyle/>
                  <a:p>
                    <a:fld id="{41252766-4236-4E79-AAA7-3C811C8B141B}" type="CELLRANGE">
                      <a:rPr lang="en-US"/>
                      <a:pPr/>
                      <a:t>[ZELLBEREICH]</a:t>
                    </a:fld>
                    <a:endParaRPr lang="de-AT"/>
                  </a:p>
                </c:rich>
              </c:tx>
              <c:dLblPos val="inBase"/>
              <c:showLegendKey val="0"/>
              <c:showVal val="0"/>
              <c:showCatName val="0"/>
              <c:showSerName val="0"/>
              <c:showPercent val="0"/>
              <c:showBubbleSize val="0"/>
              <c:extLst>
                <c:ext xmlns:c15="http://schemas.microsoft.com/office/drawing/2012/chart" uri="{CE6537A1-D6FC-4f65-9D91-7224C49458BB}">
                  <c15:layout>
                    <c:manualLayout>
                      <c:w val="0.34762024475856179"/>
                      <c:h val="0.23446009389671363"/>
                    </c:manualLayout>
                  </c15:layout>
                  <c15:dlblFieldTable/>
                  <c15:showDataLabelsRange val="1"/>
                </c:ext>
                <c:ext xmlns:c16="http://schemas.microsoft.com/office/drawing/2014/chart" uri="{C3380CC4-5D6E-409C-BE32-E72D297353CC}">
                  <c16:uniqueId val="{00000001-E83E-4139-8257-4EC982DD0C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Arbeitsbereich!$C$109:$C$110</c:f>
              <c:strCache>
                <c:ptCount val="2"/>
                <c:pt idx="0">
                  <c:v>Plan-Kosten</c:v>
                </c:pt>
                <c:pt idx="1">
                  <c:v>Ist-Kosten</c:v>
                </c:pt>
              </c:strCache>
            </c:strRef>
          </c:cat>
          <c:val>
            <c:numRef>
              <c:f>Arbeitsbereich!$D$109:$D$110</c:f>
              <c:numCache>
                <c:formatCode>#\ ##0_ ;\-#\ ##0\ </c:formatCode>
                <c:ptCount val="2"/>
                <c:pt idx="0">
                  <c:v>2083125</c:v>
                </c:pt>
                <c:pt idx="1">
                  <c:v>10000</c:v>
                </c:pt>
              </c:numCache>
            </c:numRef>
          </c:val>
          <c:extLst>
            <c:ext xmlns:c15="http://schemas.microsoft.com/office/drawing/2012/chart" uri="{02D57815-91ED-43cb-92C2-25804820EDAC}">
              <c15:datalabelsRange>
                <c15:f>Arbeitsbereich!$E$109:$E$110</c15:f>
                <c15:dlblRangeCache>
                  <c:ptCount val="2"/>
                  <c:pt idx="0">
                    <c:v>€ 2,1 Mio</c:v>
                  </c:pt>
                  <c:pt idx="1">
                    <c:v>€ 0,0 Mio</c:v>
                  </c:pt>
                </c15:dlblRangeCache>
              </c15:datalabelsRange>
            </c:ext>
            <c:ext xmlns:c16="http://schemas.microsoft.com/office/drawing/2014/chart" uri="{C3380CC4-5D6E-409C-BE32-E72D297353CC}">
              <c16:uniqueId val="{00000003-E83E-4139-8257-4EC982DD0C10}"/>
            </c:ext>
          </c:extLst>
        </c:ser>
        <c:dLbls>
          <c:showLegendKey val="0"/>
          <c:showVal val="1"/>
          <c:showCatName val="0"/>
          <c:showSerName val="0"/>
          <c:showPercent val="0"/>
          <c:showBubbleSize val="0"/>
        </c:dLbls>
        <c:gapWidth val="25"/>
        <c:overlap val="-27"/>
        <c:axId val="951896191"/>
        <c:axId val="951897151"/>
      </c:barChart>
      <c:catAx>
        <c:axId val="9518961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97151"/>
        <c:crosses val="autoZero"/>
        <c:auto val="1"/>
        <c:lblAlgn val="ctr"/>
        <c:lblOffset val="100"/>
        <c:noMultiLvlLbl val="0"/>
      </c:catAx>
      <c:valAx>
        <c:axId val="951897151"/>
        <c:scaling>
          <c:orientation val="minMax"/>
          <c:max val="5000000"/>
        </c:scaling>
        <c:delete val="1"/>
        <c:axPos val="l"/>
        <c:numFmt formatCode="#\ ##0_ ;\-#\ ##0\ " sourceLinked="1"/>
        <c:majorTickMark val="out"/>
        <c:minorTickMark val="none"/>
        <c:tickLblPos val="nextTo"/>
        <c:crossAx val="95189619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5CCD6"/>
              </a:solidFill>
              <a:ln>
                <a:noFill/>
              </a:ln>
              <a:effectLst/>
            </c:spPr>
            <c:extLst>
              <c:ext xmlns:c16="http://schemas.microsoft.com/office/drawing/2014/chart" uri="{C3380CC4-5D6E-409C-BE32-E72D297353CC}">
                <c16:uniqueId val="{00000001-976B-4D0F-BBEE-242354A20183}"/>
              </c:ext>
            </c:extLst>
          </c:dPt>
          <c:dPt>
            <c:idx val="1"/>
            <c:invertIfNegative val="0"/>
            <c:bubble3D val="0"/>
            <c:spPr>
              <a:solidFill>
                <a:srgbClr val="EC99AE"/>
              </a:solidFill>
              <a:ln>
                <a:noFill/>
              </a:ln>
              <a:effectLst/>
            </c:spPr>
            <c:extLst>
              <c:ext xmlns:c16="http://schemas.microsoft.com/office/drawing/2014/chart" uri="{C3380CC4-5D6E-409C-BE32-E72D297353CC}">
                <c16:uniqueId val="{00000003-976B-4D0F-BBEE-242354A20183}"/>
              </c:ext>
            </c:extLst>
          </c:dPt>
          <c:dPt>
            <c:idx val="2"/>
            <c:invertIfNegative val="0"/>
            <c:bubble3D val="0"/>
            <c:spPr>
              <a:solidFill>
                <a:srgbClr val="E26785"/>
              </a:solidFill>
              <a:ln>
                <a:noFill/>
              </a:ln>
              <a:effectLst/>
            </c:spPr>
            <c:extLst>
              <c:ext xmlns:c16="http://schemas.microsoft.com/office/drawing/2014/chart" uri="{C3380CC4-5D6E-409C-BE32-E72D297353CC}">
                <c16:uniqueId val="{00000005-976B-4D0F-BBEE-242354A20183}"/>
              </c:ext>
            </c:extLst>
          </c:dPt>
          <c:dPt>
            <c:idx val="3"/>
            <c:invertIfNegative val="0"/>
            <c:bubble3D val="0"/>
            <c:spPr>
              <a:solidFill>
                <a:srgbClr val="831933"/>
              </a:solidFill>
              <a:ln>
                <a:noFill/>
              </a:ln>
              <a:effectLst/>
            </c:spPr>
            <c:extLst>
              <c:ext xmlns:c16="http://schemas.microsoft.com/office/drawing/2014/chart" uri="{C3380CC4-5D6E-409C-BE32-E72D297353CC}">
                <c16:uniqueId val="{00000007-976B-4D0F-BBEE-242354A201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Arbeitsbereich!$C$87:$C$91</c:f>
              <c:strCache>
                <c:ptCount val="5"/>
                <c:pt idx="0">
                  <c:v>Sehr Gering</c:v>
                </c:pt>
                <c:pt idx="1">
                  <c:v>Gering</c:v>
                </c:pt>
                <c:pt idx="2">
                  <c:v>Mittel</c:v>
                </c:pt>
                <c:pt idx="3">
                  <c:v>Hoch</c:v>
                </c:pt>
                <c:pt idx="4">
                  <c:v>Sehr Hoch</c:v>
                </c:pt>
              </c:strCache>
            </c:strRef>
          </c:cat>
          <c:val>
            <c:numRef>
              <c:f>Arbeitsbereich!$E$87:$E$91</c:f>
              <c:numCache>
                <c:formatCode>General</c:formatCode>
                <c:ptCount val="5"/>
                <c:pt idx="0">
                  <c:v>#N/A</c:v>
                </c:pt>
                <c:pt idx="1">
                  <c:v>#N/A</c:v>
                </c:pt>
                <c:pt idx="2">
                  <c:v>1</c:v>
                </c:pt>
                <c:pt idx="3">
                  <c:v>#N/A</c:v>
                </c:pt>
                <c:pt idx="4">
                  <c:v>#N/A</c:v>
                </c:pt>
              </c:numCache>
            </c:numRef>
          </c:val>
          <c:extLst>
            <c:ext xmlns:c16="http://schemas.microsoft.com/office/drawing/2014/chart" uri="{C3380CC4-5D6E-409C-BE32-E72D297353CC}">
              <c16:uniqueId val="{0000000A-976B-4D0F-BBEE-242354A20183}"/>
            </c:ext>
          </c:extLst>
        </c:ser>
        <c:dLbls>
          <c:showLegendKey val="0"/>
          <c:showVal val="0"/>
          <c:showCatName val="0"/>
          <c:showSerName val="0"/>
          <c:showPercent val="0"/>
          <c:showBubbleSize val="0"/>
        </c:dLbls>
        <c:gapWidth val="219"/>
        <c:axId val="1164156367"/>
        <c:axId val="1164174607"/>
      </c:barChart>
      <c:catAx>
        <c:axId val="11641563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64174607"/>
        <c:crosses val="autoZero"/>
        <c:auto val="1"/>
        <c:lblAlgn val="ctr"/>
        <c:lblOffset val="100"/>
        <c:noMultiLvlLbl val="0"/>
      </c:catAx>
      <c:valAx>
        <c:axId val="1164174607"/>
        <c:scaling>
          <c:orientation val="minMax"/>
        </c:scaling>
        <c:delete val="1"/>
        <c:axPos val="b"/>
        <c:numFmt formatCode="General" sourceLinked="1"/>
        <c:majorTickMark val="none"/>
        <c:minorTickMark val="none"/>
        <c:tickLblPos val="nextTo"/>
        <c:crossAx val="1164156367"/>
        <c:crosses val="autoZero"/>
        <c:crossBetween val="between"/>
        <c:majorUnit val="1"/>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Arbeitsbereich!$C$87:$C$91</c:f>
              <c:strCache>
                <c:ptCount val="5"/>
                <c:pt idx="0">
                  <c:v>Sehr Gering</c:v>
                </c:pt>
                <c:pt idx="1">
                  <c:v>Gering</c:v>
                </c:pt>
                <c:pt idx="2">
                  <c:v>Mittel</c:v>
                </c:pt>
                <c:pt idx="3">
                  <c:v>Hoch</c:v>
                </c:pt>
                <c:pt idx="4">
                  <c:v>Sehr Hoch</c:v>
                </c:pt>
              </c:strCache>
            </c:strRef>
          </c:cat>
          <c:val>
            <c:numRef>
              <c:f>Arbeitsbereich!#REF!</c:f>
              <c:numCache>
                <c:formatCode>General</c:formatCode>
                <c:ptCount val="1"/>
                <c:pt idx="0">
                  <c:v>1</c:v>
                </c:pt>
              </c:numCache>
            </c:numRef>
          </c:val>
          <c:extLst>
            <c:ext xmlns:c16="http://schemas.microsoft.com/office/drawing/2014/chart" uri="{C3380CC4-5D6E-409C-BE32-E72D297353CC}">
              <c16:uniqueId val="{0000000A-0830-44CE-AF35-A9B1909337EC}"/>
            </c:ext>
          </c:extLst>
        </c:ser>
        <c:dLbls>
          <c:showLegendKey val="0"/>
          <c:showVal val="0"/>
          <c:showCatName val="0"/>
          <c:showSerName val="0"/>
          <c:showPercent val="0"/>
          <c:showBubbleSize val="0"/>
        </c:dLbls>
        <c:gapWidth val="219"/>
        <c:axId val="1164156367"/>
        <c:axId val="1164174607"/>
      </c:barChart>
      <c:catAx>
        <c:axId val="11641563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64174607"/>
        <c:crosses val="autoZero"/>
        <c:auto val="1"/>
        <c:lblAlgn val="ctr"/>
        <c:lblOffset val="100"/>
        <c:noMultiLvlLbl val="0"/>
      </c:catAx>
      <c:valAx>
        <c:axId val="1164174607"/>
        <c:scaling>
          <c:orientation val="minMax"/>
        </c:scaling>
        <c:delete val="1"/>
        <c:axPos val="b"/>
        <c:numFmt formatCode="General" sourceLinked="1"/>
        <c:majorTickMark val="none"/>
        <c:minorTickMark val="none"/>
        <c:tickLblPos val="nextTo"/>
        <c:crossAx val="1164156367"/>
        <c:crosses val="autoZero"/>
        <c:crossBetween val="between"/>
        <c:majorUnit val="1"/>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5CCD6"/>
              </a:solidFill>
              <a:ln>
                <a:noFill/>
              </a:ln>
              <a:effectLst/>
            </c:spPr>
            <c:extLst>
              <c:ext xmlns:c16="http://schemas.microsoft.com/office/drawing/2014/chart" uri="{C3380CC4-5D6E-409C-BE32-E72D297353CC}">
                <c16:uniqueId val="{00000001-8F16-40F7-882A-38AD3AF3B7DF}"/>
              </c:ext>
            </c:extLst>
          </c:dPt>
          <c:dPt>
            <c:idx val="1"/>
            <c:invertIfNegative val="0"/>
            <c:bubble3D val="0"/>
            <c:spPr>
              <a:solidFill>
                <a:srgbClr val="EC99AE"/>
              </a:solidFill>
              <a:ln>
                <a:noFill/>
              </a:ln>
              <a:effectLst/>
            </c:spPr>
            <c:extLst>
              <c:ext xmlns:c16="http://schemas.microsoft.com/office/drawing/2014/chart" uri="{C3380CC4-5D6E-409C-BE32-E72D297353CC}">
                <c16:uniqueId val="{00000003-8F16-40F7-882A-38AD3AF3B7DF}"/>
              </c:ext>
            </c:extLst>
          </c:dPt>
          <c:dPt>
            <c:idx val="2"/>
            <c:invertIfNegative val="0"/>
            <c:bubble3D val="0"/>
            <c:spPr>
              <a:solidFill>
                <a:srgbClr val="E26785"/>
              </a:solidFill>
              <a:ln>
                <a:noFill/>
              </a:ln>
              <a:effectLst/>
            </c:spPr>
            <c:extLst>
              <c:ext xmlns:c16="http://schemas.microsoft.com/office/drawing/2014/chart" uri="{C3380CC4-5D6E-409C-BE32-E72D297353CC}">
                <c16:uniqueId val="{00000005-8F16-40F7-882A-38AD3AF3B7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Arbeitsbereich!$C$87:$C$91</c:f>
              <c:strCache>
                <c:ptCount val="5"/>
                <c:pt idx="0">
                  <c:v>Sehr Gering</c:v>
                </c:pt>
                <c:pt idx="1">
                  <c:v>Gering</c:v>
                </c:pt>
                <c:pt idx="2">
                  <c:v>Mittel</c:v>
                </c:pt>
                <c:pt idx="3">
                  <c:v>Hoch</c:v>
                </c:pt>
                <c:pt idx="4">
                  <c:v>Sehr Hoch</c:v>
                </c:pt>
              </c:strCache>
            </c:strRef>
          </c:cat>
          <c:val>
            <c:numRef>
              <c:f>Arbeitsbereich!$F$87:$F$91</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A-8F16-40F7-882A-38AD3AF3B7DF}"/>
            </c:ext>
          </c:extLst>
        </c:ser>
        <c:dLbls>
          <c:showLegendKey val="0"/>
          <c:showVal val="0"/>
          <c:showCatName val="0"/>
          <c:showSerName val="0"/>
          <c:showPercent val="0"/>
          <c:showBubbleSize val="0"/>
        </c:dLbls>
        <c:gapWidth val="219"/>
        <c:axId val="1164156367"/>
        <c:axId val="1164174607"/>
      </c:barChart>
      <c:catAx>
        <c:axId val="11641563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64174607"/>
        <c:crosses val="autoZero"/>
        <c:auto val="1"/>
        <c:lblAlgn val="ctr"/>
        <c:lblOffset val="100"/>
        <c:noMultiLvlLbl val="0"/>
      </c:catAx>
      <c:valAx>
        <c:axId val="1164174607"/>
        <c:scaling>
          <c:orientation val="minMax"/>
        </c:scaling>
        <c:delete val="1"/>
        <c:axPos val="b"/>
        <c:numFmt formatCode="General" sourceLinked="1"/>
        <c:majorTickMark val="none"/>
        <c:minorTickMark val="none"/>
        <c:tickLblPos val="nextTo"/>
        <c:crossAx val="1164156367"/>
        <c:crosses val="autoZero"/>
        <c:crossBetween val="between"/>
        <c:majorUnit val="1"/>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5CCD6"/>
              </a:solidFill>
              <a:ln>
                <a:noFill/>
              </a:ln>
              <a:effectLst/>
            </c:spPr>
            <c:extLst>
              <c:ext xmlns:c16="http://schemas.microsoft.com/office/drawing/2014/chart" uri="{C3380CC4-5D6E-409C-BE32-E72D297353CC}">
                <c16:uniqueId val="{00000001-CFB8-4886-9D8E-E5D63E54D85F}"/>
              </c:ext>
            </c:extLst>
          </c:dPt>
          <c:dPt>
            <c:idx val="1"/>
            <c:invertIfNegative val="0"/>
            <c:bubble3D val="0"/>
            <c:spPr>
              <a:solidFill>
                <a:srgbClr val="EC99AE"/>
              </a:solidFill>
              <a:ln>
                <a:noFill/>
              </a:ln>
              <a:effectLst/>
            </c:spPr>
            <c:extLst>
              <c:ext xmlns:c16="http://schemas.microsoft.com/office/drawing/2014/chart" uri="{C3380CC4-5D6E-409C-BE32-E72D297353CC}">
                <c16:uniqueId val="{00000003-CFB8-4886-9D8E-E5D63E54D85F}"/>
              </c:ext>
            </c:extLst>
          </c:dPt>
          <c:dPt>
            <c:idx val="2"/>
            <c:invertIfNegative val="0"/>
            <c:bubble3D val="0"/>
            <c:spPr>
              <a:solidFill>
                <a:srgbClr val="E26785"/>
              </a:solidFill>
              <a:ln>
                <a:noFill/>
              </a:ln>
              <a:effectLst/>
            </c:spPr>
            <c:extLst>
              <c:ext xmlns:c16="http://schemas.microsoft.com/office/drawing/2014/chart" uri="{C3380CC4-5D6E-409C-BE32-E72D297353CC}">
                <c16:uniqueId val="{00000005-CFB8-4886-9D8E-E5D63E54D85F}"/>
              </c:ext>
            </c:extLst>
          </c:dPt>
          <c:dPt>
            <c:idx val="4"/>
            <c:invertIfNegative val="0"/>
            <c:bubble3D val="0"/>
            <c:spPr>
              <a:solidFill>
                <a:srgbClr val="571022"/>
              </a:solidFill>
              <a:ln>
                <a:noFill/>
              </a:ln>
              <a:effectLst/>
            </c:spPr>
            <c:extLst>
              <c:ext xmlns:c16="http://schemas.microsoft.com/office/drawing/2014/chart" uri="{C3380CC4-5D6E-409C-BE32-E72D297353CC}">
                <c16:uniqueId val="{00000009-CFB8-4886-9D8E-E5D63E54D8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Arbeitsbereich!$C$87:$C$91</c:f>
              <c:strCache>
                <c:ptCount val="5"/>
                <c:pt idx="0">
                  <c:v>Sehr Gering</c:v>
                </c:pt>
                <c:pt idx="1">
                  <c:v>Gering</c:v>
                </c:pt>
                <c:pt idx="2">
                  <c:v>Mittel</c:v>
                </c:pt>
                <c:pt idx="3">
                  <c:v>Hoch</c:v>
                </c:pt>
                <c:pt idx="4">
                  <c:v>Sehr Hoch</c:v>
                </c:pt>
              </c:strCache>
            </c:strRef>
          </c:cat>
          <c:val>
            <c:numRef>
              <c:f>Arbeitsbereich!$G$87:$G$91</c:f>
              <c:numCache>
                <c:formatCode>General</c:formatCode>
                <c:ptCount val="5"/>
                <c:pt idx="0">
                  <c:v>#N/A</c:v>
                </c:pt>
                <c:pt idx="1">
                  <c:v>1</c:v>
                </c:pt>
                <c:pt idx="2">
                  <c:v>1</c:v>
                </c:pt>
                <c:pt idx="3">
                  <c:v>#N/A</c:v>
                </c:pt>
                <c:pt idx="4">
                  <c:v>#N/A</c:v>
                </c:pt>
              </c:numCache>
            </c:numRef>
          </c:val>
          <c:extLst>
            <c:ext xmlns:c16="http://schemas.microsoft.com/office/drawing/2014/chart" uri="{C3380CC4-5D6E-409C-BE32-E72D297353CC}">
              <c16:uniqueId val="{0000000A-CFB8-4886-9D8E-E5D63E54D85F}"/>
            </c:ext>
          </c:extLst>
        </c:ser>
        <c:dLbls>
          <c:showLegendKey val="0"/>
          <c:showVal val="0"/>
          <c:showCatName val="0"/>
          <c:showSerName val="0"/>
          <c:showPercent val="0"/>
          <c:showBubbleSize val="0"/>
        </c:dLbls>
        <c:gapWidth val="219"/>
        <c:axId val="1164156367"/>
        <c:axId val="1164174607"/>
      </c:barChart>
      <c:catAx>
        <c:axId val="11641563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64174607"/>
        <c:crosses val="autoZero"/>
        <c:auto val="1"/>
        <c:lblAlgn val="ctr"/>
        <c:lblOffset val="100"/>
        <c:noMultiLvlLbl val="0"/>
      </c:catAx>
      <c:valAx>
        <c:axId val="1164174607"/>
        <c:scaling>
          <c:orientation val="minMax"/>
        </c:scaling>
        <c:delete val="1"/>
        <c:axPos val="b"/>
        <c:numFmt formatCode="General" sourceLinked="1"/>
        <c:majorTickMark val="none"/>
        <c:minorTickMark val="none"/>
        <c:tickLblPos val="nextTo"/>
        <c:crossAx val="1164156367"/>
        <c:crosses val="autoZero"/>
        <c:crossBetween val="between"/>
        <c:majorUnit val="1"/>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5CCD6"/>
              </a:solidFill>
              <a:ln>
                <a:noFill/>
              </a:ln>
              <a:effectLst/>
            </c:spPr>
            <c:extLst>
              <c:ext xmlns:c16="http://schemas.microsoft.com/office/drawing/2014/chart" uri="{C3380CC4-5D6E-409C-BE32-E72D297353CC}">
                <c16:uniqueId val="{00000001-930F-481D-B934-10E841271DB0}"/>
              </c:ext>
            </c:extLst>
          </c:dPt>
          <c:dPt>
            <c:idx val="1"/>
            <c:invertIfNegative val="0"/>
            <c:bubble3D val="0"/>
            <c:spPr>
              <a:solidFill>
                <a:srgbClr val="EC99AE"/>
              </a:solidFill>
              <a:ln>
                <a:noFill/>
              </a:ln>
              <a:effectLst/>
            </c:spPr>
            <c:extLst>
              <c:ext xmlns:c16="http://schemas.microsoft.com/office/drawing/2014/chart" uri="{C3380CC4-5D6E-409C-BE32-E72D297353CC}">
                <c16:uniqueId val="{00000003-930F-481D-B934-10E841271DB0}"/>
              </c:ext>
            </c:extLst>
          </c:dPt>
          <c:dPt>
            <c:idx val="2"/>
            <c:invertIfNegative val="0"/>
            <c:bubble3D val="0"/>
            <c:spPr>
              <a:solidFill>
                <a:srgbClr val="E26785"/>
              </a:solidFill>
              <a:ln>
                <a:noFill/>
              </a:ln>
              <a:effectLst/>
            </c:spPr>
            <c:extLst>
              <c:ext xmlns:c16="http://schemas.microsoft.com/office/drawing/2014/chart" uri="{C3380CC4-5D6E-409C-BE32-E72D297353CC}">
                <c16:uniqueId val="{00000005-930F-481D-B934-10E841271D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Arbeitsbereich!$C$87:$C$91</c:f>
              <c:strCache>
                <c:ptCount val="5"/>
                <c:pt idx="0">
                  <c:v>Sehr Gering</c:v>
                </c:pt>
                <c:pt idx="1">
                  <c:v>Gering</c:v>
                </c:pt>
                <c:pt idx="2">
                  <c:v>Mittel</c:v>
                </c:pt>
                <c:pt idx="3">
                  <c:v>Hoch</c:v>
                </c:pt>
                <c:pt idx="4">
                  <c:v>Sehr Hoch</c:v>
                </c:pt>
              </c:strCache>
            </c:strRef>
          </c:cat>
          <c:val>
            <c:numRef>
              <c:f>Arbeitsbereich!$H$87:$H$91</c:f>
              <c:numCache>
                <c:formatCode>General</c:formatCode>
                <c:ptCount val="5"/>
                <c:pt idx="0">
                  <c:v>#N/A</c:v>
                </c:pt>
                <c:pt idx="1">
                  <c:v>#N/A</c:v>
                </c:pt>
                <c:pt idx="2">
                  <c:v>#N/A</c:v>
                </c:pt>
                <c:pt idx="3">
                  <c:v>1</c:v>
                </c:pt>
                <c:pt idx="4">
                  <c:v>#N/A</c:v>
                </c:pt>
              </c:numCache>
            </c:numRef>
          </c:val>
          <c:extLst>
            <c:ext xmlns:c16="http://schemas.microsoft.com/office/drawing/2014/chart" uri="{C3380CC4-5D6E-409C-BE32-E72D297353CC}">
              <c16:uniqueId val="{0000000A-930F-481D-B934-10E841271DB0}"/>
            </c:ext>
          </c:extLst>
        </c:ser>
        <c:dLbls>
          <c:showLegendKey val="0"/>
          <c:showVal val="0"/>
          <c:showCatName val="0"/>
          <c:showSerName val="0"/>
          <c:showPercent val="0"/>
          <c:showBubbleSize val="0"/>
        </c:dLbls>
        <c:gapWidth val="219"/>
        <c:axId val="1164156367"/>
        <c:axId val="1164174607"/>
      </c:barChart>
      <c:catAx>
        <c:axId val="11641563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64174607"/>
        <c:crosses val="autoZero"/>
        <c:auto val="1"/>
        <c:lblAlgn val="ctr"/>
        <c:lblOffset val="100"/>
        <c:noMultiLvlLbl val="0"/>
      </c:catAx>
      <c:valAx>
        <c:axId val="1164174607"/>
        <c:scaling>
          <c:orientation val="minMax"/>
        </c:scaling>
        <c:delete val="1"/>
        <c:axPos val="b"/>
        <c:numFmt formatCode="General" sourceLinked="1"/>
        <c:majorTickMark val="none"/>
        <c:minorTickMark val="none"/>
        <c:tickLblPos val="nextTo"/>
        <c:crossAx val="1164156367"/>
        <c:crosses val="autoZero"/>
        <c:crossBetween val="between"/>
        <c:majorUnit val="1"/>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5CCD6"/>
              </a:solidFill>
              <a:ln>
                <a:noFill/>
              </a:ln>
              <a:effectLst/>
            </c:spPr>
            <c:extLst>
              <c:ext xmlns:c16="http://schemas.microsoft.com/office/drawing/2014/chart" uri="{C3380CC4-5D6E-409C-BE32-E72D297353CC}">
                <c16:uniqueId val="{00000001-B10C-4300-91AF-22483C89B812}"/>
              </c:ext>
            </c:extLst>
          </c:dPt>
          <c:dPt>
            <c:idx val="1"/>
            <c:invertIfNegative val="0"/>
            <c:bubble3D val="0"/>
            <c:spPr>
              <a:solidFill>
                <a:srgbClr val="EC99AE"/>
              </a:solidFill>
              <a:ln>
                <a:noFill/>
              </a:ln>
              <a:effectLst/>
            </c:spPr>
            <c:extLst>
              <c:ext xmlns:c16="http://schemas.microsoft.com/office/drawing/2014/chart" uri="{C3380CC4-5D6E-409C-BE32-E72D297353CC}">
                <c16:uniqueId val="{00000003-B10C-4300-91AF-22483C89B812}"/>
              </c:ext>
            </c:extLst>
          </c:dPt>
          <c:dPt>
            <c:idx val="2"/>
            <c:invertIfNegative val="0"/>
            <c:bubble3D val="0"/>
            <c:spPr>
              <a:solidFill>
                <a:srgbClr val="E26785"/>
              </a:solidFill>
              <a:ln>
                <a:noFill/>
              </a:ln>
              <a:effectLst/>
            </c:spPr>
            <c:extLst>
              <c:ext xmlns:c16="http://schemas.microsoft.com/office/drawing/2014/chart" uri="{C3380CC4-5D6E-409C-BE32-E72D297353CC}">
                <c16:uniqueId val="{00000005-B10C-4300-91AF-22483C89B812}"/>
              </c:ext>
            </c:extLst>
          </c:dPt>
          <c:dPt>
            <c:idx val="3"/>
            <c:invertIfNegative val="0"/>
            <c:bubble3D val="0"/>
            <c:spPr>
              <a:solidFill>
                <a:srgbClr val="831933"/>
              </a:solidFill>
              <a:ln>
                <a:noFill/>
              </a:ln>
              <a:effectLst/>
            </c:spPr>
            <c:extLst>
              <c:ext xmlns:c16="http://schemas.microsoft.com/office/drawing/2014/chart" uri="{C3380CC4-5D6E-409C-BE32-E72D297353CC}">
                <c16:uniqueId val="{00000007-B10C-4300-91AF-22483C89B812}"/>
              </c:ext>
            </c:extLst>
          </c:dPt>
          <c:dPt>
            <c:idx val="4"/>
            <c:invertIfNegative val="0"/>
            <c:bubble3D val="0"/>
            <c:spPr>
              <a:solidFill>
                <a:srgbClr val="571022"/>
              </a:solidFill>
              <a:ln>
                <a:noFill/>
              </a:ln>
              <a:effectLst/>
            </c:spPr>
            <c:extLst>
              <c:ext xmlns:c16="http://schemas.microsoft.com/office/drawing/2014/chart" uri="{C3380CC4-5D6E-409C-BE32-E72D297353CC}">
                <c16:uniqueId val="{00000009-B10C-4300-91AF-22483C89B8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Arbeitsbereich!$C$87:$C$91</c:f>
              <c:strCache>
                <c:ptCount val="5"/>
                <c:pt idx="0">
                  <c:v>Sehr Gering</c:v>
                </c:pt>
                <c:pt idx="1">
                  <c:v>Gering</c:v>
                </c:pt>
                <c:pt idx="2">
                  <c:v>Mittel</c:v>
                </c:pt>
                <c:pt idx="3">
                  <c:v>Hoch</c:v>
                </c:pt>
                <c:pt idx="4">
                  <c:v>Sehr Hoch</c:v>
                </c:pt>
              </c:strCache>
            </c:strRef>
          </c:cat>
          <c:val>
            <c:numRef>
              <c:f>Arbeitsbereich!$D$87:$D$91</c:f>
              <c:numCache>
                <c:formatCode>General</c:formatCode>
                <c:ptCount val="5"/>
                <c:pt idx="0">
                  <c:v>0</c:v>
                </c:pt>
                <c:pt idx="1">
                  <c:v>1</c:v>
                </c:pt>
                <c:pt idx="2">
                  <c:v>2</c:v>
                </c:pt>
                <c:pt idx="3">
                  <c:v>1</c:v>
                </c:pt>
                <c:pt idx="4">
                  <c:v>0</c:v>
                </c:pt>
              </c:numCache>
            </c:numRef>
          </c:val>
          <c:extLst>
            <c:ext xmlns:c16="http://schemas.microsoft.com/office/drawing/2014/chart" uri="{C3380CC4-5D6E-409C-BE32-E72D297353CC}">
              <c16:uniqueId val="{0000000A-B10C-4300-91AF-22483C89B812}"/>
            </c:ext>
          </c:extLst>
        </c:ser>
        <c:dLbls>
          <c:showLegendKey val="0"/>
          <c:showVal val="0"/>
          <c:showCatName val="0"/>
          <c:showSerName val="0"/>
          <c:showPercent val="0"/>
          <c:showBubbleSize val="0"/>
        </c:dLbls>
        <c:gapWidth val="219"/>
        <c:axId val="1164156367"/>
        <c:axId val="1164174607"/>
      </c:barChart>
      <c:catAx>
        <c:axId val="11641563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64174607"/>
        <c:crosses val="autoZero"/>
        <c:auto val="1"/>
        <c:lblAlgn val="ctr"/>
        <c:lblOffset val="100"/>
        <c:noMultiLvlLbl val="0"/>
      </c:catAx>
      <c:valAx>
        <c:axId val="1164174607"/>
        <c:scaling>
          <c:orientation val="minMax"/>
        </c:scaling>
        <c:delete val="1"/>
        <c:axPos val="b"/>
        <c:numFmt formatCode="General" sourceLinked="1"/>
        <c:majorTickMark val="none"/>
        <c:minorTickMark val="none"/>
        <c:tickLblPos val="nextTo"/>
        <c:crossAx val="1164156367"/>
        <c:crosses val="autoZero"/>
        <c:crossBetween val="between"/>
        <c:majorUnit val="1"/>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C995-457F-A24C-2D87258D8113}"/>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D100-4B69-B84E-9F02BDF9AEC0}"/>
              </c:ext>
            </c:extLst>
          </c:dPt>
          <c:val>
            <c:numRef>
              <c:f>Arbeitsbereich!$D$105:$D$106</c:f>
              <c:numCache>
                <c:formatCode>0%</c:formatCode>
                <c:ptCount val="2"/>
                <c:pt idx="0">
                  <c:v>0.10750000000000001</c:v>
                </c:pt>
                <c:pt idx="1">
                  <c:v>0.89249999999999996</c:v>
                </c:pt>
              </c:numCache>
            </c:numRef>
          </c:val>
          <c:extLst>
            <c:ext xmlns:c16="http://schemas.microsoft.com/office/drawing/2014/chart" uri="{C3380CC4-5D6E-409C-BE32-E72D297353CC}">
              <c16:uniqueId val="{00000004-C995-457F-A24C-2D87258D811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61C59F"/>
            </a:solidFill>
            <a:ln>
              <a:noFill/>
            </a:ln>
            <a:effectLst/>
          </c:spPr>
          <c:invertIfNegative val="0"/>
          <c:dPt>
            <c:idx val="0"/>
            <c:invertIfNegative val="0"/>
            <c:bubble3D val="0"/>
            <c:spPr>
              <a:solidFill>
                <a:srgbClr val="1E533E"/>
              </a:solidFill>
              <a:ln>
                <a:noFill/>
              </a:ln>
              <a:effectLst/>
            </c:spPr>
            <c:extLst>
              <c:ext xmlns:c16="http://schemas.microsoft.com/office/drawing/2014/chart" uri="{C3380CC4-5D6E-409C-BE32-E72D297353CC}">
                <c16:uniqueId val="{00000001-0AD0-4B80-B111-D26F9A9C4EC6}"/>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8A3074B7-CEDD-48B3-973A-EB087CE34A1E}" type="CELLRANGE">
                      <a:rPr lang="en-US">
                        <a:solidFill>
                          <a:schemeClr val="bg1"/>
                        </a:solidFill>
                      </a:rPr>
                      <a:pPr>
                        <a:defRPr>
                          <a:solidFill>
                            <a:schemeClr val="bg1"/>
                          </a:solidFill>
                        </a:defRPr>
                      </a:pPr>
                      <a:t>[ZELLBEREICH]</a:t>
                    </a:fld>
                    <a:endParaRPr lang="de-AT"/>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inBase"/>
              <c:showLegendKey val="0"/>
              <c:showVal val="0"/>
              <c:showCatName val="0"/>
              <c:showSerName val="0"/>
              <c:showPercent val="0"/>
              <c:showBubbleSize val="0"/>
              <c:extLst>
                <c:ext xmlns:c15="http://schemas.microsoft.com/office/drawing/2012/chart" uri="{CE6537A1-D6FC-4f65-9D91-7224C49458BB}">
                  <c15:layout>
                    <c:manualLayout>
                      <c:w val="0.27703569239473808"/>
                      <c:h val="0.15955271565495208"/>
                    </c:manualLayout>
                  </c15:layout>
                  <c15:dlblFieldTable/>
                  <c15:showDataLabelsRange val="1"/>
                </c:ext>
                <c:ext xmlns:c16="http://schemas.microsoft.com/office/drawing/2014/chart" uri="{C3380CC4-5D6E-409C-BE32-E72D297353CC}">
                  <c16:uniqueId val="{00000001-0AD0-4B80-B111-D26F9A9C4EC6}"/>
                </c:ext>
              </c:extLst>
            </c:dLbl>
            <c:dLbl>
              <c:idx val="1"/>
              <c:tx>
                <c:rich>
                  <a:bodyPr/>
                  <a:lstStyle/>
                  <a:p>
                    <a:fld id="{24BD0156-30F8-4FDB-B5FE-078131FC1D3F}" type="CELLRANGE">
                      <a:rPr lang="en-US"/>
                      <a:pPr/>
                      <a:t>[ZELLBEREICH]</a:t>
                    </a:fld>
                    <a:endParaRPr lang="de-AT"/>
                  </a:p>
                </c:rich>
              </c:tx>
              <c:dLblPos val="inBase"/>
              <c:showLegendKey val="0"/>
              <c:showVal val="0"/>
              <c:showCatName val="0"/>
              <c:showSerName val="0"/>
              <c:showPercent val="0"/>
              <c:showBubbleSize val="0"/>
              <c:extLst>
                <c:ext xmlns:c15="http://schemas.microsoft.com/office/drawing/2012/chart" uri="{CE6537A1-D6FC-4f65-9D91-7224C49458BB}">
                  <c15:layout>
                    <c:manualLayout>
                      <c:w val="0.25571832712527698"/>
                      <c:h val="0.15955271565495208"/>
                    </c:manualLayout>
                  </c15:layout>
                  <c15:dlblFieldTable/>
                  <c15:showDataLabelsRange val="1"/>
                </c:ext>
                <c:ext xmlns:c16="http://schemas.microsoft.com/office/drawing/2014/chart" uri="{C3380CC4-5D6E-409C-BE32-E72D297353CC}">
                  <c16:uniqueId val="{00000003-0AD0-4B80-B111-D26F9A9C4E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inBase"/>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Arbeitsbereich!$C$109:$C$110</c:f>
              <c:strCache>
                <c:ptCount val="2"/>
                <c:pt idx="0">
                  <c:v>Plan-Kosten</c:v>
                </c:pt>
                <c:pt idx="1">
                  <c:v>Ist-Kosten</c:v>
                </c:pt>
              </c:strCache>
            </c:strRef>
          </c:cat>
          <c:val>
            <c:numRef>
              <c:f>Arbeitsbereich!$D$109:$D$110</c:f>
              <c:numCache>
                <c:formatCode>#\ ##0_ ;\-#\ ##0\ </c:formatCode>
                <c:ptCount val="2"/>
                <c:pt idx="0">
                  <c:v>2083125</c:v>
                </c:pt>
                <c:pt idx="1">
                  <c:v>10000</c:v>
                </c:pt>
              </c:numCache>
            </c:numRef>
          </c:val>
          <c:extLst>
            <c:ext xmlns:c15="http://schemas.microsoft.com/office/drawing/2012/chart" uri="{02D57815-91ED-43cb-92C2-25804820EDAC}">
              <c15:datalabelsRange>
                <c15:f>Arbeitsbereich!$E$109:$E$110</c15:f>
                <c15:dlblRangeCache>
                  <c:ptCount val="2"/>
                  <c:pt idx="0">
                    <c:v>€ 2,1 Mio</c:v>
                  </c:pt>
                  <c:pt idx="1">
                    <c:v>€ 0,0 Mio</c:v>
                  </c:pt>
                </c15:dlblRangeCache>
              </c15:datalabelsRange>
            </c:ext>
            <c:ext xmlns:c16="http://schemas.microsoft.com/office/drawing/2014/chart" uri="{C3380CC4-5D6E-409C-BE32-E72D297353CC}">
              <c16:uniqueId val="{00000004-0AD0-4B80-B111-D26F9A9C4EC6}"/>
            </c:ext>
          </c:extLst>
        </c:ser>
        <c:dLbls>
          <c:showLegendKey val="0"/>
          <c:showVal val="1"/>
          <c:showCatName val="0"/>
          <c:showSerName val="0"/>
          <c:showPercent val="0"/>
          <c:showBubbleSize val="0"/>
        </c:dLbls>
        <c:gapWidth val="25"/>
        <c:overlap val="-27"/>
        <c:axId val="951896191"/>
        <c:axId val="951897151"/>
      </c:barChart>
      <c:catAx>
        <c:axId val="9518961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97151"/>
        <c:crosses val="autoZero"/>
        <c:auto val="1"/>
        <c:lblAlgn val="ctr"/>
        <c:lblOffset val="100"/>
        <c:noMultiLvlLbl val="0"/>
      </c:catAx>
      <c:valAx>
        <c:axId val="951897151"/>
        <c:scaling>
          <c:orientation val="minMax"/>
          <c:max val="5000000"/>
        </c:scaling>
        <c:delete val="1"/>
        <c:axPos val="l"/>
        <c:numFmt formatCode="#\ ##0_ ;\-#\ ##0\ " sourceLinked="1"/>
        <c:majorTickMark val="out"/>
        <c:minorTickMark val="none"/>
        <c:tickLblPos val="nextTo"/>
        <c:crossAx val="95189619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spPr>
            <a:solidFill>
              <a:srgbClr val="E26785"/>
            </a:solidFill>
          </c:spPr>
          <c:dPt>
            <c:idx val="0"/>
            <c:bubble3D val="0"/>
            <c:spPr>
              <a:solidFill>
                <a:srgbClr val="61C59F"/>
              </a:solidFill>
              <a:ln w="19050">
                <a:solidFill>
                  <a:schemeClr val="lt1"/>
                </a:solidFill>
              </a:ln>
              <a:effectLst/>
            </c:spPr>
            <c:extLst>
              <c:ext xmlns:c16="http://schemas.microsoft.com/office/drawing/2014/chart" uri="{C3380CC4-5D6E-409C-BE32-E72D297353CC}">
                <c16:uniqueId val="{00000001-B471-4B4C-9F3C-B404553CFB89}"/>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B471-4B4C-9F3C-B404553CFB89}"/>
              </c:ext>
            </c:extLst>
          </c:dPt>
          <c:val>
            <c:numRef>
              <c:f>Arbeitsbereich!$E$130:$E$131</c:f>
              <c:numCache>
                <c:formatCode>0%</c:formatCode>
                <c:ptCount val="2"/>
                <c:pt idx="0">
                  <c:v>0.25</c:v>
                </c:pt>
                <c:pt idx="1">
                  <c:v>0</c:v>
                </c:pt>
              </c:numCache>
            </c:numRef>
          </c:val>
          <c:extLst>
            <c:ext xmlns:c16="http://schemas.microsoft.com/office/drawing/2014/chart" uri="{C3380CC4-5D6E-409C-BE32-E72D297353CC}">
              <c16:uniqueId val="{00000004-B471-4B4C-9F3C-B404553CFB8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C995-457F-A24C-2D87258D8113}"/>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AA05-4C09-BBBD-48B582BCEA75}"/>
              </c:ext>
            </c:extLst>
          </c:dPt>
          <c:val>
            <c:numRef>
              <c:f>Arbeitsbereich!$F$105:$F$106</c:f>
              <c:numCache>
                <c:formatCode>0%</c:formatCode>
                <c:ptCount val="2"/>
                <c:pt idx="0">
                  <c:v>0.1</c:v>
                </c:pt>
                <c:pt idx="1">
                  <c:v>0.9</c:v>
                </c:pt>
              </c:numCache>
            </c:numRef>
          </c:val>
          <c:extLst>
            <c:ext xmlns:c16="http://schemas.microsoft.com/office/drawing/2014/chart" uri="{C3380CC4-5D6E-409C-BE32-E72D297353CC}">
              <c16:uniqueId val="{00000004-C995-457F-A24C-2D87258D811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1E533E"/>
              </a:solidFill>
              <a:ln>
                <a:noFill/>
              </a:ln>
              <a:effectLst/>
            </c:spPr>
            <c:extLst>
              <c:ext xmlns:c16="http://schemas.microsoft.com/office/drawing/2014/chart" uri="{C3380CC4-5D6E-409C-BE32-E72D297353CC}">
                <c16:uniqueId val="{00000001-0AD0-4B80-B111-D26F9A9C4EC6}"/>
              </c:ext>
            </c:extLst>
          </c:dPt>
          <c:dPt>
            <c:idx val="1"/>
            <c:invertIfNegative val="0"/>
            <c:bubble3D val="0"/>
            <c:spPr>
              <a:solidFill>
                <a:srgbClr val="61C59F"/>
              </a:solidFill>
              <a:ln>
                <a:noFill/>
              </a:ln>
              <a:effectLst/>
            </c:spPr>
            <c:extLst>
              <c:ext xmlns:c16="http://schemas.microsoft.com/office/drawing/2014/chart" uri="{C3380CC4-5D6E-409C-BE32-E72D297353CC}">
                <c16:uniqueId val="{00000003-0AD0-4B80-B111-D26F9A9C4EC6}"/>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E23672A-5109-400D-8B3B-D86E1A8EC27E}" type="CELLRANGE">
                      <a:rPr lang="en-US">
                        <a:solidFill>
                          <a:schemeClr val="bg1"/>
                        </a:solidFill>
                      </a:rPr>
                      <a:pPr>
                        <a:defRPr>
                          <a:solidFill>
                            <a:schemeClr val="bg1"/>
                          </a:solidFill>
                        </a:defRPr>
                      </a:pPr>
                      <a:t>[ZELLBEREICH]</a:t>
                    </a:fld>
                    <a:endParaRPr lang="de-AT"/>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inBase"/>
              <c:showLegendKey val="0"/>
              <c:showVal val="0"/>
              <c:showCatName val="0"/>
              <c:showSerName val="0"/>
              <c:showPercent val="0"/>
              <c:showBubbleSize val="0"/>
              <c:extLst>
                <c:ext xmlns:c15="http://schemas.microsoft.com/office/drawing/2012/chart" uri="{CE6537A1-D6FC-4f65-9D91-7224C49458BB}">
                  <c15:layout>
                    <c:manualLayout>
                      <c:w val="0.30986570624860238"/>
                      <c:h val="0.24048141935444731"/>
                    </c:manualLayout>
                  </c15:layout>
                  <c15:dlblFieldTable/>
                  <c15:showDataLabelsRange val="1"/>
                </c:ext>
                <c:ext xmlns:c16="http://schemas.microsoft.com/office/drawing/2014/chart" uri="{C3380CC4-5D6E-409C-BE32-E72D297353CC}">
                  <c16:uniqueId val="{00000001-0AD0-4B80-B111-D26F9A9C4EC6}"/>
                </c:ext>
              </c:extLst>
            </c:dLbl>
            <c:dLbl>
              <c:idx val="1"/>
              <c:tx>
                <c:rich>
                  <a:bodyPr/>
                  <a:lstStyle/>
                  <a:p>
                    <a:fld id="{8118926D-3FA2-41AC-8D3E-15EB7EC55BFB}" type="CELLRANGE">
                      <a:rPr lang="en-US"/>
                      <a:pPr/>
                      <a:t>[ZELLBEREICH]</a:t>
                    </a:fld>
                    <a:endParaRPr lang="de-AT"/>
                  </a:p>
                </c:rich>
              </c:tx>
              <c:dLblPos val="inBase"/>
              <c:showLegendKey val="0"/>
              <c:showVal val="0"/>
              <c:showCatName val="0"/>
              <c:showSerName val="0"/>
              <c:showPercent val="0"/>
              <c:showBubbleSize val="0"/>
              <c:extLst>
                <c:ext xmlns:c15="http://schemas.microsoft.com/office/drawing/2012/chart" uri="{CE6537A1-D6FC-4f65-9D91-7224C49458BB}">
                  <c15:layout>
                    <c:manualLayout>
                      <c:w val="0.28260113225757089"/>
                      <c:h val="0.24048141935444731"/>
                    </c:manualLayout>
                  </c15:layout>
                  <c15:dlblFieldTable/>
                  <c15:showDataLabelsRange val="1"/>
                </c:ext>
                <c:ext xmlns:c16="http://schemas.microsoft.com/office/drawing/2014/chart" uri="{C3380CC4-5D6E-409C-BE32-E72D297353CC}">
                  <c16:uniqueId val="{00000003-0AD0-4B80-B111-D26F9A9C4E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Arbeitsbereich!$C$109:$C$110</c:f>
              <c:strCache>
                <c:ptCount val="2"/>
                <c:pt idx="0">
                  <c:v>Plan-Kosten</c:v>
                </c:pt>
                <c:pt idx="1">
                  <c:v>Ist-Kosten</c:v>
                </c:pt>
              </c:strCache>
            </c:strRef>
          </c:cat>
          <c:val>
            <c:numRef>
              <c:f>Arbeitsbereich!$G$109:$G$110</c:f>
              <c:numCache>
                <c:formatCode>#\ ##0_ ;\-#\ ##0\ </c:formatCode>
                <c:ptCount val="2"/>
                <c:pt idx="0">
                  <c:v>1713125</c:v>
                </c:pt>
                <c:pt idx="1">
                  <c:v>0</c:v>
                </c:pt>
              </c:numCache>
            </c:numRef>
          </c:val>
          <c:extLst>
            <c:ext xmlns:c15="http://schemas.microsoft.com/office/drawing/2012/chart" uri="{02D57815-91ED-43cb-92C2-25804820EDAC}">
              <c15:datalabelsRange>
                <c15:f>Arbeitsbereich!$H$109:$H$110</c15:f>
                <c15:dlblRangeCache>
                  <c:ptCount val="2"/>
                  <c:pt idx="0">
                    <c:v>€ 1,71 Mio</c:v>
                  </c:pt>
                  <c:pt idx="1">
                    <c:v>€ 0,00 Mio</c:v>
                  </c:pt>
                </c15:dlblRangeCache>
              </c15:datalabelsRange>
            </c:ext>
            <c:ext xmlns:c16="http://schemas.microsoft.com/office/drawing/2014/chart" uri="{C3380CC4-5D6E-409C-BE32-E72D297353CC}">
              <c16:uniqueId val="{00000004-0AD0-4B80-B111-D26F9A9C4EC6}"/>
            </c:ext>
          </c:extLst>
        </c:ser>
        <c:dLbls>
          <c:showLegendKey val="0"/>
          <c:showVal val="1"/>
          <c:showCatName val="0"/>
          <c:showSerName val="0"/>
          <c:showPercent val="0"/>
          <c:showBubbleSize val="0"/>
        </c:dLbls>
        <c:gapWidth val="25"/>
        <c:overlap val="-27"/>
        <c:axId val="951896191"/>
        <c:axId val="951897151"/>
      </c:barChart>
      <c:catAx>
        <c:axId val="9518961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97151"/>
        <c:crosses val="autoZero"/>
        <c:auto val="1"/>
        <c:lblAlgn val="ctr"/>
        <c:lblOffset val="100"/>
        <c:noMultiLvlLbl val="0"/>
      </c:catAx>
      <c:valAx>
        <c:axId val="951897151"/>
        <c:scaling>
          <c:orientation val="minMax"/>
          <c:max val="5000000"/>
        </c:scaling>
        <c:delete val="1"/>
        <c:axPos val="l"/>
        <c:numFmt formatCode="#\ ##0_ ;\-#\ ##0\ " sourceLinked="1"/>
        <c:majorTickMark val="out"/>
        <c:minorTickMark val="none"/>
        <c:tickLblPos val="nextTo"/>
        <c:crossAx val="95189619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5CB3-4C7E-BE77-C947BF811F7C}"/>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2230-4603-9257-E827531F20D0}"/>
              </c:ext>
            </c:extLst>
          </c:dPt>
          <c:val>
            <c:numRef>
              <c:f>Arbeitsbereich!$G$105:$G$106</c:f>
              <c:numCache>
                <c:formatCode>0%</c:formatCode>
                <c:ptCount val="2"/>
                <c:pt idx="0">
                  <c:v>0</c:v>
                </c:pt>
                <c:pt idx="1">
                  <c:v>1</c:v>
                </c:pt>
              </c:numCache>
            </c:numRef>
          </c:val>
          <c:extLst>
            <c:ext xmlns:c16="http://schemas.microsoft.com/office/drawing/2014/chart" uri="{C3380CC4-5D6E-409C-BE32-E72D297353CC}">
              <c16:uniqueId val="{00000004-5CB3-4C7E-BE77-C947BF811F7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1E533E"/>
            </a:solidFill>
            <a:ln>
              <a:noFill/>
            </a:ln>
            <a:effectLst/>
          </c:spPr>
          <c:invertIfNegative val="0"/>
          <c:dPt>
            <c:idx val="1"/>
            <c:invertIfNegative val="0"/>
            <c:bubble3D val="0"/>
            <c:spPr>
              <a:solidFill>
                <a:srgbClr val="61C59F"/>
              </a:solidFill>
              <a:ln>
                <a:noFill/>
              </a:ln>
              <a:effectLst/>
            </c:spPr>
            <c:extLst>
              <c:ext xmlns:c16="http://schemas.microsoft.com/office/drawing/2014/chart" uri="{C3380CC4-5D6E-409C-BE32-E72D297353CC}">
                <c16:uniqueId val="{00000003-117B-4333-883B-AD023A621C2B}"/>
              </c:ext>
            </c:extLst>
          </c:dPt>
          <c:dLbls>
            <c:dLbl>
              <c:idx val="0"/>
              <c:layout>
                <c:manualLayout>
                  <c:x val="2.3504524620989542E-7"/>
                  <c:y val="0.21005214974017689"/>
                </c:manualLayout>
              </c:layout>
              <c:tx>
                <c:rich>
                  <a:bodyPr/>
                  <a:lstStyle/>
                  <a:p>
                    <a:fld id="{E2A65B01-F2C3-4FDA-8F89-50D3447680AB}" type="CELLRANGE">
                      <a:rPr lang="en-US">
                        <a:solidFill>
                          <a:schemeClr val="bg1"/>
                        </a:solidFill>
                      </a:rPr>
                      <a:pPr/>
                      <a:t>[ZELLBEREICH]</a:t>
                    </a:fld>
                    <a:endParaRPr lang="de-AT"/>
                  </a:p>
                </c:rich>
              </c:tx>
              <c:dLblPos val="outEnd"/>
              <c:showLegendKey val="0"/>
              <c:showVal val="0"/>
              <c:showCatName val="0"/>
              <c:showSerName val="0"/>
              <c:showPercent val="0"/>
              <c:showBubbleSize val="0"/>
              <c:extLst>
                <c:ext xmlns:c15="http://schemas.microsoft.com/office/drawing/2012/chart" uri="{CE6537A1-D6FC-4f65-9D91-7224C49458BB}">
                  <c15:layout>
                    <c:manualLayout>
                      <c:w val="0.29411916793982834"/>
                      <c:h val="0.24460395585205549"/>
                    </c:manualLayout>
                  </c15:layout>
                  <c15:dlblFieldTable/>
                  <c15:showDataLabelsRange val="1"/>
                </c:ext>
                <c:ext xmlns:c16="http://schemas.microsoft.com/office/drawing/2014/chart" uri="{C3380CC4-5D6E-409C-BE32-E72D297353CC}">
                  <c16:uniqueId val="{00000001-117B-4333-883B-AD023A621C2B}"/>
                </c:ext>
              </c:extLst>
            </c:dLbl>
            <c:dLbl>
              <c:idx val="1"/>
              <c:layout>
                <c:manualLayout>
                  <c:x val="-1.1940298507462687E-2"/>
                  <c:y val="8.8248837795873225E-2"/>
                </c:manualLayout>
              </c:layout>
              <c:tx>
                <c:rich>
                  <a:bodyPr/>
                  <a:lstStyle/>
                  <a:p>
                    <a:fld id="{07845763-F87C-419E-A28A-F960F92FAB7A}" type="CELLRANGE">
                      <a:rPr lang="en-US"/>
                      <a:pPr/>
                      <a:t>[ZELLBEREICH]</a:t>
                    </a:fld>
                    <a:endParaRPr lang="de-AT"/>
                  </a:p>
                </c:rich>
              </c:tx>
              <c:dLblPos val="outEnd"/>
              <c:showLegendKey val="0"/>
              <c:showVal val="0"/>
              <c:showCatName val="0"/>
              <c:showSerName val="0"/>
              <c:showPercent val="0"/>
              <c:showBubbleSize val="0"/>
              <c:extLst>
                <c:ext xmlns:c15="http://schemas.microsoft.com/office/drawing/2012/chart" uri="{CE6537A1-D6FC-4f65-9D91-7224C49458BB}">
                  <c15:layout>
                    <c:manualLayout>
                      <c:w val="0.38367140674579864"/>
                      <c:h val="0.24460395585205549"/>
                    </c:manualLayout>
                  </c15:layout>
                  <c15:dlblFieldTable/>
                  <c15:showDataLabelsRange val="1"/>
                </c:ext>
                <c:ext xmlns:c16="http://schemas.microsoft.com/office/drawing/2014/chart" uri="{C3380CC4-5D6E-409C-BE32-E72D297353CC}">
                  <c16:uniqueId val="{00000003-117B-4333-883B-AD023A621C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Arbeitsbereich!$C$109:$C$110</c:f>
              <c:strCache>
                <c:ptCount val="2"/>
                <c:pt idx="0">
                  <c:v>Plan-Kosten</c:v>
                </c:pt>
                <c:pt idx="1">
                  <c:v>Ist-Kosten</c:v>
                </c:pt>
              </c:strCache>
            </c:strRef>
          </c:cat>
          <c:val>
            <c:numRef>
              <c:f>Arbeitsbereich!$J$109:$J$110</c:f>
              <c:numCache>
                <c:formatCode>#\ ##0_ ;\-#\ ##0\ </c:formatCode>
                <c:ptCount val="2"/>
                <c:pt idx="0">
                  <c:v>0</c:v>
                </c:pt>
                <c:pt idx="1">
                  <c:v>0</c:v>
                </c:pt>
              </c:numCache>
            </c:numRef>
          </c:val>
          <c:extLst>
            <c:ext xmlns:c15="http://schemas.microsoft.com/office/drawing/2012/chart" uri="{02D57815-91ED-43cb-92C2-25804820EDAC}">
              <c15:datalabelsRange>
                <c15:f>Arbeitsbereich!$K$109:$K$110</c15:f>
                <c15:dlblRangeCache>
                  <c:ptCount val="2"/>
                  <c:pt idx="0">
                    <c:v>€ 0,00 Mio</c:v>
                  </c:pt>
                  <c:pt idx="1">
                    <c:v>€ 0,00 Mio</c:v>
                  </c:pt>
                </c15:dlblRangeCache>
              </c15:datalabelsRange>
            </c:ext>
            <c:ext xmlns:c16="http://schemas.microsoft.com/office/drawing/2014/chart" uri="{C3380CC4-5D6E-409C-BE32-E72D297353CC}">
              <c16:uniqueId val="{00000004-117B-4333-883B-AD023A621C2B}"/>
            </c:ext>
          </c:extLst>
        </c:ser>
        <c:dLbls>
          <c:showLegendKey val="0"/>
          <c:showVal val="1"/>
          <c:showCatName val="0"/>
          <c:showSerName val="0"/>
          <c:showPercent val="0"/>
          <c:showBubbleSize val="0"/>
        </c:dLbls>
        <c:gapWidth val="25"/>
        <c:overlap val="-27"/>
        <c:axId val="951896191"/>
        <c:axId val="951897151"/>
      </c:barChart>
      <c:catAx>
        <c:axId val="9518961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97151"/>
        <c:crosses val="autoZero"/>
        <c:auto val="1"/>
        <c:lblAlgn val="ctr"/>
        <c:lblOffset val="100"/>
        <c:noMultiLvlLbl val="0"/>
      </c:catAx>
      <c:valAx>
        <c:axId val="951897151"/>
        <c:scaling>
          <c:orientation val="minMax"/>
          <c:max val="5000000"/>
        </c:scaling>
        <c:delete val="1"/>
        <c:axPos val="l"/>
        <c:numFmt formatCode="#\ ##0_ ;\-#\ ##0\ " sourceLinked="1"/>
        <c:majorTickMark val="out"/>
        <c:minorTickMark val="none"/>
        <c:tickLblPos val="nextTo"/>
        <c:crossAx val="95189619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1BA7-408D-8890-F7C1766DEFE8}"/>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F6BA-434A-BEB2-6DB1A353A067}"/>
              </c:ext>
            </c:extLst>
          </c:dPt>
          <c:val>
            <c:numRef>
              <c:f>Arbeitsbereich!$H$105:$H$106</c:f>
              <c:numCache>
                <c:formatCode>0%</c:formatCode>
                <c:ptCount val="2"/>
                <c:pt idx="0">
                  <c:v>0.33</c:v>
                </c:pt>
                <c:pt idx="1">
                  <c:v>0.66999999999999993</c:v>
                </c:pt>
              </c:numCache>
            </c:numRef>
          </c:val>
          <c:extLst>
            <c:ext xmlns:c16="http://schemas.microsoft.com/office/drawing/2014/chart" uri="{C3380CC4-5D6E-409C-BE32-E72D297353CC}">
              <c16:uniqueId val="{00000004-1BA7-408D-8890-F7C1766DEFE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1E533E"/>
              </a:solidFill>
              <a:ln>
                <a:noFill/>
              </a:ln>
              <a:effectLst/>
            </c:spPr>
            <c:extLst>
              <c:ext xmlns:c16="http://schemas.microsoft.com/office/drawing/2014/chart" uri="{C3380CC4-5D6E-409C-BE32-E72D297353CC}">
                <c16:uniqueId val="{00000001-2F5C-484B-957D-D16CEC2E0B2C}"/>
              </c:ext>
            </c:extLst>
          </c:dPt>
          <c:dPt>
            <c:idx val="1"/>
            <c:invertIfNegative val="0"/>
            <c:bubble3D val="0"/>
            <c:spPr>
              <a:solidFill>
                <a:srgbClr val="61C59F"/>
              </a:solidFill>
              <a:ln>
                <a:noFill/>
              </a:ln>
              <a:effectLst/>
            </c:spPr>
            <c:extLst>
              <c:ext xmlns:c16="http://schemas.microsoft.com/office/drawing/2014/chart" uri="{C3380CC4-5D6E-409C-BE32-E72D297353CC}">
                <c16:uniqueId val="{00000003-2F5C-484B-957D-D16CEC2E0B2C}"/>
              </c:ext>
            </c:extLst>
          </c:dPt>
          <c:dLbls>
            <c:dLbl>
              <c:idx val="0"/>
              <c:tx>
                <c:rich>
                  <a:bodyPr/>
                  <a:lstStyle/>
                  <a:p>
                    <a:fld id="{2A5F9A08-260C-4E63-A575-0DB1EC798E4C}" type="CELLRANGE">
                      <a:rPr lang="en-US">
                        <a:solidFill>
                          <a:schemeClr val="bg1"/>
                        </a:solidFill>
                      </a:rPr>
                      <a:pPr/>
                      <a:t>[ZELLBEREICH]</a:t>
                    </a:fld>
                    <a:endParaRPr lang="de-AT"/>
                  </a:p>
                </c:rich>
              </c:tx>
              <c:dLblPos val="inBase"/>
              <c:showLegendKey val="0"/>
              <c:showVal val="0"/>
              <c:showCatName val="0"/>
              <c:showSerName val="0"/>
              <c:showPercent val="0"/>
              <c:showBubbleSize val="0"/>
              <c:extLst>
                <c:ext xmlns:c15="http://schemas.microsoft.com/office/drawing/2012/chart" uri="{CE6537A1-D6FC-4f65-9D91-7224C49458BB}">
                  <c15:layout>
                    <c:manualLayout>
                      <c:w val="0.37563551192872191"/>
                      <c:h val="0.24702377938538309"/>
                    </c:manualLayout>
                  </c15:layout>
                  <c15:dlblFieldTable/>
                  <c15:showDataLabelsRange val="1"/>
                </c:ext>
                <c:ext xmlns:c16="http://schemas.microsoft.com/office/drawing/2014/chart" uri="{C3380CC4-5D6E-409C-BE32-E72D297353CC}">
                  <c16:uniqueId val="{00000001-2F5C-484B-957D-D16CEC2E0B2C}"/>
                </c:ext>
              </c:extLst>
            </c:dLbl>
            <c:dLbl>
              <c:idx val="1"/>
              <c:tx>
                <c:rich>
                  <a:bodyPr/>
                  <a:lstStyle/>
                  <a:p>
                    <a:fld id="{C2A4F7B9-53B1-41C1-8AA8-556E6ACD593A}" type="CELLRANGE">
                      <a:rPr lang="en-US"/>
                      <a:pPr/>
                      <a:t>[ZELLBEREICH]</a:t>
                    </a:fld>
                    <a:endParaRPr lang="de-AT"/>
                  </a:p>
                </c:rich>
              </c:tx>
              <c:dLblPos val="inBase"/>
              <c:showLegendKey val="0"/>
              <c:showVal val="0"/>
              <c:showCatName val="0"/>
              <c:showSerName val="0"/>
              <c:showPercent val="0"/>
              <c:showBubbleSize val="0"/>
              <c:extLst>
                <c:ext xmlns:c15="http://schemas.microsoft.com/office/drawing/2012/chart" uri="{CE6537A1-D6FC-4f65-9D91-7224C49458BB}">
                  <c15:layout>
                    <c:manualLayout>
                      <c:w val="0.26466391252662924"/>
                      <c:h val="0.24702377938538309"/>
                    </c:manualLayout>
                  </c15:layout>
                  <c15:dlblFieldTable/>
                  <c15:showDataLabelsRange val="1"/>
                </c:ext>
                <c:ext xmlns:c16="http://schemas.microsoft.com/office/drawing/2014/chart" uri="{C3380CC4-5D6E-409C-BE32-E72D297353CC}">
                  <c16:uniqueId val="{00000003-2F5C-484B-957D-D16CEC2E0B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Arbeitsbereich!$C$109:$C$110</c:f>
              <c:strCache>
                <c:ptCount val="2"/>
                <c:pt idx="0">
                  <c:v>Plan-Kosten</c:v>
                </c:pt>
                <c:pt idx="1">
                  <c:v>Ist-Kosten</c:v>
                </c:pt>
              </c:strCache>
            </c:strRef>
          </c:cat>
          <c:val>
            <c:numRef>
              <c:f>Arbeitsbereich!$M$109:$M$110</c:f>
              <c:numCache>
                <c:formatCode>#\ ##0_ ;\-#\ ##0\ </c:formatCode>
                <c:ptCount val="2"/>
                <c:pt idx="0">
                  <c:v>370000</c:v>
                </c:pt>
                <c:pt idx="1">
                  <c:v>10000</c:v>
                </c:pt>
              </c:numCache>
            </c:numRef>
          </c:val>
          <c:extLst>
            <c:ext xmlns:c15="http://schemas.microsoft.com/office/drawing/2012/chart" uri="{02D57815-91ED-43cb-92C2-25804820EDAC}">
              <c15:datalabelsRange>
                <c15:f>Arbeitsbereich!$N$109:$N$110</c15:f>
                <c15:dlblRangeCache>
                  <c:ptCount val="2"/>
                  <c:pt idx="0">
                    <c:v>€ 0,37 Mio</c:v>
                  </c:pt>
                  <c:pt idx="1">
                    <c:v>€ 0,01 Mio</c:v>
                  </c:pt>
                </c15:dlblRangeCache>
              </c15:datalabelsRange>
            </c:ext>
            <c:ext xmlns:c16="http://schemas.microsoft.com/office/drawing/2014/chart" uri="{C3380CC4-5D6E-409C-BE32-E72D297353CC}">
              <c16:uniqueId val="{00000004-2F5C-484B-957D-D16CEC2E0B2C}"/>
            </c:ext>
          </c:extLst>
        </c:ser>
        <c:dLbls>
          <c:showLegendKey val="0"/>
          <c:showVal val="1"/>
          <c:showCatName val="0"/>
          <c:showSerName val="0"/>
          <c:showPercent val="0"/>
          <c:showBubbleSize val="0"/>
        </c:dLbls>
        <c:gapWidth val="25"/>
        <c:overlap val="-27"/>
        <c:axId val="951896191"/>
        <c:axId val="951897151"/>
      </c:barChart>
      <c:catAx>
        <c:axId val="9518961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97151"/>
        <c:crosses val="autoZero"/>
        <c:auto val="1"/>
        <c:lblAlgn val="ctr"/>
        <c:lblOffset val="100"/>
        <c:noMultiLvlLbl val="0"/>
      </c:catAx>
      <c:valAx>
        <c:axId val="951897151"/>
        <c:scaling>
          <c:orientation val="minMax"/>
          <c:max val="5000000"/>
        </c:scaling>
        <c:delete val="1"/>
        <c:axPos val="l"/>
        <c:numFmt formatCode="#\ ##0_ ;\-#\ ##0\ " sourceLinked="1"/>
        <c:majorTickMark val="out"/>
        <c:minorTickMark val="none"/>
        <c:tickLblPos val="nextTo"/>
        <c:crossAx val="95189619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1CD9-441F-BEE9-0070C1DA4E73}"/>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4E1A-4B02-8BB0-DA65CB7E1BC6}"/>
              </c:ext>
            </c:extLst>
          </c:dPt>
          <c:val>
            <c:numRef>
              <c:f>Arbeitsbereich!$I$105:$I$106</c:f>
              <c:numCache>
                <c:formatCode>0%</c:formatCode>
                <c:ptCount val="2"/>
                <c:pt idx="0">
                  <c:v>0</c:v>
                </c:pt>
                <c:pt idx="1">
                  <c:v>0</c:v>
                </c:pt>
              </c:numCache>
            </c:numRef>
          </c:val>
          <c:extLst>
            <c:ext xmlns:c16="http://schemas.microsoft.com/office/drawing/2014/chart" uri="{C3380CC4-5D6E-409C-BE32-E72D297353CC}">
              <c16:uniqueId val="{00000004-1CD9-441F-BEE9-0070C1DA4E7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1E533E"/>
              </a:solidFill>
              <a:ln>
                <a:noFill/>
              </a:ln>
              <a:effectLst/>
            </c:spPr>
            <c:extLst>
              <c:ext xmlns:c16="http://schemas.microsoft.com/office/drawing/2014/chart" uri="{C3380CC4-5D6E-409C-BE32-E72D297353CC}">
                <c16:uniqueId val="{00000001-955E-4D81-BA52-3A3B6F3E5BB5}"/>
              </c:ext>
            </c:extLst>
          </c:dPt>
          <c:dLbls>
            <c:dLbl>
              <c:idx val="0"/>
              <c:layout>
                <c:manualLayout>
                  <c:x val="-1.1975812155217124E-2"/>
                  <c:y val="0.20994049506176782"/>
                </c:manualLayout>
              </c:layout>
              <c:tx>
                <c:rich>
                  <a:bodyPr/>
                  <a:lstStyle/>
                  <a:p>
                    <a:fld id="{171A1772-61C4-43DF-B2F6-516C087B1397}" type="CELLRANGE">
                      <a:rPr lang="en-US">
                        <a:solidFill>
                          <a:schemeClr val="bg1"/>
                        </a:solidFill>
                      </a:rPr>
                      <a:pPr/>
                      <a:t>[ZELLBEREICH]</a:t>
                    </a:fld>
                    <a:endParaRPr lang="de-AT"/>
                  </a:p>
                </c:rich>
              </c:tx>
              <c:dLblPos val="outEnd"/>
              <c:showLegendKey val="0"/>
              <c:showVal val="0"/>
              <c:showCatName val="0"/>
              <c:showSerName val="0"/>
              <c:showPercent val="0"/>
              <c:showBubbleSize val="0"/>
              <c:extLst>
                <c:ext xmlns:c15="http://schemas.microsoft.com/office/drawing/2012/chart" uri="{CE6537A1-D6FC-4f65-9D91-7224C49458BB}">
                  <c15:layout>
                    <c:manualLayout>
                      <c:w val="0.32493988401150448"/>
                      <c:h val="0.24702377938538309"/>
                    </c:manualLayout>
                  </c15:layout>
                  <c15:dlblFieldTable/>
                  <c15:showDataLabelsRange val="1"/>
                </c:ext>
                <c:ext xmlns:c16="http://schemas.microsoft.com/office/drawing/2014/chart" uri="{C3380CC4-5D6E-409C-BE32-E72D297353CC}">
                  <c16:uniqueId val="{00000001-955E-4D81-BA52-3A3B6F3E5BB5}"/>
                </c:ext>
              </c:extLst>
            </c:dLbl>
            <c:dLbl>
              <c:idx val="1"/>
              <c:tx>
                <c:rich>
                  <a:bodyPr/>
                  <a:lstStyle/>
                  <a:p>
                    <a:fld id="{06CEB0DC-584F-4D47-A7BF-E4D0978951CA}" type="CELLRANGE">
                      <a:rPr lang="en-US"/>
                      <a:pPr/>
                      <a:t>[ZELLBEREICH]</a:t>
                    </a:fld>
                    <a:endParaRPr lang="de-AT"/>
                  </a:p>
                </c:rich>
              </c:tx>
              <c:dLblPos val="inBase"/>
              <c:showLegendKey val="0"/>
              <c:showVal val="0"/>
              <c:showCatName val="0"/>
              <c:showSerName val="0"/>
              <c:showPercent val="0"/>
              <c:showBubbleSize val="0"/>
              <c:extLst>
                <c:ext xmlns:c15="http://schemas.microsoft.com/office/drawing/2012/chart" uri="{CE6537A1-D6FC-4f65-9D91-7224C49458BB}">
                  <c15:layout>
                    <c:manualLayout>
                      <c:w val="0.31895186005940873"/>
                      <c:h val="0.24702377938538309"/>
                    </c:manualLayout>
                  </c15:layout>
                  <c15:dlblFieldTable/>
                  <c15:showDataLabelsRange val="1"/>
                </c:ext>
                <c:ext xmlns:c16="http://schemas.microsoft.com/office/drawing/2014/chart" uri="{C3380CC4-5D6E-409C-BE32-E72D297353CC}">
                  <c16:uniqueId val="{00000003-955E-4D81-BA52-3A3B6F3E5B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Arbeitsbereich!$C$109:$C$110</c:f>
              <c:strCache>
                <c:ptCount val="2"/>
                <c:pt idx="0">
                  <c:v>Plan-Kosten</c:v>
                </c:pt>
                <c:pt idx="1">
                  <c:v>Ist-Kosten</c:v>
                </c:pt>
              </c:strCache>
            </c:strRef>
          </c:cat>
          <c:val>
            <c:numRef>
              <c:f>Arbeitsbereich!$P$109:$P$110</c:f>
              <c:numCache>
                <c:formatCode>#\ ##0_ ;\-#\ ##0\ </c:formatCode>
                <c:ptCount val="2"/>
                <c:pt idx="0">
                  <c:v>0</c:v>
                </c:pt>
                <c:pt idx="1">
                  <c:v>0</c:v>
                </c:pt>
              </c:numCache>
            </c:numRef>
          </c:val>
          <c:extLst>
            <c:ext xmlns:c15="http://schemas.microsoft.com/office/drawing/2012/chart" uri="{02D57815-91ED-43cb-92C2-25804820EDAC}">
              <c15:datalabelsRange>
                <c15:f>Arbeitsbereich!$Q$109:$Q$110</c15:f>
                <c15:dlblRangeCache>
                  <c:ptCount val="2"/>
                  <c:pt idx="0">
                    <c:v>€ 0,00 Mio</c:v>
                  </c:pt>
                  <c:pt idx="1">
                    <c:v>€ 0,00 Mio</c:v>
                  </c:pt>
                </c15:dlblRangeCache>
              </c15:datalabelsRange>
            </c:ext>
            <c:ext xmlns:c16="http://schemas.microsoft.com/office/drawing/2014/chart" uri="{C3380CC4-5D6E-409C-BE32-E72D297353CC}">
              <c16:uniqueId val="{00000004-955E-4D81-BA52-3A3B6F3E5BB5}"/>
            </c:ext>
          </c:extLst>
        </c:ser>
        <c:dLbls>
          <c:showLegendKey val="0"/>
          <c:showVal val="1"/>
          <c:showCatName val="0"/>
          <c:showSerName val="0"/>
          <c:showPercent val="0"/>
          <c:showBubbleSize val="0"/>
        </c:dLbls>
        <c:gapWidth val="25"/>
        <c:overlap val="-27"/>
        <c:axId val="951896191"/>
        <c:axId val="951897151"/>
      </c:barChart>
      <c:catAx>
        <c:axId val="9518961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97151"/>
        <c:crosses val="autoZero"/>
        <c:auto val="1"/>
        <c:lblAlgn val="ctr"/>
        <c:lblOffset val="100"/>
        <c:noMultiLvlLbl val="0"/>
      </c:catAx>
      <c:valAx>
        <c:axId val="951897151"/>
        <c:scaling>
          <c:orientation val="minMax"/>
          <c:max val="5000000"/>
        </c:scaling>
        <c:delete val="1"/>
        <c:axPos val="l"/>
        <c:numFmt formatCode="#\ ##0_ ;\-#\ ##0\ " sourceLinked="1"/>
        <c:majorTickMark val="out"/>
        <c:minorTickMark val="none"/>
        <c:tickLblPos val="nextTo"/>
        <c:crossAx val="95189619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spPr>
            <a:solidFill>
              <a:srgbClr val="E26785"/>
            </a:solidFill>
          </c:spPr>
          <c:dPt>
            <c:idx val="0"/>
            <c:bubble3D val="0"/>
            <c:spPr>
              <a:solidFill>
                <a:srgbClr val="61C59F"/>
              </a:solidFill>
              <a:ln w="19050">
                <a:solidFill>
                  <a:schemeClr val="lt1"/>
                </a:solidFill>
              </a:ln>
              <a:effectLst/>
            </c:spPr>
            <c:extLst>
              <c:ext xmlns:c16="http://schemas.microsoft.com/office/drawing/2014/chart" uri="{C3380CC4-5D6E-409C-BE32-E72D297353CC}">
                <c16:uniqueId val="{00000001-1F11-4082-8E6A-BE18CD0B5516}"/>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1F11-4082-8E6A-BE18CD0B5516}"/>
              </c:ext>
            </c:extLst>
          </c:dPt>
          <c:val>
            <c:numRef>
              <c:f>Arbeitsbereich!$G$130:$G$131</c:f>
              <c:numCache>
                <c:formatCode>0%</c:formatCode>
                <c:ptCount val="2"/>
                <c:pt idx="0">
                  <c:v>0</c:v>
                </c:pt>
                <c:pt idx="1">
                  <c:v>0</c:v>
                </c:pt>
              </c:numCache>
            </c:numRef>
          </c:val>
          <c:extLst>
            <c:ext xmlns:c16="http://schemas.microsoft.com/office/drawing/2014/chart" uri="{C3380CC4-5D6E-409C-BE32-E72D297353CC}">
              <c16:uniqueId val="{00000004-1F11-4082-8E6A-BE18CD0B551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spPr>
            <a:solidFill>
              <a:srgbClr val="E26785"/>
            </a:solidFill>
          </c:spPr>
          <c:dPt>
            <c:idx val="0"/>
            <c:bubble3D val="0"/>
            <c:spPr>
              <a:solidFill>
                <a:srgbClr val="61C59F"/>
              </a:solidFill>
              <a:ln w="19050">
                <a:solidFill>
                  <a:schemeClr val="lt1"/>
                </a:solidFill>
              </a:ln>
              <a:effectLst/>
            </c:spPr>
            <c:extLst>
              <c:ext xmlns:c16="http://schemas.microsoft.com/office/drawing/2014/chart" uri="{C3380CC4-5D6E-409C-BE32-E72D297353CC}">
                <c16:uniqueId val="{00000001-02F3-469B-8613-8015182FE4D7}"/>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02F3-469B-8613-8015182FE4D7}"/>
              </c:ext>
            </c:extLst>
          </c:dPt>
          <c:val>
            <c:numRef>
              <c:f>Arbeitsbereich!$I$130:$I$131</c:f>
              <c:numCache>
                <c:formatCode>0%</c:formatCode>
                <c:ptCount val="2"/>
                <c:pt idx="0">
                  <c:v>0.5</c:v>
                </c:pt>
                <c:pt idx="1">
                  <c:v>0</c:v>
                </c:pt>
              </c:numCache>
            </c:numRef>
          </c:val>
          <c:extLst>
            <c:ext xmlns:c16="http://schemas.microsoft.com/office/drawing/2014/chart" uri="{C3380CC4-5D6E-409C-BE32-E72D297353CC}">
              <c16:uniqueId val="{00000004-02F3-469B-8613-8015182FE4D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8796-4732-8604-8DBE19C85712}"/>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8796-4732-8604-8DBE19C85712}"/>
              </c:ext>
            </c:extLst>
          </c:dPt>
          <c:val>
            <c:numRef>
              <c:f>Arbeitsbereich!$K$130:$K$131</c:f>
              <c:numCache>
                <c:formatCode>0%</c:formatCode>
                <c:ptCount val="2"/>
                <c:pt idx="0">
                  <c:v>0</c:v>
                </c:pt>
                <c:pt idx="1">
                  <c:v>0</c:v>
                </c:pt>
              </c:numCache>
            </c:numRef>
          </c:val>
          <c:extLst>
            <c:ext xmlns:c16="http://schemas.microsoft.com/office/drawing/2014/chart" uri="{C3380CC4-5D6E-409C-BE32-E72D297353CC}">
              <c16:uniqueId val="{00000004-8796-4732-8604-8DBE19C8571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spPr>
            <a:solidFill>
              <a:srgbClr val="E26785"/>
            </a:solidFill>
          </c:spPr>
          <c:dPt>
            <c:idx val="0"/>
            <c:bubble3D val="0"/>
            <c:spPr>
              <a:solidFill>
                <a:srgbClr val="E26785"/>
              </a:solidFill>
              <a:ln w="19050">
                <a:solidFill>
                  <a:schemeClr val="lt1"/>
                </a:solidFill>
              </a:ln>
              <a:effectLst/>
            </c:spPr>
            <c:extLst>
              <c:ext xmlns:c16="http://schemas.microsoft.com/office/drawing/2014/chart" uri="{C3380CC4-5D6E-409C-BE32-E72D297353CC}">
                <c16:uniqueId val="{00000001-A263-48F4-84F6-99BD4B667DE8}"/>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A263-48F4-84F6-99BD4B667DE8}"/>
              </c:ext>
            </c:extLst>
          </c:dPt>
          <c:val>
            <c:numRef>
              <c:f>Arbeitsbereich!$M$130:$M$131</c:f>
              <c:numCache>
                <c:formatCode>0%</c:formatCode>
                <c:ptCount val="2"/>
                <c:pt idx="0">
                  <c:v>0</c:v>
                </c:pt>
                <c:pt idx="1">
                  <c:v>0</c:v>
                </c:pt>
              </c:numCache>
            </c:numRef>
          </c:val>
          <c:extLst>
            <c:ext xmlns:c16="http://schemas.microsoft.com/office/drawing/2014/chart" uri="{C3380CC4-5D6E-409C-BE32-E72D297353CC}">
              <c16:uniqueId val="{00000004-A263-48F4-84F6-99BD4B667DE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7DDF-4F7B-9994-3DA93FD24E59}"/>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7DDF-4F7B-9994-3DA93FD24E59}"/>
              </c:ext>
            </c:extLst>
          </c:dPt>
          <c:val>
            <c:numRef>
              <c:f>Arbeitsbereich!$N$4:$N$5</c:f>
              <c:numCache>
                <c:formatCode>General</c:formatCode>
                <c:ptCount val="2"/>
                <c:pt idx="0">
                  <c:v>0</c:v>
                </c:pt>
                <c:pt idx="1">
                  <c:v>3</c:v>
                </c:pt>
              </c:numCache>
            </c:numRef>
          </c:val>
          <c:extLst>
            <c:ext xmlns:c16="http://schemas.microsoft.com/office/drawing/2014/chart" uri="{C3380CC4-5D6E-409C-BE32-E72D297353CC}">
              <c16:uniqueId val="{00000004-7DDF-4F7B-9994-3DA93FD24E5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4709-430D-A395-2211CD35E62B}"/>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4709-430D-A395-2211CD35E62B}"/>
              </c:ext>
            </c:extLst>
          </c:dPt>
          <c:val>
            <c:numRef>
              <c:f>Arbeitsbereich!$P$4:$P$5</c:f>
              <c:numCache>
                <c:formatCode>General</c:formatCode>
                <c:ptCount val="2"/>
                <c:pt idx="0">
                  <c:v>1</c:v>
                </c:pt>
                <c:pt idx="1">
                  <c:v>2</c:v>
                </c:pt>
              </c:numCache>
            </c:numRef>
          </c:val>
          <c:extLst>
            <c:ext xmlns:c16="http://schemas.microsoft.com/office/drawing/2014/chart" uri="{C3380CC4-5D6E-409C-BE32-E72D297353CC}">
              <c16:uniqueId val="{00000004-4709-430D-A395-2211CD35E62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FB5A-4E06-9A31-A18B02B63FFF}"/>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FB5A-4E06-9A31-A18B02B63FFF}"/>
              </c:ext>
            </c:extLst>
          </c:dPt>
          <c:val>
            <c:numRef>
              <c:f>Arbeitsbereich!$R$4:$R$5</c:f>
              <c:numCache>
                <c:formatCode>General</c:formatCode>
                <c:ptCount val="2"/>
                <c:pt idx="0">
                  <c:v>0</c:v>
                </c:pt>
                <c:pt idx="1">
                  <c:v>3</c:v>
                </c:pt>
              </c:numCache>
            </c:numRef>
          </c:val>
          <c:extLst>
            <c:ext xmlns:c16="http://schemas.microsoft.com/office/drawing/2014/chart" uri="{C3380CC4-5D6E-409C-BE32-E72D297353CC}">
              <c16:uniqueId val="{00000004-FB5A-4E06-9A31-A18B02B63FF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3379-4DCF-9548-2807C6C19940}"/>
              </c:ext>
            </c:extLst>
          </c:dPt>
          <c:dPt>
            <c:idx val="1"/>
            <c:bubble3D val="0"/>
            <c:spPr>
              <a:solidFill>
                <a:srgbClr val="E26785"/>
              </a:solidFill>
              <a:ln w="19050">
                <a:solidFill>
                  <a:schemeClr val="lt1"/>
                </a:solidFill>
              </a:ln>
              <a:effectLst/>
            </c:spPr>
            <c:extLst>
              <c:ext xmlns:c16="http://schemas.microsoft.com/office/drawing/2014/chart" uri="{C3380CC4-5D6E-409C-BE32-E72D297353CC}">
                <c16:uniqueId val="{00000003-3379-4DCF-9548-2807C6C19940}"/>
              </c:ext>
            </c:extLst>
          </c:dPt>
          <c:val>
            <c:numRef>
              <c:f>Arbeitsbereich!$T$4:$T$5</c:f>
              <c:numCache>
                <c:formatCode>General</c:formatCode>
                <c:ptCount val="2"/>
                <c:pt idx="0">
                  <c:v>2</c:v>
                </c:pt>
                <c:pt idx="1">
                  <c:v>4</c:v>
                </c:pt>
              </c:numCache>
            </c:numRef>
          </c:val>
          <c:extLst>
            <c:ext xmlns:c16="http://schemas.microsoft.com/office/drawing/2014/chart" uri="{C3380CC4-5D6E-409C-BE32-E72D297353CC}">
              <c16:uniqueId val="{00000004-3379-4DCF-9548-2807C6C1994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889594428907166"/>
          <c:y val="0.3446883692955417"/>
          <c:w val="0.23480110893182868"/>
          <c:h val="0.55028193368919631"/>
        </c:manualLayout>
      </c:layout>
      <c:doughnutChart>
        <c:varyColors val="1"/>
        <c:ser>
          <c:idx val="0"/>
          <c:order val="0"/>
          <c:dPt>
            <c:idx val="0"/>
            <c:bubble3D val="0"/>
            <c:spPr>
              <a:solidFill>
                <a:srgbClr val="61C59F"/>
              </a:solidFill>
              <a:ln w="19050">
                <a:solidFill>
                  <a:schemeClr val="lt1"/>
                </a:solidFill>
              </a:ln>
              <a:effectLst/>
            </c:spPr>
            <c:extLst>
              <c:ext xmlns:c16="http://schemas.microsoft.com/office/drawing/2014/chart" uri="{C3380CC4-5D6E-409C-BE32-E72D297353CC}">
                <c16:uniqueId val="{00000001-EE2F-4EA0-A204-3DAC8F8D02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2F-4EA0-A204-3DAC8F8D0270}"/>
              </c:ext>
            </c:extLst>
          </c:dPt>
          <c:val>
            <c:numRef>
              <c:f>Arbeitsbereich!$D$4:$D$5</c:f>
              <c:numCache>
                <c:formatCode>General</c:formatCode>
                <c:ptCount val="2"/>
                <c:pt idx="0">
                  <c:v>4</c:v>
                </c:pt>
                <c:pt idx="1">
                  <c:v>0</c:v>
                </c:pt>
              </c:numCache>
            </c:numRef>
          </c:val>
          <c:extLst>
            <c:ext xmlns:c16="http://schemas.microsoft.com/office/drawing/2014/chart" uri="{C3380CC4-5D6E-409C-BE32-E72D297353CC}">
              <c16:uniqueId val="{00000004-EE2F-4EA0-A204-3DAC8F8D027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7.png"/><Relationship Id="rId18" Type="http://schemas.openxmlformats.org/officeDocument/2006/relationships/image" Target="../media/image11.png"/><Relationship Id="rId26" Type="http://schemas.openxmlformats.org/officeDocument/2006/relationships/chart" Target="../charts/chart14.xml"/><Relationship Id="rId3" Type="http://schemas.openxmlformats.org/officeDocument/2006/relationships/chart" Target="../charts/chart5.xml"/><Relationship Id="rId21" Type="http://schemas.openxmlformats.org/officeDocument/2006/relationships/image" Target="../media/image14.svg"/><Relationship Id="rId7" Type="http://schemas.openxmlformats.org/officeDocument/2006/relationships/image" Target="../media/image4.svg"/><Relationship Id="rId12" Type="http://schemas.openxmlformats.org/officeDocument/2006/relationships/chart" Target="../charts/chart8.xml"/><Relationship Id="rId17" Type="http://schemas.openxmlformats.org/officeDocument/2006/relationships/chart" Target="../charts/chart9.xml"/><Relationship Id="rId25" Type="http://schemas.openxmlformats.org/officeDocument/2006/relationships/chart" Target="../charts/chart13.xml"/><Relationship Id="rId2" Type="http://schemas.openxmlformats.org/officeDocument/2006/relationships/chart" Target="../charts/chart4.xml"/><Relationship Id="rId16" Type="http://schemas.openxmlformats.org/officeDocument/2006/relationships/image" Target="../media/image10.svg"/><Relationship Id="rId20" Type="http://schemas.openxmlformats.org/officeDocument/2006/relationships/image" Target="../media/image13.png"/><Relationship Id="rId29" Type="http://schemas.openxmlformats.org/officeDocument/2006/relationships/image" Target="../media/image15.png"/><Relationship Id="rId1" Type="http://schemas.openxmlformats.org/officeDocument/2006/relationships/chart" Target="../charts/chart3.xml"/><Relationship Id="rId6" Type="http://schemas.openxmlformats.org/officeDocument/2006/relationships/image" Target="../media/image3.png"/><Relationship Id="rId11" Type="http://schemas.openxmlformats.org/officeDocument/2006/relationships/image" Target="../media/image6.svg"/><Relationship Id="rId24" Type="http://schemas.openxmlformats.org/officeDocument/2006/relationships/chart" Target="../charts/chart12.xml"/><Relationship Id="rId5" Type="http://schemas.openxmlformats.org/officeDocument/2006/relationships/image" Target="../media/image2.svg"/><Relationship Id="rId15" Type="http://schemas.openxmlformats.org/officeDocument/2006/relationships/image" Target="../media/image9.png"/><Relationship Id="rId23" Type="http://schemas.openxmlformats.org/officeDocument/2006/relationships/chart" Target="../charts/chart11.xml"/><Relationship Id="rId28" Type="http://schemas.openxmlformats.org/officeDocument/2006/relationships/chart" Target="../charts/chart16.xml"/><Relationship Id="rId10" Type="http://schemas.openxmlformats.org/officeDocument/2006/relationships/image" Target="../media/image5.png"/><Relationship Id="rId19" Type="http://schemas.openxmlformats.org/officeDocument/2006/relationships/image" Target="../media/image12.svg"/><Relationship Id="rId31" Type="http://schemas.openxmlformats.org/officeDocument/2006/relationships/chart" Target="../charts/chart17.xml"/><Relationship Id="rId4" Type="http://schemas.openxmlformats.org/officeDocument/2006/relationships/image" Target="../media/image1.png"/><Relationship Id="rId9" Type="http://schemas.openxmlformats.org/officeDocument/2006/relationships/chart" Target="../charts/chart7.xml"/><Relationship Id="rId14" Type="http://schemas.openxmlformats.org/officeDocument/2006/relationships/image" Target="../media/image8.svg"/><Relationship Id="rId22" Type="http://schemas.openxmlformats.org/officeDocument/2006/relationships/chart" Target="../charts/chart10.xml"/><Relationship Id="rId27" Type="http://schemas.openxmlformats.org/officeDocument/2006/relationships/chart" Target="../charts/chart15.xml"/><Relationship Id="rId30" Type="http://schemas.openxmlformats.org/officeDocument/2006/relationships/image" Target="../media/image16.svg"/></Relationships>
</file>

<file path=xl/drawings/_rels/drawing10.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image" Target="../media/image7.png"/><Relationship Id="rId18" Type="http://schemas.openxmlformats.org/officeDocument/2006/relationships/image" Target="../media/image11.png"/><Relationship Id="rId26" Type="http://schemas.openxmlformats.org/officeDocument/2006/relationships/chart" Target="../charts/chart29.xml"/><Relationship Id="rId3" Type="http://schemas.openxmlformats.org/officeDocument/2006/relationships/chart" Target="../charts/chart20.xml"/><Relationship Id="rId21" Type="http://schemas.openxmlformats.org/officeDocument/2006/relationships/image" Target="../media/image14.svg"/><Relationship Id="rId7" Type="http://schemas.openxmlformats.org/officeDocument/2006/relationships/image" Target="../media/image4.svg"/><Relationship Id="rId12" Type="http://schemas.openxmlformats.org/officeDocument/2006/relationships/chart" Target="../charts/chart23.xml"/><Relationship Id="rId17" Type="http://schemas.openxmlformats.org/officeDocument/2006/relationships/chart" Target="../charts/chart24.xml"/><Relationship Id="rId25" Type="http://schemas.openxmlformats.org/officeDocument/2006/relationships/chart" Target="../charts/chart28.xml"/><Relationship Id="rId2" Type="http://schemas.openxmlformats.org/officeDocument/2006/relationships/chart" Target="../charts/chart19.xml"/><Relationship Id="rId16" Type="http://schemas.openxmlformats.org/officeDocument/2006/relationships/image" Target="../media/image10.svg"/><Relationship Id="rId20" Type="http://schemas.openxmlformats.org/officeDocument/2006/relationships/image" Target="../media/image13.png"/><Relationship Id="rId29" Type="http://schemas.openxmlformats.org/officeDocument/2006/relationships/image" Target="../media/image16.svg"/><Relationship Id="rId1" Type="http://schemas.openxmlformats.org/officeDocument/2006/relationships/chart" Target="../charts/chart18.xml"/><Relationship Id="rId6" Type="http://schemas.openxmlformats.org/officeDocument/2006/relationships/image" Target="../media/image3.png"/><Relationship Id="rId11" Type="http://schemas.openxmlformats.org/officeDocument/2006/relationships/image" Target="../media/image6.svg"/><Relationship Id="rId24" Type="http://schemas.openxmlformats.org/officeDocument/2006/relationships/chart" Target="../charts/chart27.xml"/><Relationship Id="rId5" Type="http://schemas.openxmlformats.org/officeDocument/2006/relationships/image" Target="../media/image2.svg"/><Relationship Id="rId15" Type="http://schemas.openxmlformats.org/officeDocument/2006/relationships/image" Target="../media/image9.png"/><Relationship Id="rId23" Type="http://schemas.openxmlformats.org/officeDocument/2006/relationships/chart" Target="../charts/chart26.xml"/><Relationship Id="rId28" Type="http://schemas.openxmlformats.org/officeDocument/2006/relationships/image" Target="../media/image15.png"/><Relationship Id="rId10" Type="http://schemas.openxmlformats.org/officeDocument/2006/relationships/image" Target="../media/image5.png"/><Relationship Id="rId19" Type="http://schemas.openxmlformats.org/officeDocument/2006/relationships/image" Target="../media/image12.svg"/><Relationship Id="rId4" Type="http://schemas.openxmlformats.org/officeDocument/2006/relationships/image" Target="../media/image1.png"/><Relationship Id="rId9" Type="http://schemas.openxmlformats.org/officeDocument/2006/relationships/chart" Target="../charts/chart22.xml"/><Relationship Id="rId14" Type="http://schemas.openxmlformats.org/officeDocument/2006/relationships/image" Target="../media/image8.svg"/><Relationship Id="rId22" Type="http://schemas.openxmlformats.org/officeDocument/2006/relationships/chart" Target="../charts/chart25.xml"/><Relationship Id="rId27" Type="http://schemas.openxmlformats.org/officeDocument/2006/relationships/chart" Target="../charts/chart30.xml"/><Relationship Id="rId30" Type="http://schemas.openxmlformats.org/officeDocument/2006/relationships/chart" Target="../charts/chart31.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39.xml"/><Relationship Id="rId13" Type="http://schemas.openxmlformats.org/officeDocument/2006/relationships/chart" Target="../charts/chart44.xml"/><Relationship Id="rId3" Type="http://schemas.openxmlformats.org/officeDocument/2006/relationships/chart" Target="../charts/chart34.xml"/><Relationship Id="rId7" Type="http://schemas.openxmlformats.org/officeDocument/2006/relationships/chart" Target="../charts/chart38.xml"/><Relationship Id="rId12" Type="http://schemas.openxmlformats.org/officeDocument/2006/relationships/chart" Target="../charts/chart43.xml"/><Relationship Id="rId2" Type="http://schemas.openxmlformats.org/officeDocument/2006/relationships/chart" Target="../charts/chart33.xml"/><Relationship Id="rId16" Type="http://schemas.openxmlformats.org/officeDocument/2006/relationships/chart" Target="../charts/chart47.xml"/><Relationship Id="rId1" Type="http://schemas.openxmlformats.org/officeDocument/2006/relationships/chart" Target="../charts/chart32.xml"/><Relationship Id="rId6" Type="http://schemas.openxmlformats.org/officeDocument/2006/relationships/chart" Target="../charts/chart37.xml"/><Relationship Id="rId11" Type="http://schemas.openxmlformats.org/officeDocument/2006/relationships/chart" Target="../charts/chart42.xml"/><Relationship Id="rId5" Type="http://schemas.openxmlformats.org/officeDocument/2006/relationships/chart" Target="../charts/chart36.xml"/><Relationship Id="rId15" Type="http://schemas.openxmlformats.org/officeDocument/2006/relationships/chart" Target="../charts/chart46.xml"/><Relationship Id="rId10" Type="http://schemas.openxmlformats.org/officeDocument/2006/relationships/chart" Target="../charts/chart41.xml"/><Relationship Id="rId4" Type="http://schemas.openxmlformats.org/officeDocument/2006/relationships/chart" Target="../charts/chart35.xml"/><Relationship Id="rId9" Type="http://schemas.openxmlformats.org/officeDocument/2006/relationships/chart" Target="../charts/chart40.xml"/><Relationship Id="rId14" Type="http://schemas.openxmlformats.org/officeDocument/2006/relationships/chart" Target="../charts/chart45.xml"/></Relationships>
</file>

<file path=xl/drawings/_rels/drawing22.xml.rels><?xml version="1.0" encoding="UTF-8" standalone="yes"?>
<Relationships xmlns="http://schemas.openxmlformats.org/package/2006/relationships"><Relationship Id="rId8" Type="http://schemas.openxmlformats.org/officeDocument/2006/relationships/chart" Target="../charts/chart55.xml"/><Relationship Id="rId13" Type="http://schemas.openxmlformats.org/officeDocument/2006/relationships/chart" Target="../charts/chart60.xml"/><Relationship Id="rId18" Type="http://schemas.openxmlformats.org/officeDocument/2006/relationships/chart" Target="../charts/chart65.xml"/><Relationship Id="rId3" Type="http://schemas.openxmlformats.org/officeDocument/2006/relationships/chart" Target="../charts/chart50.xml"/><Relationship Id="rId7" Type="http://schemas.openxmlformats.org/officeDocument/2006/relationships/chart" Target="../charts/chart54.xml"/><Relationship Id="rId12" Type="http://schemas.openxmlformats.org/officeDocument/2006/relationships/chart" Target="../charts/chart59.xml"/><Relationship Id="rId17" Type="http://schemas.openxmlformats.org/officeDocument/2006/relationships/chart" Target="../charts/chart64.xml"/><Relationship Id="rId2" Type="http://schemas.openxmlformats.org/officeDocument/2006/relationships/chart" Target="../charts/chart49.xml"/><Relationship Id="rId16" Type="http://schemas.openxmlformats.org/officeDocument/2006/relationships/chart" Target="../charts/chart63.xml"/><Relationship Id="rId20" Type="http://schemas.openxmlformats.org/officeDocument/2006/relationships/chart" Target="../charts/chart67.xml"/><Relationship Id="rId1" Type="http://schemas.openxmlformats.org/officeDocument/2006/relationships/chart" Target="../charts/chart48.xml"/><Relationship Id="rId6" Type="http://schemas.openxmlformats.org/officeDocument/2006/relationships/chart" Target="../charts/chart53.xml"/><Relationship Id="rId11" Type="http://schemas.openxmlformats.org/officeDocument/2006/relationships/chart" Target="../charts/chart58.xml"/><Relationship Id="rId5" Type="http://schemas.openxmlformats.org/officeDocument/2006/relationships/chart" Target="../charts/chart52.xml"/><Relationship Id="rId15" Type="http://schemas.openxmlformats.org/officeDocument/2006/relationships/chart" Target="../charts/chart62.xml"/><Relationship Id="rId10" Type="http://schemas.openxmlformats.org/officeDocument/2006/relationships/chart" Target="../charts/chart57.xml"/><Relationship Id="rId19" Type="http://schemas.openxmlformats.org/officeDocument/2006/relationships/chart" Target="../charts/chart66.xml"/><Relationship Id="rId4" Type="http://schemas.openxmlformats.org/officeDocument/2006/relationships/chart" Target="../charts/chart51.xml"/><Relationship Id="rId9" Type="http://schemas.openxmlformats.org/officeDocument/2006/relationships/chart" Target="../charts/chart56.xml"/><Relationship Id="rId14" Type="http://schemas.openxmlformats.org/officeDocument/2006/relationships/chart" Target="../charts/chart61.xml"/></Relationships>
</file>

<file path=xl/drawings/drawing1.xml><?xml version="1.0" encoding="utf-8"?>
<xdr:wsDr xmlns:xdr="http://schemas.openxmlformats.org/drawingml/2006/spreadsheetDrawing" xmlns:a="http://schemas.openxmlformats.org/drawingml/2006/main">
  <xdr:twoCellAnchor>
    <xdr:from>
      <xdr:col>1</xdr:col>
      <xdr:colOff>168275</xdr:colOff>
      <xdr:row>29</xdr:row>
      <xdr:rowOff>66675</xdr:rowOff>
    </xdr:from>
    <xdr:to>
      <xdr:col>2</xdr:col>
      <xdr:colOff>974725</xdr:colOff>
      <xdr:row>33</xdr:row>
      <xdr:rowOff>82550</xdr:rowOff>
    </xdr:to>
    <xdr:sp macro="" textlink="">
      <xdr:nvSpPr>
        <xdr:cNvPr id="2" name="Textfeld 1">
          <a:extLst>
            <a:ext uri="{FF2B5EF4-FFF2-40B4-BE49-F238E27FC236}">
              <a16:creationId xmlns:a16="http://schemas.microsoft.com/office/drawing/2014/main" id="{21E6DEE3-E5A9-D6B3-5391-6A1B438FBEE7}"/>
            </a:ext>
          </a:extLst>
        </xdr:cNvPr>
        <xdr:cNvSpPr txBox="1"/>
      </xdr:nvSpPr>
      <xdr:spPr>
        <a:xfrm>
          <a:off x="892175" y="7686675"/>
          <a:ext cx="1123950" cy="574675"/>
        </a:xfrm>
        <a:prstGeom prst="rect">
          <a:avLst/>
        </a:prstGeom>
        <a:solidFill>
          <a:schemeClr val="bg2">
            <a:lumMod val="75000"/>
          </a:schemeClr>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AT" sz="1100" b="1">
              <a:solidFill>
                <a:schemeClr val="bg1"/>
              </a:solidFill>
              <a:latin typeface="Arial" panose="020B0604020202020204" pitchFamily="34" charset="0"/>
              <a:cs typeface="Arial" panose="020B0604020202020204" pitchFamily="34" charset="0"/>
            </a:rPr>
            <a:t>Anleitung</a:t>
          </a:r>
        </a:p>
      </xdr:txBody>
    </xdr:sp>
    <xdr:clientData/>
  </xdr:twoCellAnchor>
  <xdr:twoCellAnchor>
    <xdr:from>
      <xdr:col>2</xdr:col>
      <xdr:colOff>1473200</xdr:colOff>
      <xdr:row>29</xdr:row>
      <xdr:rowOff>73025</xdr:rowOff>
    </xdr:from>
    <xdr:to>
      <xdr:col>4</xdr:col>
      <xdr:colOff>155437</xdr:colOff>
      <xdr:row>33</xdr:row>
      <xdr:rowOff>80894</xdr:rowOff>
    </xdr:to>
    <xdr:sp macro="" textlink="">
      <xdr:nvSpPr>
        <xdr:cNvPr id="3" name="Textfeld 2">
          <a:extLst>
            <a:ext uri="{FF2B5EF4-FFF2-40B4-BE49-F238E27FC236}">
              <a16:creationId xmlns:a16="http://schemas.microsoft.com/office/drawing/2014/main" id="{F86262E1-74C2-45AD-9ABB-319164FD3487}"/>
            </a:ext>
          </a:extLst>
        </xdr:cNvPr>
        <xdr:cNvSpPr txBox="1"/>
      </xdr:nvSpPr>
      <xdr:spPr>
        <a:xfrm>
          <a:off x="2514600" y="7693025"/>
          <a:ext cx="1152387" cy="566669"/>
        </a:xfrm>
        <a:prstGeom prst="rect">
          <a:avLst/>
        </a:prstGeom>
        <a:solidFill>
          <a:schemeClr val="tx2">
            <a:lumMod val="75000"/>
            <a:lumOff val="25000"/>
          </a:schemeClr>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AT" sz="1100" b="1">
              <a:solidFill>
                <a:schemeClr val="bg1"/>
              </a:solidFill>
              <a:latin typeface="Arial" panose="020B0604020202020204" pitchFamily="34" charset="0"/>
              <a:cs typeface="Arial" panose="020B0604020202020204" pitchFamily="34" charset="0"/>
            </a:rPr>
            <a:t>Hilfstabellen</a:t>
          </a:r>
        </a:p>
      </xdr:txBody>
    </xdr:sp>
    <xdr:clientData/>
  </xdr:twoCellAnchor>
  <xdr:twoCellAnchor>
    <xdr:from>
      <xdr:col>4</xdr:col>
      <xdr:colOff>569152</xdr:colOff>
      <xdr:row>29</xdr:row>
      <xdr:rowOff>74821</xdr:rowOff>
    </xdr:from>
    <xdr:to>
      <xdr:col>5</xdr:col>
      <xdr:colOff>991565</xdr:colOff>
      <xdr:row>33</xdr:row>
      <xdr:rowOff>74821</xdr:rowOff>
    </xdr:to>
    <xdr:sp macro="" textlink="">
      <xdr:nvSpPr>
        <xdr:cNvPr id="4" name="Textfeld 3">
          <a:extLst>
            <a:ext uri="{FF2B5EF4-FFF2-40B4-BE49-F238E27FC236}">
              <a16:creationId xmlns:a16="http://schemas.microsoft.com/office/drawing/2014/main" id="{6A86CA22-ED4E-423B-9219-F2EECA04D3C6}"/>
            </a:ext>
          </a:extLst>
        </xdr:cNvPr>
        <xdr:cNvSpPr txBox="1"/>
      </xdr:nvSpPr>
      <xdr:spPr>
        <a:xfrm>
          <a:off x="4245802" y="4542046"/>
          <a:ext cx="1136788" cy="552450"/>
        </a:xfrm>
        <a:prstGeom prst="rect">
          <a:avLst/>
        </a:prstGeom>
        <a:solidFill>
          <a:srgbClr val="FFFF99"/>
        </a:solidFill>
        <a:ln w="9525"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AT" sz="1100" b="1">
              <a:solidFill>
                <a:sysClr val="windowText" lastClr="000000"/>
              </a:solidFill>
              <a:latin typeface="Arial" panose="020B0604020202020204" pitchFamily="34" charset="0"/>
              <a:cs typeface="Arial" panose="020B0604020202020204" pitchFamily="34" charset="0"/>
            </a:rPr>
            <a:t>Portfolio</a:t>
          </a:r>
          <a:r>
            <a:rPr lang="de-AT" sz="1100" b="1" baseline="0">
              <a:solidFill>
                <a:sysClr val="windowText" lastClr="000000"/>
              </a:solidFill>
              <a:latin typeface="Arial" panose="020B0604020202020204" pitchFamily="34" charset="0"/>
              <a:cs typeface="Arial" panose="020B0604020202020204" pitchFamily="34" charset="0"/>
            </a:rPr>
            <a:t> Daten</a:t>
          </a:r>
          <a:endParaRPr lang="de-AT"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29816</xdr:colOff>
      <xdr:row>22</xdr:row>
      <xdr:rowOff>98013</xdr:rowOff>
    </xdr:from>
    <xdr:to>
      <xdr:col>7</xdr:col>
      <xdr:colOff>501650</xdr:colOff>
      <xdr:row>25</xdr:row>
      <xdr:rowOff>117063</xdr:rowOff>
    </xdr:to>
    <xdr:sp macro="" textlink="">
      <xdr:nvSpPr>
        <xdr:cNvPr id="5" name="Textfeld 4">
          <a:extLst>
            <a:ext uri="{FF2B5EF4-FFF2-40B4-BE49-F238E27FC236}">
              <a16:creationId xmlns:a16="http://schemas.microsoft.com/office/drawing/2014/main" id="{922757BC-6A5D-43DD-AD2B-A7EE7C8041D0}"/>
            </a:ext>
          </a:extLst>
        </xdr:cNvPr>
        <xdr:cNvSpPr txBox="1"/>
      </xdr:nvSpPr>
      <xdr:spPr>
        <a:xfrm>
          <a:off x="5592416" y="3298413"/>
          <a:ext cx="1224309" cy="561975"/>
        </a:xfrm>
        <a:prstGeom prst="rect">
          <a:avLst/>
        </a:prstGeom>
        <a:solidFill>
          <a:srgbClr val="339966"/>
        </a:solidFill>
        <a:ln w="9525" cmpd="sng">
          <a:solidFill>
            <a:srgbClr val="00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AT" sz="1100" b="1">
              <a:solidFill>
                <a:sysClr val="windowText" lastClr="000000"/>
              </a:solidFill>
              <a:latin typeface="Arial" panose="020B0604020202020204" pitchFamily="34" charset="0"/>
              <a:cs typeface="Arial" panose="020B0604020202020204" pitchFamily="34" charset="0"/>
            </a:rPr>
            <a:t>Automatische Auswertungen</a:t>
          </a:r>
        </a:p>
      </xdr:txBody>
    </xdr:sp>
    <xdr:clientData/>
  </xdr:twoCellAnchor>
  <xdr:twoCellAnchor>
    <xdr:from>
      <xdr:col>9</xdr:col>
      <xdr:colOff>100216</xdr:colOff>
      <xdr:row>25</xdr:row>
      <xdr:rowOff>166892</xdr:rowOff>
    </xdr:from>
    <xdr:to>
      <xdr:col>10</xdr:col>
      <xdr:colOff>467412</xdr:colOff>
      <xdr:row>29</xdr:row>
      <xdr:rowOff>8141</xdr:rowOff>
    </xdr:to>
    <xdr:sp macro="" textlink="">
      <xdr:nvSpPr>
        <xdr:cNvPr id="9" name="Textfeld 8">
          <a:extLst>
            <a:ext uri="{FF2B5EF4-FFF2-40B4-BE49-F238E27FC236}">
              <a16:creationId xmlns:a16="http://schemas.microsoft.com/office/drawing/2014/main" id="{600041B5-C224-4F7F-8937-116B09F9A04E}"/>
            </a:ext>
          </a:extLst>
        </xdr:cNvPr>
        <xdr:cNvSpPr txBox="1"/>
      </xdr:nvSpPr>
      <xdr:spPr>
        <a:xfrm>
          <a:off x="7923742" y="7265866"/>
          <a:ext cx="1124311" cy="557660"/>
        </a:xfrm>
        <a:prstGeom prst="rect">
          <a:avLst/>
        </a:prstGeom>
        <a:solidFill>
          <a:srgbClr val="339966"/>
        </a:solidFill>
        <a:ln w="9525" cmpd="sng">
          <a:solidFill>
            <a:srgbClr val="00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AT" sz="1100" b="1">
              <a:solidFill>
                <a:sysClr val="windowText" lastClr="000000"/>
              </a:solidFill>
              <a:latin typeface="Arial" panose="020B0604020202020204" pitchFamily="34" charset="0"/>
              <a:cs typeface="Arial" panose="020B0604020202020204" pitchFamily="34" charset="0"/>
            </a:rPr>
            <a:t>GANTT/ Zeitleiste</a:t>
          </a:r>
        </a:p>
      </xdr:txBody>
    </xdr:sp>
    <xdr:clientData/>
  </xdr:twoCellAnchor>
  <xdr:twoCellAnchor>
    <xdr:from>
      <xdr:col>2</xdr:col>
      <xdr:colOff>974725</xdr:colOff>
      <xdr:row>31</xdr:row>
      <xdr:rowOff>76960</xdr:rowOff>
    </xdr:from>
    <xdr:to>
      <xdr:col>2</xdr:col>
      <xdr:colOff>1476375</xdr:colOff>
      <xdr:row>31</xdr:row>
      <xdr:rowOff>77788</xdr:rowOff>
    </xdr:to>
    <xdr:cxnSp macro="">
      <xdr:nvCxnSpPr>
        <xdr:cNvPr id="11" name="Gerade Verbindung mit Pfeil 10">
          <a:extLst>
            <a:ext uri="{FF2B5EF4-FFF2-40B4-BE49-F238E27FC236}">
              <a16:creationId xmlns:a16="http://schemas.microsoft.com/office/drawing/2014/main" id="{F47AA3A3-FBEA-0E71-FB85-70E8296A9A3A}"/>
            </a:ext>
          </a:extLst>
        </xdr:cNvPr>
        <xdr:cNvCxnSpPr>
          <a:stCxn id="2" idx="3"/>
          <a:endCxn id="3" idx="1"/>
        </xdr:cNvCxnSpPr>
      </xdr:nvCxnSpPr>
      <xdr:spPr>
        <a:xfrm flipV="1">
          <a:off x="2016125" y="7976360"/>
          <a:ext cx="501650" cy="828"/>
        </a:xfrm>
        <a:prstGeom prst="straightConnector1">
          <a:avLst/>
        </a:prstGeom>
        <a:ln>
          <a:solidFill>
            <a:srgbClr val="AF2144"/>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155437</xdr:colOff>
      <xdr:row>31</xdr:row>
      <xdr:rowOff>74821</xdr:rowOff>
    </xdr:from>
    <xdr:to>
      <xdr:col>4</xdr:col>
      <xdr:colOff>569152</xdr:colOff>
      <xdr:row>31</xdr:row>
      <xdr:rowOff>76960</xdr:rowOff>
    </xdr:to>
    <xdr:cxnSp macro="">
      <xdr:nvCxnSpPr>
        <xdr:cNvPr id="12" name="Gerade Verbindung mit Pfeil 11">
          <a:extLst>
            <a:ext uri="{FF2B5EF4-FFF2-40B4-BE49-F238E27FC236}">
              <a16:creationId xmlns:a16="http://schemas.microsoft.com/office/drawing/2014/main" id="{95BA1156-1301-49FF-A4EF-ABE8CD155CB1}"/>
            </a:ext>
          </a:extLst>
        </xdr:cNvPr>
        <xdr:cNvCxnSpPr>
          <a:stCxn id="3" idx="3"/>
          <a:endCxn id="4" idx="1"/>
        </xdr:cNvCxnSpPr>
      </xdr:nvCxnSpPr>
      <xdr:spPr>
        <a:xfrm flipV="1">
          <a:off x="3666987" y="7974221"/>
          <a:ext cx="413715" cy="2139"/>
        </a:xfrm>
        <a:prstGeom prst="straightConnector1">
          <a:avLst/>
        </a:prstGeom>
        <a:ln>
          <a:solidFill>
            <a:srgbClr val="AF2144"/>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699884</xdr:colOff>
      <xdr:row>38</xdr:row>
      <xdr:rowOff>176253</xdr:rowOff>
    </xdr:from>
    <xdr:to>
      <xdr:col>10</xdr:col>
      <xdr:colOff>460293</xdr:colOff>
      <xdr:row>41</xdr:row>
      <xdr:rowOff>167380</xdr:rowOff>
    </xdr:to>
    <xdr:sp macro="" textlink="">
      <xdr:nvSpPr>
        <xdr:cNvPr id="6" name="Textfeld 5">
          <a:extLst>
            <a:ext uri="{FF2B5EF4-FFF2-40B4-BE49-F238E27FC236}">
              <a16:creationId xmlns:a16="http://schemas.microsoft.com/office/drawing/2014/main" id="{80C5E9FB-B0AC-4D6C-BAC3-BD106871B921}"/>
            </a:ext>
          </a:extLst>
        </xdr:cNvPr>
        <xdr:cNvSpPr txBox="1"/>
      </xdr:nvSpPr>
      <xdr:spPr>
        <a:xfrm>
          <a:off x="7766294" y="9269779"/>
          <a:ext cx="1274640" cy="528434"/>
        </a:xfrm>
        <a:prstGeom prst="rect">
          <a:avLst/>
        </a:prstGeom>
        <a:solidFill>
          <a:srgbClr val="831933"/>
        </a:solidFill>
        <a:ln w="9525" cmpd="sng">
          <a:solidFill>
            <a:srgbClr val="57102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de-AT" sz="1100" b="1">
              <a:solidFill>
                <a:schemeClr val="bg1"/>
              </a:solidFill>
              <a:latin typeface="Arial" panose="020B0604020202020204" pitchFamily="34" charset="0"/>
              <a:ea typeface="+mn-ea"/>
              <a:cs typeface="Arial" panose="020B0604020202020204" pitchFamily="34" charset="0"/>
            </a:rPr>
            <a:t>Zielwerte</a:t>
          </a:r>
        </a:p>
      </xdr:txBody>
    </xdr:sp>
    <xdr:clientData/>
  </xdr:twoCellAnchor>
  <xdr:twoCellAnchor>
    <xdr:from>
      <xdr:col>6</xdr:col>
      <xdr:colOff>165099</xdr:colOff>
      <xdr:row>38</xdr:row>
      <xdr:rowOff>152400</xdr:rowOff>
    </xdr:from>
    <xdr:to>
      <xdr:col>7</xdr:col>
      <xdr:colOff>631824</xdr:colOff>
      <xdr:row>41</xdr:row>
      <xdr:rowOff>177800</xdr:rowOff>
    </xdr:to>
    <xdr:sp macro="" textlink="">
      <xdr:nvSpPr>
        <xdr:cNvPr id="7" name="Textfeld 6">
          <a:extLst>
            <a:ext uri="{FF2B5EF4-FFF2-40B4-BE49-F238E27FC236}">
              <a16:creationId xmlns:a16="http://schemas.microsoft.com/office/drawing/2014/main" id="{E8F4A3E1-7CB8-4912-AB65-1DDA417FCC6A}"/>
            </a:ext>
          </a:extLst>
        </xdr:cNvPr>
        <xdr:cNvSpPr txBox="1"/>
      </xdr:nvSpPr>
      <xdr:spPr>
        <a:xfrm>
          <a:off x="5727699" y="5895975"/>
          <a:ext cx="1219200" cy="568325"/>
        </a:xfrm>
        <a:prstGeom prst="rect">
          <a:avLst/>
        </a:prstGeom>
        <a:solidFill>
          <a:srgbClr val="831933"/>
        </a:solidFill>
        <a:ln w="9525" cmpd="sng">
          <a:solidFill>
            <a:srgbClr val="57102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AT" sz="1100" b="1">
              <a:solidFill>
                <a:schemeClr val="bg1"/>
              </a:solidFill>
              <a:latin typeface="Arial" panose="020B0604020202020204" pitchFamily="34" charset="0"/>
              <a:cs typeface="Arial" panose="020B0604020202020204" pitchFamily="34" charset="0"/>
            </a:rPr>
            <a:t>Manuelle Auswertungen</a:t>
          </a:r>
        </a:p>
      </xdr:txBody>
    </xdr:sp>
    <xdr:clientData/>
  </xdr:twoCellAnchor>
  <xdr:twoCellAnchor>
    <xdr:from>
      <xdr:col>5</xdr:col>
      <xdr:colOff>423172</xdr:colOff>
      <xdr:row>33</xdr:row>
      <xdr:rowOff>74820</xdr:rowOff>
    </xdr:from>
    <xdr:to>
      <xdr:col>6</xdr:col>
      <xdr:colOff>161925</xdr:colOff>
      <xdr:row>40</xdr:row>
      <xdr:rowOff>76199</xdr:rowOff>
    </xdr:to>
    <xdr:cxnSp macro="">
      <xdr:nvCxnSpPr>
        <xdr:cNvPr id="10" name="Verbinder: gewinkelt 9">
          <a:extLst>
            <a:ext uri="{FF2B5EF4-FFF2-40B4-BE49-F238E27FC236}">
              <a16:creationId xmlns:a16="http://schemas.microsoft.com/office/drawing/2014/main" id="{82A33F9A-7B5A-B61C-E52C-36FF26B58D38}"/>
            </a:ext>
          </a:extLst>
        </xdr:cNvPr>
        <xdr:cNvCxnSpPr>
          <a:stCxn id="4" idx="2"/>
          <a:endCxn id="7" idx="1"/>
        </xdr:cNvCxnSpPr>
      </xdr:nvCxnSpPr>
      <xdr:spPr>
        <a:xfrm rot="16200000" flipH="1">
          <a:off x="4725746" y="5182946"/>
          <a:ext cx="1087229" cy="910328"/>
        </a:xfrm>
        <a:prstGeom prst="bentConnector2">
          <a:avLst/>
        </a:prstGeom>
        <a:ln>
          <a:solidFill>
            <a:srgbClr val="AF2144"/>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423171</xdr:colOff>
      <xdr:row>24</xdr:row>
      <xdr:rowOff>17052</xdr:rowOff>
    </xdr:from>
    <xdr:to>
      <xdr:col>6</xdr:col>
      <xdr:colOff>26641</xdr:colOff>
      <xdr:row>29</xdr:row>
      <xdr:rowOff>74822</xdr:rowOff>
    </xdr:to>
    <xdr:cxnSp macro="">
      <xdr:nvCxnSpPr>
        <xdr:cNvPr id="18" name="Verbinder: gewinkelt 17">
          <a:extLst>
            <a:ext uri="{FF2B5EF4-FFF2-40B4-BE49-F238E27FC236}">
              <a16:creationId xmlns:a16="http://schemas.microsoft.com/office/drawing/2014/main" id="{8C5719E6-0D74-4B09-BE55-6838F318B22F}"/>
            </a:ext>
          </a:extLst>
        </xdr:cNvPr>
        <xdr:cNvCxnSpPr>
          <a:stCxn id="4" idx="0"/>
          <a:endCxn id="5" idx="1"/>
        </xdr:cNvCxnSpPr>
      </xdr:nvCxnSpPr>
      <xdr:spPr>
        <a:xfrm rot="5400000" flipH="1" flipV="1">
          <a:off x="4720396" y="3673202"/>
          <a:ext cx="962645" cy="775045"/>
        </a:xfrm>
        <a:prstGeom prst="bentConnector2">
          <a:avLst/>
        </a:prstGeom>
        <a:ln>
          <a:solidFill>
            <a:srgbClr val="AF2144"/>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93459</xdr:colOff>
      <xdr:row>19</xdr:row>
      <xdr:rowOff>171124</xdr:rowOff>
    </xdr:from>
    <xdr:to>
      <xdr:col>10</xdr:col>
      <xdr:colOff>451130</xdr:colOff>
      <xdr:row>23</xdr:row>
      <xdr:rowOff>1547</xdr:rowOff>
    </xdr:to>
    <xdr:sp macro="" textlink="">
      <xdr:nvSpPr>
        <xdr:cNvPr id="22" name="Textfeld 21">
          <a:extLst>
            <a:ext uri="{FF2B5EF4-FFF2-40B4-BE49-F238E27FC236}">
              <a16:creationId xmlns:a16="http://schemas.microsoft.com/office/drawing/2014/main" id="{4642F7B9-425C-42C7-A1BA-19DB5D4FFF68}"/>
            </a:ext>
          </a:extLst>
        </xdr:cNvPr>
        <xdr:cNvSpPr txBox="1"/>
      </xdr:nvSpPr>
      <xdr:spPr>
        <a:xfrm>
          <a:off x="7916985" y="6195483"/>
          <a:ext cx="1114786" cy="546833"/>
        </a:xfrm>
        <a:prstGeom prst="rect">
          <a:avLst/>
        </a:prstGeom>
        <a:solidFill>
          <a:srgbClr val="339966"/>
        </a:solidFill>
        <a:ln w="9525" cmpd="sng">
          <a:solidFill>
            <a:srgbClr val="00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AT" sz="1100" b="1">
              <a:solidFill>
                <a:sysClr val="windowText" lastClr="000000"/>
              </a:solidFill>
              <a:latin typeface="Arial" panose="020B0604020202020204" pitchFamily="34" charset="0"/>
              <a:cs typeface="Arial" panose="020B0604020202020204" pitchFamily="34" charset="0"/>
            </a:rPr>
            <a:t>Dashboards</a:t>
          </a:r>
        </a:p>
      </xdr:txBody>
    </xdr:sp>
    <xdr:clientData/>
  </xdr:twoCellAnchor>
  <xdr:twoCellAnchor>
    <xdr:from>
      <xdr:col>7</xdr:col>
      <xdr:colOff>501650</xdr:colOff>
      <xdr:row>21</xdr:row>
      <xdr:rowOff>86336</xdr:rowOff>
    </xdr:from>
    <xdr:to>
      <xdr:col>9</xdr:col>
      <xdr:colOff>93459</xdr:colOff>
      <xdr:row>24</xdr:row>
      <xdr:rowOff>17987</xdr:rowOff>
    </xdr:to>
    <xdr:cxnSp macro="">
      <xdr:nvCxnSpPr>
        <xdr:cNvPr id="29" name="Gerade Verbindung mit Pfeil 28">
          <a:extLst>
            <a:ext uri="{FF2B5EF4-FFF2-40B4-BE49-F238E27FC236}">
              <a16:creationId xmlns:a16="http://schemas.microsoft.com/office/drawing/2014/main" id="{BC9ED0FC-5CCD-4DBC-B695-B1789A58D1C2}"/>
            </a:ext>
          </a:extLst>
        </xdr:cNvPr>
        <xdr:cNvCxnSpPr>
          <a:stCxn id="5" idx="3"/>
          <a:endCxn id="22" idx="1"/>
        </xdr:cNvCxnSpPr>
      </xdr:nvCxnSpPr>
      <xdr:spPr>
        <a:xfrm flipV="1">
          <a:off x="6810945" y="6468900"/>
          <a:ext cx="1106040" cy="468959"/>
        </a:xfrm>
        <a:prstGeom prst="straightConnector1">
          <a:avLst/>
        </a:prstGeom>
        <a:ln>
          <a:solidFill>
            <a:srgbClr val="AF2144"/>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501650</xdr:colOff>
      <xdr:row>24</xdr:row>
      <xdr:rowOff>17987</xdr:rowOff>
    </xdr:from>
    <xdr:to>
      <xdr:col>9</xdr:col>
      <xdr:colOff>100216</xdr:colOff>
      <xdr:row>27</xdr:row>
      <xdr:rowOff>87517</xdr:rowOff>
    </xdr:to>
    <xdr:cxnSp macro="">
      <xdr:nvCxnSpPr>
        <xdr:cNvPr id="32" name="Gerade Verbindung mit Pfeil 31">
          <a:extLst>
            <a:ext uri="{FF2B5EF4-FFF2-40B4-BE49-F238E27FC236}">
              <a16:creationId xmlns:a16="http://schemas.microsoft.com/office/drawing/2014/main" id="{99807791-43C9-4DA7-BEB2-FEA974A13625}"/>
            </a:ext>
          </a:extLst>
        </xdr:cNvPr>
        <xdr:cNvCxnSpPr>
          <a:stCxn id="5" idx="3"/>
          <a:endCxn id="9" idx="1"/>
        </xdr:cNvCxnSpPr>
      </xdr:nvCxnSpPr>
      <xdr:spPr>
        <a:xfrm>
          <a:off x="6810945" y="6937859"/>
          <a:ext cx="1112797" cy="606837"/>
        </a:xfrm>
        <a:prstGeom prst="straightConnector1">
          <a:avLst/>
        </a:prstGeom>
        <a:ln>
          <a:solidFill>
            <a:srgbClr val="AF2144"/>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631824</xdr:colOff>
      <xdr:row>40</xdr:row>
      <xdr:rowOff>75549</xdr:rowOff>
    </xdr:from>
    <xdr:to>
      <xdr:col>8</xdr:col>
      <xdr:colOff>699884</xdr:colOff>
      <xdr:row>40</xdr:row>
      <xdr:rowOff>82265</xdr:rowOff>
    </xdr:to>
    <xdr:cxnSp macro="">
      <xdr:nvCxnSpPr>
        <xdr:cNvPr id="46" name="Gerade Verbindung mit Pfeil 45">
          <a:extLst>
            <a:ext uri="{FF2B5EF4-FFF2-40B4-BE49-F238E27FC236}">
              <a16:creationId xmlns:a16="http://schemas.microsoft.com/office/drawing/2014/main" id="{641EB9AD-C850-4068-A8E0-348DC1E6F86D}"/>
            </a:ext>
          </a:extLst>
        </xdr:cNvPr>
        <xdr:cNvCxnSpPr>
          <a:stCxn id="7" idx="3"/>
          <a:endCxn id="6" idx="1"/>
        </xdr:cNvCxnSpPr>
      </xdr:nvCxnSpPr>
      <xdr:spPr>
        <a:xfrm>
          <a:off x="6941119" y="9527280"/>
          <a:ext cx="825175" cy="6716"/>
        </a:xfrm>
        <a:prstGeom prst="straightConnector1">
          <a:avLst/>
        </a:prstGeom>
        <a:ln>
          <a:solidFill>
            <a:srgbClr val="AF2144"/>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107937</xdr:colOff>
      <xdr:row>1</xdr:row>
      <xdr:rowOff>386768</xdr:rowOff>
    </xdr:from>
    <xdr:to>
      <xdr:col>27</xdr:col>
      <xdr:colOff>266301</xdr:colOff>
      <xdr:row>10</xdr:row>
      <xdr:rowOff>158793</xdr:rowOff>
    </xdr:to>
    <xdr:sp macro="" textlink="">
      <xdr:nvSpPr>
        <xdr:cNvPr id="14" name="Textfeld 13">
          <a:extLst>
            <a:ext uri="{FF2B5EF4-FFF2-40B4-BE49-F238E27FC236}">
              <a16:creationId xmlns:a16="http://schemas.microsoft.com/office/drawing/2014/main" id="{33511D25-6549-4B74-6D7E-BB8B8CDB7808}"/>
            </a:ext>
          </a:extLst>
        </xdr:cNvPr>
        <xdr:cNvSpPr txBox="1"/>
      </xdr:nvSpPr>
      <xdr:spPr>
        <a:xfrm>
          <a:off x="14852637" y="462968"/>
          <a:ext cx="5949564" cy="2210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100" b="1"/>
            <a:t>ToDos/Offene</a:t>
          </a:r>
          <a:r>
            <a:rPr lang="de-AT" sz="1100" b="1" baseline="0"/>
            <a:t> Fragestellungen/Nächste Schritte:</a:t>
          </a:r>
        </a:p>
        <a:p>
          <a:endParaRPr lang="de-AT" sz="1100" baseline="0"/>
        </a:p>
        <a:p>
          <a:r>
            <a:rPr lang="de-AT" sz="1100" baseline="0"/>
            <a:t>- Einarbeiten von Feedback, u.a. Ergänzung der Darstellungen um "Keine Angabe"</a:t>
          </a:r>
        </a:p>
        <a:p>
          <a:r>
            <a:rPr lang="de-AT" sz="1100" baseline="0"/>
            <a:t>- Projektinhalte auf Tabellenblatt Portfolio_Daten eingeben</a:t>
          </a:r>
        </a:p>
        <a:p>
          <a:r>
            <a:rPr lang="de-AT" sz="1100" baseline="0"/>
            <a:t>- Entscheidung welche Darstellungen sind möglich/notwendig (oder gewünscht) (bzw. Vorschlag was VR/Rektorat vorgelegt wird als Entwurf)</a:t>
          </a:r>
        </a:p>
        <a:p>
          <a:r>
            <a:rPr lang="de-AT" sz="1100" baseline="0"/>
            <a:t>- Abgleich erforderliche Daten/Datenqualität  mit Projektauftrag und PSB</a:t>
          </a:r>
        </a:p>
        <a:p>
          <a:r>
            <a:rPr lang="de-AT" sz="1100" baseline="0"/>
            <a:t>- Erstellung Beispielbericht/Präsentation/Darstellungen für PortfolioBoard/ReSi</a:t>
          </a:r>
        </a:p>
        <a:p>
          <a:pPr marL="0" marR="0" lvl="0" indent="0" defTabSz="914400" eaLnBrk="1" fontAlgn="auto" latinLnBrk="0" hangingPunct="1">
            <a:lnSpc>
              <a:spcPct val="100000"/>
            </a:lnSpc>
            <a:spcBef>
              <a:spcPts val="0"/>
            </a:spcBef>
            <a:spcAft>
              <a:spcPts val="0"/>
            </a:spcAft>
            <a:buClrTx/>
            <a:buSzTx/>
            <a:buFontTx/>
            <a:buNone/>
            <a:tabLst/>
            <a:defRPr/>
          </a:pPr>
          <a:r>
            <a:rPr lang="de-AT" sz="1100" baseline="0">
              <a:solidFill>
                <a:schemeClr val="dk1"/>
              </a:solidFill>
              <a:effectLst/>
              <a:latin typeface="+mn-lt"/>
              <a:ea typeface="+mn-ea"/>
              <a:cs typeface="+mn-cs"/>
            </a:rPr>
            <a:t>- Finalisierung der Darstellungen in weiteren Ausbaustufen</a:t>
          </a:r>
          <a:endParaRPr lang="de-AT">
            <a:effectLst/>
          </a:endParaRPr>
        </a:p>
        <a:p>
          <a:endParaRPr lang="de-AT"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139244</xdr:colOff>
      <xdr:row>39</xdr:row>
      <xdr:rowOff>139248</xdr:rowOff>
    </xdr:from>
    <xdr:to>
      <xdr:col>16</xdr:col>
      <xdr:colOff>507761</xdr:colOff>
      <xdr:row>61</xdr:row>
      <xdr:rowOff>64826</xdr:rowOff>
    </xdr:to>
    <xdr:graphicFrame macro="">
      <xdr:nvGraphicFramePr>
        <xdr:cNvPr id="2" name="Diagramm 1">
          <a:extLst>
            <a:ext uri="{FF2B5EF4-FFF2-40B4-BE49-F238E27FC236}">
              <a16:creationId xmlns:a16="http://schemas.microsoft.com/office/drawing/2014/main" id="{0B064F40-8559-418D-BBA6-5781E3731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748392</xdr:colOff>
      <xdr:row>185</xdr:row>
      <xdr:rowOff>130174</xdr:rowOff>
    </xdr:from>
    <xdr:to>
      <xdr:col>16</xdr:col>
      <xdr:colOff>408213</xdr:colOff>
      <xdr:row>201</xdr:row>
      <xdr:rowOff>69849</xdr:rowOff>
    </xdr:to>
    <xdr:graphicFrame macro="">
      <xdr:nvGraphicFramePr>
        <xdr:cNvPr id="6" name="Diagramm 5">
          <a:extLst>
            <a:ext uri="{FF2B5EF4-FFF2-40B4-BE49-F238E27FC236}">
              <a16:creationId xmlns:a16="http://schemas.microsoft.com/office/drawing/2014/main" id="{FBD84CB6-274F-9C88-A97E-74E91F1AE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578728</xdr:colOff>
      <xdr:row>1</xdr:row>
      <xdr:rowOff>55196</xdr:rowOff>
    </xdr:from>
    <xdr:to>
      <xdr:col>14</xdr:col>
      <xdr:colOff>458846</xdr:colOff>
      <xdr:row>10</xdr:row>
      <xdr:rowOff>175846</xdr:rowOff>
    </xdr:to>
    <xdr:graphicFrame macro="">
      <xdr:nvGraphicFramePr>
        <xdr:cNvPr id="2" name="Diagramm 1">
          <a:extLst>
            <a:ext uri="{FF2B5EF4-FFF2-40B4-BE49-F238E27FC236}">
              <a16:creationId xmlns:a16="http://schemas.microsoft.com/office/drawing/2014/main" id="{DE2E3FF2-9A86-49C5-9AD5-84663507F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753027</xdr:colOff>
      <xdr:row>3</xdr:row>
      <xdr:rowOff>27213</xdr:rowOff>
    </xdr:from>
    <xdr:to>
      <xdr:col>10</xdr:col>
      <xdr:colOff>57201</xdr:colOff>
      <xdr:row>10</xdr:row>
      <xdr:rowOff>87313</xdr:rowOff>
    </xdr:to>
    <xdr:graphicFrame macro="">
      <xdr:nvGraphicFramePr>
        <xdr:cNvPr id="3" name="Diagramm 2">
          <a:extLst>
            <a:ext uri="{FF2B5EF4-FFF2-40B4-BE49-F238E27FC236}">
              <a16:creationId xmlns:a16="http://schemas.microsoft.com/office/drawing/2014/main" id="{5DFFD64D-DB99-4BFA-9902-2C9F2FB30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370790</xdr:colOff>
      <xdr:row>3</xdr:row>
      <xdr:rowOff>14509</xdr:rowOff>
    </xdr:from>
    <xdr:to>
      <xdr:col>22</xdr:col>
      <xdr:colOff>153464</xdr:colOff>
      <xdr:row>10</xdr:row>
      <xdr:rowOff>74609</xdr:rowOff>
    </xdr:to>
    <xdr:graphicFrame macro="">
      <xdr:nvGraphicFramePr>
        <xdr:cNvPr id="4" name="Diagramm 3">
          <a:extLst>
            <a:ext uri="{FF2B5EF4-FFF2-40B4-BE49-F238E27FC236}">
              <a16:creationId xmlns:a16="http://schemas.microsoft.com/office/drawing/2014/main" id="{4898C4D3-855E-4131-B433-2404CB8FB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325521</xdr:colOff>
      <xdr:row>1</xdr:row>
      <xdr:rowOff>53407</xdr:rowOff>
    </xdr:from>
    <xdr:to>
      <xdr:col>18</xdr:col>
      <xdr:colOff>115971</xdr:colOff>
      <xdr:row>4</xdr:row>
      <xdr:rowOff>36600</xdr:rowOff>
    </xdr:to>
    <xdr:pic>
      <xdr:nvPicPr>
        <xdr:cNvPr id="5" name="Grafik 4" descr="Münzen Silhouette">
          <a:extLst>
            <a:ext uri="{FF2B5EF4-FFF2-40B4-BE49-F238E27FC236}">
              <a16:creationId xmlns:a16="http://schemas.microsoft.com/office/drawing/2014/main" id="{581BF38B-F00C-40DB-8387-E89A1CC7B3D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638171" y="485207"/>
          <a:ext cx="552450" cy="535643"/>
        </a:xfrm>
        <a:prstGeom prst="rect">
          <a:avLst/>
        </a:prstGeom>
      </xdr:spPr>
    </xdr:pic>
    <xdr:clientData/>
  </xdr:twoCellAnchor>
  <xdr:twoCellAnchor editAs="oneCell">
    <xdr:from>
      <xdr:col>1</xdr:col>
      <xdr:colOff>25400</xdr:colOff>
      <xdr:row>1</xdr:row>
      <xdr:rowOff>44450</xdr:rowOff>
    </xdr:from>
    <xdr:to>
      <xdr:col>1</xdr:col>
      <xdr:colOff>457200</xdr:colOff>
      <xdr:row>3</xdr:row>
      <xdr:rowOff>111125</xdr:rowOff>
    </xdr:to>
    <xdr:pic>
      <xdr:nvPicPr>
        <xdr:cNvPr id="6" name="Grafik 5" descr="Richtung mit einfarbiger Füllung">
          <a:extLst>
            <a:ext uri="{FF2B5EF4-FFF2-40B4-BE49-F238E27FC236}">
              <a16:creationId xmlns:a16="http://schemas.microsoft.com/office/drawing/2014/main" id="{80F3AE58-B628-4A54-AF98-2B9B85BBC35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6050" y="476250"/>
          <a:ext cx="431800" cy="434975"/>
        </a:xfrm>
        <a:prstGeom prst="rect">
          <a:avLst/>
        </a:prstGeom>
      </xdr:spPr>
    </xdr:pic>
    <xdr:clientData/>
  </xdr:twoCellAnchor>
  <xdr:twoCellAnchor>
    <xdr:from>
      <xdr:col>6</xdr:col>
      <xdr:colOff>326194</xdr:colOff>
      <xdr:row>1</xdr:row>
      <xdr:rowOff>34925</xdr:rowOff>
    </xdr:from>
    <xdr:to>
      <xdr:col>14</xdr:col>
      <xdr:colOff>416153</xdr:colOff>
      <xdr:row>11</xdr:row>
      <xdr:rowOff>21167</xdr:rowOff>
    </xdr:to>
    <xdr:sp macro="" textlink="">
      <xdr:nvSpPr>
        <xdr:cNvPr id="8" name="Rechteck 7">
          <a:extLst>
            <a:ext uri="{FF2B5EF4-FFF2-40B4-BE49-F238E27FC236}">
              <a16:creationId xmlns:a16="http://schemas.microsoft.com/office/drawing/2014/main" id="{D01554E5-3C77-4D36-BEC3-DD86C605BD7D}"/>
            </a:ext>
          </a:extLst>
        </xdr:cNvPr>
        <xdr:cNvSpPr/>
      </xdr:nvSpPr>
      <xdr:spPr>
        <a:xfrm>
          <a:off x="4256844" y="466725"/>
          <a:ext cx="6185959" cy="1827742"/>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6</xdr:col>
      <xdr:colOff>744561</xdr:colOff>
      <xdr:row>1</xdr:row>
      <xdr:rowOff>64228</xdr:rowOff>
    </xdr:from>
    <xdr:to>
      <xdr:col>10</xdr:col>
      <xdr:colOff>573111</xdr:colOff>
      <xdr:row>3</xdr:row>
      <xdr:rowOff>26128</xdr:rowOff>
    </xdr:to>
    <xdr:sp macro="" textlink="">
      <xdr:nvSpPr>
        <xdr:cNvPr id="9" name="Textfeld 8">
          <a:extLst>
            <a:ext uri="{FF2B5EF4-FFF2-40B4-BE49-F238E27FC236}">
              <a16:creationId xmlns:a16="http://schemas.microsoft.com/office/drawing/2014/main" id="{5FF58186-30CD-4F65-BBE7-409F5F164825}"/>
            </a:ext>
          </a:extLst>
        </xdr:cNvPr>
        <xdr:cNvSpPr txBox="1"/>
      </xdr:nvSpPr>
      <xdr:spPr>
        <a:xfrm>
          <a:off x="4675211" y="496028"/>
          <a:ext cx="287655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a:solidFill>
                <a:srgbClr val="831933"/>
              </a:solidFill>
              <a:latin typeface="Arial" panose="020B0604020202020204" pitchFamily="34" charset="0"/>
              <a:cs typeface="Arial" panose="020B0604020202020204" pitchFamily="34" charset="0"/>
            </a:rPr>
            <a:t>PROJEKTSTATUSÜBERSICHT</a:t>
          </a:r>
        </a:p>
      </xdr:txBody>
    </xdr:sp>
    <xdr:clientData/>
  </xdr:twoCellAnchor>
  <xdr:twoCellAnchor>
    <xdr:from>
      <xdr:col>17</xdr:col>
      <xdr:colOff>260535</xdr:colOff>
      <xdr:row>1</xdr:row>
      <xdr:rowOff>35565</xdr:rowOff>
    </xdr:from>
    <xdr:to>
      <xdr:col>23</xdr:col>
      <xdr:colOff>95249</xdr:colOff>
      <xdr:row>11</xdr:row>
      <xdr:rowOff>19050</xdr:rowOff>
    </xdr:to>
    <xdr:sp macro="" textlink="">
      <xdr:nvSpPr>
        <xdr:cNvPr id="10" name="Rechteck 9">
          <a:extLst>
            <a:ext uri="{FF2B5EF4-FFF2-40B4-BE49-F238E27FC236}">
              <a16:creationId xmlns:a16="http://schemas.microsoft.com/office/drawing/2014/main" id="{4E0566E1-E5A0-4F5D-B4E8-BF8511E9E74A}"/>
            </a:ext>
          </a:extLst>
        </xdr:cNvPr>
        <xdr:cNvSpPr/>
      </xdr:nvSpPr>
      <xdr:spPr>
        <a:xfrm>
          <a:off x="13271685" y="467365"/>
          <a:ext cx="3949514" cy="1888485"/>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18</xdr:col>
      <xdr:colOff>258846</xdr:colOff>
      <xdr:row>1</xdr:row>
      <xdr:rowOff>148318</xdr:rowOff>
    </xdr:from>
    <xdr:to>
      <xdr:col>21</xdr:col>
      <xdr:colOff>415636</xdr:colOff>
      <xdr:row>3</xdr:row>
      <xdr:rowOff>92364</xdr:rowOff>
    </xdr:to>
    <xdr:sp macro="" textlink="">
      <xdr:nvSpPr>
        <xdr:cNvPr id="11" name="Textfeld 10">
          <a:extLst>
            <a:ext uri="{FF2B5EF4-FFF2-40B4-BE49-F238E27FC236}">
              <a16:creationId xmlns:a16="http://schemas.microsoft.com/office/drawing/2014/main" id="{3E57B69C-746A-4F1F-8A99-715FD1C49B6E}"/>
            </a:ext>
          </a:extLst>
        </xdr:cNvPr>
        <xdr:cNvSpPr txBox="1"/>
      </xdr:nvSpPr>
      <xdr:spPr>
        <a:xfrm>
          <a:off x="13333496" y="580118"/>
          <a:ext cx="2442790" cy="312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a:solidFill>
                <a:srgbClr val="831933"/>
              </a:solidFill>
              <a:latin typeface="Arial" panose="020B0604020202020204" pitchFamily="34" charset="0"/>
              <a:cs typeface="Arial" panose="020B0604020202020204" pitchFamily="34" charset="0"/>
            </a:rPr>
            <a:t>BUDGETÜBERSICHT*</a:t>
          </a:r>
        </a:p>
      </xdr:txBody>
    </xdr:sp>
    <xdr:clientData/>
  </xdr:twoCellAnchor>
  <xdr:twoCellAnchor>
    <xdr:from>
      <xdr:col>1</xdr:col>
      <xdr:colOff>444500</xdr:colOff>
      <xdr:row>1</xdr:row>
      <xdr:rowOff>44450</xdr:rowOff>
    </xdr:from>
    <xdr:to>
      <xdr:col>5</xdr:col>
      <xdr:colOff>273050</xdr:colOff>
      <xdr:row>3</xdr:row>
      <xdr:rowOff>6350</xdr:rowOff>
    </xdr:to>
    <xdr:sp macro="" textlink="">
      <xdr:nvSpPr>
        <xdr:cNvPr id="12" name="Textfeld 11">
          <a:extLst>
            <a:ext uri="{FF2B5EF4-FFF2-40B4-BE49-F238E27FC236}">
              <a16:creationId xmlns:a16="http://schemas.microsoft.com/office/drawing/2014/main" id="{3420353D-93C2-437F-8B48-EAC8D55BD34D}"/>
            </a:ext>
          </a:extLst>
        </xdr:cNvPr>
        <xdr:cNvSpPr txBox="1"/>
      </xdr:nvSpPr>
      <xdr:spPr>
        <a:xfrm>
          <a:off x="565150" y="476250"/>
          <a:ext cx="287655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a:solidFill>
                <a:srgbClr val="831933"/>
              </a:solidFill>
              <a:latin typeface="Arial" panose="020B0604020202020204" pitchFamily="34" charset="0"/>
              <a:cs typeface="Arial" panose="020B0604020202020204" pitchFamily="34" charset="0"/>
            </a:rPr>
            <a:t>PORTFOLIOÜBERSICHT</a:t>
          </a:r>
        </a:p>
      </xdr:txBody>
    </xdr:sp>
    <xdr:clientData/>
  </xdr:twoCellAnchor>
  <xdr:twoCellAnchor>
    <xdr:from>
      <xdr:col>1</xdr:col>
      <xdr:colOff>50800</xdr:colOff>
      <xdr:row>3</xdr:row>
      <xdr:rowOff>50800</xdr:rowOff>
    </xdr:from>
    <xdr:to>
      <xdr:col>5</xdr:col>
      <xdr:colOff>254000</xdr:colOff>
      <xdr:row>4</xdr:row>
      <xdr:rowOff>158750</xdr:rowOff>
    </xdr:to>
    <xdr:sp macro="" textlink="">
      <xdr:nvSpPr>
        <xdr:cNvPr id="14" name="Textfeld 13">
          <a:extLst>
            <a:ext uri="{FF2B5EF4-FFF2-40B4-BE49-F238E27FC236}">
              <a16:creationId xmlns:a16="http://schemas.microsoft.com/office/drawing/2014/main" id="{0686E704-A513-44CB-A6B8-F6AA65E8020C}"/>
            </a:ext>
          </a:extLst>
        </xdr:cNvPr>
        <xdr:cNvSpPr txBox="1"/>
      </xdr:nvSpPr>
      <xdr:spPr>
        <a:xfrm>
          <a:off x="171450" y="850900"/>
          <a:ext cx="325120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ANZAHL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PROJEKTE</a:t>
          </a:r>
          <a:r>
            <a:rPr lang="de-AT" sz="1400" baseline="0">
              <a:solidFill>
                <a:srgbClr val="831933"/>
              </a:solidFill>
              <a:latin typeface="Arial" panose="020B0604020202020204" pitchFamily="34" charset="0"/>
              <a:cs typeface="Arial" panose="020B0604020202020204" pitchFamily="34" charset="0"/>
            </a:rPr>
            <a:t> IM PORTFOLIO</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5</xdr:col>
      <xdr:colOff>165100</xdr:colOff>
      <xdr:row>3</xdr:row>
      <xdr:rowOff>57150</xdr:rowOff>
    </xdr:from>
    <xdr:to>
      <xdr:col>5</xdr:col>
      <xdr:colOff>736600</xdr:colOff>
      <xdr:row>4</xdr:row>
      <xdr:rowOff>165100</xdr:rowOff>
    </xdr:to>
    <xdr:sp macro="" textlink="Arbeitsbereich!D4">
      <xdr:nvSpPr>
        <xdr:cNvPr id="15" name="Textfeld 14">
          <a:extLst>
            <a:ext uri="{FF2B5EF4-FFF2-40B4-BE49-F238E27FC236}">
              <a16:creationId xmlns:a16="http://schemas.microsoft.com/office/drawing/2014/main" id="{DF417351-5ABD-4181-A6FC-AF170D2C1E08}"/>
            </a:ext>
          </a:extLst>
        </xdr:cNvPr>
        <xdr:cNvSpPr txBox="1"/>
      </xdr:nvSpPr>
      <xdr:spPr>
        <a:xfrm>
          <a:off x="3333750" y="857250"/>
          <a:ext cx="57150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98951F-A356-4466-A694-246523DDFC3F}" type="TxLink">
            <a:rPr lang="en-US" sz="1400" b="0" i="0" u="none" strike="noStrike">
              <a:solidFill>
                <a:srgbClr val="000000"/>
              </a:solidFill>
              <a:latin typeface="Arial" panose="020B0604020202020204" pitchFamily="34" charset="0"/>
              <a:cs typeface="Arial" panose="020B0604020202020204" pitchFamily="34" charset="0"/>
            </a:rPr>
            <a:pPr algn="ctr"/>
            <a:t>4</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78261</xdr:colOff>
      <xdr:row>6</xdr:row>
      <xdr:rowOff>108114</xdr:rowOff>
    </xdr:from>
    <xdr:to>
      <xdr:col>4</xdr:col>
      <xdr:colOff>459261</xdr:colOff>
      <xdr:row>9</xdr:row>
      <xdr:rowOff>116732</xdr:rowOff>
    </xdr:to>
    <xdr:sp macro="" textlink="">
      <xdr:nvSpPr>
        <xdr:cNvPr id="16" name="Textfeld 15">
          <a:extLst>
            <a:ext uri="{FF2B5EF4-FFF2-40B4-BE49-F238E27FC236}">
              <a16:creationId xmlns:a16="http://schemas.microsoft.com/office/drawing/2014/main" id="{DF3C4F3F-2057-4E5B-AAEC-74481147A268}"/>
            </a:ext>
          </a:extLst>
        </xdr:cNvPr>
        <xdr:cNvSpPr txBox="1"/>
      </xdr:nvSpPr>
      <xdr:spPr>
        <a:xfrm>
          <a:off x="935923" y="1444088"/>
          <a:ext cx="2657104" cy="5529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PROJEKTAUTRAG</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0</xdr:col>
      <xdr:colOff>0</xdr:colOff>
      <xdr:row>10</xdr:row>
      <xdr:rowOff>58865</xdr:rowOff>
    </xdr:from>
    <xdr:to>
      <xdr:col>3</xdr:col>
      <xdr:colOff>245533</xdr:colOff>
      <xdr:row>11</xdr:row>
      <xdr:rowOff>175886</xdr:rowOff>
    </xdr:to>
    <xdr:sp macro="" textlink="">
      <xdr:nvSpPr>
        <xdr:cNvPr id="17" name="Textfeld 16">
          <a:extLst>
            <a:ext uri="{FF2B5EF4-FFF2-40B4-BE49-F238E27FC236}">
              <a16:creationId xmlns:a16="http://schemas.microsoft.com/office/drawing/2014/main" id="{A191CF74-F790-4B05-911F-70CD3501B184}"/>
            </a:ext>
          </a:extLst>
        </xdr:cNvPr>
        <xdr:cNvSpPr txBox="1"/>
      </xdr:nvSpPr>
      <xdr:spPr>
        <a:xfrm>
          <a:off x="0" y="2207282"/>
          <a:ext cx="2584450" cy="307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BERICHTSQUOTE</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editAs="oneCell">
    <xdr:from>
      <xdr:col>2</xdr:col>
      <xdr:colOff>175683</xdr:colOff>
      <xdr:row>6</xdr:row>
      <xdr:rowOff>133684</xdr:rowOff>
    </xdr:from>
    <xdr:to>
      <xdr:col>6</xdr:col>
      <xdr:colOff>383550</xdr:colOff>
      <xdr:row>13</xdr:row>
      <xdr:rowOff>177909</xdr:rowOff>
    </xdr:to>
    <xdr:graphicFrame macro="">
      <xdr:nvGraphicFramePr>
        <xdr:cNvPr id="18" name="Diagramm 17">
          <a:extLst>
            <a:ext uri="{FF2B5EF4-FFF2-40B4-BE49-F238E27FC236}">
              <a16:creationId xmlns:a16="http://schemas.microsoft.com/office/drawing/2014/main" id="{3F01F1A3-3C13-4E19-A732-FB270FB08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95477</xdr:colOff>
      <xdr:row>17</xdr:row>
      <xdr:rowOff>170724</xdr:rowOff>
    </xdr:from>
    <xdr:to>
      <xdr:col>5</xdr:col>
      <xdr:colOff>571727</xdr:colOff>
      <xdr:row>25</xdr:row>
      <xdr:rowOff>75474</xdr:rowOff>
    </xdr:to>
    <xdr:graphicFrame macro="">
      <xdr:nvGraphicFramePr>
        <xdr:cNvPr id="19" name="Diagramm 18">
          <a:extLst>
            <a:ext uri="{FF2B5EF4-FFF2-40B4-BE49-F238E27FC236}">
              <a16:creationId xmlns:a16="http://schemas.microsoft.com/office/drawing/2014/main" id="{A3CAAD05-3983-44A0-96AB-E72AC14EA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463551</xdr:colOff>
      <xdr:row>11</xdr:row>
      <xdr:rowOff>69850</xdr:rowOff>
    </xdr:from>
    <xdr:to>
      <xdr:col>23</xdr:col>
      <xdr:colOff>69853</xdr:colOff>
      <xdr:row>25</xdr:row>
      <xdr:rowOff>50498</xdr:rowOff>
    </xdr:to>
    <xdr:sp macro="" textlink="">
      <xdr:nvSpPr>
        <xdr:cNvPr id="20" name="Rechteck 19">
          <a:extLst>
            <a:ext uri="{FF2B5EF4-FFF2-40B4-BE49-F238E27FC236}">
              <a16:creationId xmlns:a16="http://schemas.microsoft.com/office/drawing/2014/main" id="{3BE49510-E805-4F9B-9B3E-EE4C6FBA1700}"/>
            </a:ext>
          </a:extLst>
        </xdr:cNvPr>
        <xdr:cNvSpPr/>
      </xdr:nvSpPr>
      <xdr:spPr>
        <a:xfrm>
          <a:off x="11188701" y="2406650"/>
          <a:ext cx="6007102" cy="2647648"/>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14</xdr:col>
      <xdr:colOff>553458</xdr:colOff>
      <xdr:row>14</xdr:row>
      <xdr:rowOff>14514</xdr:rowOff>
    </xdr:from>
    <xdr:to>
      <xdr:col>19</xdr:col>
      <xdr:colOff>610609</xdr:colOff>
      <xdr:row>15</xdr:row>
      <xdr:rowOff>167972</xdr:rowOff>
    </xdr:to>
    <xdr:sp macro="" textlink="">
      <xdr:nvSpPr>
        <xdr:cNvPr id="21" name="Textfeld 20">
          <a:extLst>
            <a:ext uri="{FF2B5EF4-FFF2-40B4-BE49-F238E27FC236}">
              <a16:creationId xmlns:a16="http://schemas.microsoft.com/office/drawing/2014/main" id="{8C0D0450-7872-45E2-9F44-F936CA20F9BA}"/>
            </a:ext>
          </a:extLst>
        </xdr:cNvPr>
        <xdr:cNvSpPr txBox="1"/>
      </xdr:nvSpPr>
      <xdr:spPr>
        <a:xfrm>
          <a:off x="11274375" y="2924931"/>
          <a:ext cx="3867151" cy="3439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 PROJEKTLAUFZEIT IN ARBEITSTAGEN</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15</xdr:col>
      <xdr:colOff>96260</xdr:colOff>
      <xdr:row>12</xdr:row>
      <xdr:rowOff>15572</xdr:rowOff>
    </xdr:from>
    <xdr:to>
      <xdr:col>18</xdr:col>
      <xdr:colOff>686810</xdr:colOff>
      <xdr:row>13</xdr:row>
      <xdr:rowOff>167971</xdr:rowOff>
    </xdr:to>
    <xdr:sp macro="" textlink="">
      <xdr:nvSpPr>
        <xdr:cNvPr id="22" name="Textfeld 21">
          <a:extLst>
            <a:ext uri="{FF2B5EF4-FFF2-40B4-BE49-F238E27FC236}">
              <a16:creationId xmlns:a16="http://schemas.microsoft.com/office/drawing/2014/main" id="{6FD5F623-A90A-43A5-BCD5-348C580D609B}"/>
            </a:ext>
          </a:extLst>
        </xdr:cNvPr>
        <xdr:cNvSpPr txBox="1"/>
      </xdr:nvSpPr>
      <xdr:spPr>
        <a:xfrm>
          <a:off x="11579177" y="2544989"/>
          <a:ext cx="2876550" cy="3428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a:solidFill>
                <a:srgbClr val="831933"/>
              </a:solidFill>
              <a:latin typeface="Arial" panose="020B0604020202020204" pitchFamily="34" charset="0"/>
              <a:cs typeface="Arial" panose="020B0604020202020204" pitchFamily="34" charset="0"/>
            </a:rPr>
            <a:t>PROJEKTLAUFZEIT</a:t>
          </a:r>
        </a:p>
      </xdr:txBody>
    </xdr:sp>
    <xdr:clientData/>
  </xdr:twoCellAnchor>
  <xdr:twoCellAnchor editAs="oneCell">
    <xdr:from>
      <xdr:col>14</xdr:col>
      <xdr:colOff>516417</xdr:colOff>
      <xdr:row>11</xdr:row>
      <xdr:rowOff>167974</xdr:rowOff>
    </xdr:from>
    <xdr:to>
      <xdr:col>15</xdr:col>
      <xdr:colOff>135416</xdr:colOff>
      <xdr:row>14</xdr:row>
      <xdr:rowOff>14514</xdr:rowOff>
    </xdr:to>
    <xdr:pic>
      <xdr:nvPicPr>
        <xdr:cNvPr id="23" name="Grafik 22" descr="Uhr Silhouette">
          <a:extLst>
            <a:ext uri="{FF2B5EF4-FFF2-40B4-BE49-F238E27FC236}">
              <a16:creationId xmlns:a16="http://schemas.microsoft.com/office/drawing/2014/main" id="{281DB7B9-AA9E-476D-BA36-9AAD91987CD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237334" y="2506891"/>
          <a:ext cx="380999" cy="418040"/>
        </a:xfrm>
        <a:prstGeom prst="rect">
          <a:avLst/>
        </a:prstGeom>
      </xdr:spPr>
    </xdr:pic>
    <xdr:clientData/>
  </xdr:twoCellAnchor>
  <xdr:twoCellAnchor>
    <xdr:from>
      <xdr:col>19</xdr:col>
      <xdr:colOff>555576</xdr:colOff>
      <xdr:row>13</xdr:row>
      <xdr:rowOff>187023</xdr:rowOff>
    </xdr:from>
    <xdr:to>
      <xdr:col>20</xdr:col>
      <xdr:colOff>365076</xdr:colOff>
      <xdr:row>15</xdr:row>
      <xdr:rowOff>118232</xdr:rowOff>
    </xdr:to>
    <xdr:sp macro="" textlink="Arbeitsbereich!D113">
      <xdr:nvSpPr>
        <xdr:cNvPr id="24" name="Textfeld 23">
          <a:extLst>
            <a:ext uri="{FF2B5EF4-FFF2-40B4-BE49-F238E27FC236}">
              <a16:creationId xmlns:a16="http://schemas.microsoft.com/office/drawing/2014/main" id="{A5560A29-D1A5-4DDD-A315-E7A9DAC14515}"/>
            </a:ext>
          </a:extLst>
        </xdr:cNvPr>
        <xdr:cNvSpPr txBox="1"/>
      </xdr:nvSpPr>
      <xdr:spPr>
        <a:xfrm>
          <a:off x="15086493" y="2906940"/>
          <a:ext cx="571500" cy="3122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7D7380-66EC-4BF5-90A9-18D81D0B49EB}" type="TxLink">
            <a:rPr lang="en-US" sz="1400" b="0" i="0" u="none" strike="noStrike">
              <a:solidFill>
                <a:schemeClr val="tx1">
                  <a:lumMod val="75000"/>
                  <a:lumOff val="25000"/>
                </a:schemeClr>
              </a:solidFill>
              <a:latin typeface="Arial" panose="020B0604020202020204" pitchFamily="34" charset="0"/>
              <a:cs typeface="Arial" panose="020B0604020202020204" pitchFamily="34" charset="0"/>
            </a:rPr>
            <a:pPr algn="ctr"/>
            <a:t>612</a:t>
          </a:fld>
          <a:endParaRPr lang="de-AT" sz="1400">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14</xdr:col>
      <xdr:colOff>574989</xdr:colOff>
      <xdr:row>16</xdr:row>
      <xdr:rowOff>72722</xdr:rowOff>
    </xdr:from>
    <xdr:to>
      <xdr:col>18</xdr:col>
      <xdr:colOff>117789</xdr:colOff>
      <xdr:row>17</xdr:row>
      <xdr:rowOff>175985</xdr:rowOff>
    </xdr:to>
    <xdr:sp macro="" textlink="">
      <xdr:nvSpPr>
        <xdr:cNvPr id="25" name="Textfeld 24">
          <a:extLst>
            <a:ext uri="{FF2B5EF4-FFF2-40B4-BE49-F238E27FC236}">
              <a16:creationId xmlns:a16="http://schemas.microsoft.com/office/drawing/2014/main" id="{14C900E6-FBBF-4158-9E11-1E8275AA1EAF}"/>
            </a:ext>
          </a:extLst>
        </xdr:cNvPr>
        <xdr:cNvSpPr txBox="1"/>
      </xdr:nvSpPr>
      <xdr:spPr>
        <a:xfrm>
          <a:off x="11295906" y="3364139"/>
          <a:ext cx="2590800" cy="2937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PROJEKTDAUER</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555574</xdr:colOff>
      <xdr:row>18</xdr:row>
      <xdr:rowOff>14514</xdr:rowOff>
    </xdr:from>
    <xdr:to>
      <xdr:col>23</xdr:col>
      <xdr:colOff>20662</xdr:colOff>
      <xdr:row>24</xdr:row>
      <xdr:rowOff>54731</xdr:rowOff>
    </xdr:to>
    <xdr:graphicFrame macro="">
      <xdr:nvGraphicFramePr>
        <xdr:cNvPr id="26" name="Diagramm 25">
          <a:extLst>
            <a:ext uri="{FF2B5EF4-FFF2-40B4-BE49-F238E27FC236}">
              <a16:creationId xmlns:a16="http://schemas.microsoft.com/office/drawing/2014/main" id="{FC2FE716-2BDE-4783-B1C8-96DF0C3EF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304290</xdr:colOff>
      <xdr:row>1</xdr:row>
      <xdr:rowOff>34924</xdr:rowOff>
    </xdr:from>
    <xdr:to>
      <xdr:col>7</xdr:col>
      <xdr:colOff>22889</xdr:colOff>
      <xdr:row>3</xdr:row>
      <xdr:rowOff>168275</xdr:rowOff>
    </xdr:to>
    <xdr:pic>
      <xdr:nvPicPr>
        <xdr:cNvPr id="28" name="Grafik 27" descr="Balkendiagramm mit Aufwärtstrend mit einfarbiger Füllung">
          <a:extLst>
            <a:ext uri="{FF2B5EF4-FFF2-40B4-BE49-F238E27FC236}">
              <a16:creationId xmlns:a16="http://schemas.microsoft.com/office/drawing/2014/main" id="{63E72723-B528-4A18-86B8-A5295C7DE67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234940" y="466724"/>
          <a:ext cx="480599" cy="501651"/>
        </a:xfrm>
        <a:prstGeom prst="rect">
          <a:avLst/>
        </a:prstGeom>
      </xdr:spPr>
    </xdr:pic>
    <xdr:clientData/>
  </xdr:twoCellAnchor>
  <xdr:twoCellAnchor>
    <xdr:from>
      <xdr:col>14</xdr:col>
      <xdr:colOff>759800</xdr:colOff>
      <xdr:row>1</xdr:row>
      <xdr:rowOff>122099</xdr:rowOff>
    </xdr:from>
    <xdr:to>
      <xdr:col>17</xdr:col>
      <xdr:colOff>141112</xdr:colOff>
      <xdr:row>2</xdr:row>
      <xdr:rowOff>162279</xdr:rowOff>
    </xdr:to>
    <xdr:sp macro="" textlink="">
      <xdr:nvSpPr>
        <xdr:cNvPr id="29" name="Textfeld 28">
          <a:extLst>
            <a:ext uri="{FF2B5EF4-FFF2-40B4-BE49-F238E27FC236}">
              <a16:creationId xmlns:a16="http://schemas.microsoft.com/office/drawing/2014/main" id="{A025F92D-78D6-46AE-BE1E-BA083285FAFF}"/>
            </a:ext>
          </a:extLst>
        </xdr:cNvPr>
        <xdr:cNvSpPr txBox="1"/>
      </xdr:nvSpPr>
      <xdr:spPr>
        <a:xfrm>
          <a:off x="10786450" y="553899"/>
          <a:ext cx="1667312" cy="2243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a:solidFill>
                <a:srgbClr val="831933"/>
              </a:solidFill>
              <a:latin typeface="Arial" panose="020B0604020202020204" pitchFamily="34" charset="0"/>
              <a:cs typeface="Arial" panose="020B0604020202020204" pitchFamily="34" charset="0"/>
            </a:rPr>
            <a:t>PROJEKTAMPEL</a:t>
          </a:r>
        </a:p>
      </xdr:txBody>
    </xdr:sp>
    <xdr:clientData/>
  </xdr:twoCellAnchor>
  <xdr:twoCellAnchor>
    <xdr:from>
      <xdr:col>14</xdr:col>
      <xdr:colOff>487991</xdr:colOff>
      <xdr:row>1</xdr:row>
      <xdr:rowOff>77414</xdr:rowOff>
    </xdr:from>
    <xdr:to>
      <xdr:col>15</xdr:col>
      <xdr:colOff>94859</xdr:colOff>
      <xdr:row>3</xdr:row>
      <xdr:rowOff>92835</xdr:rowOff>
    </xdr:to>
    <xdr:pic>
      <xdr:nvPicPr>
        <xdr:cNvPr id="30" name="Grafik 29" descr="Ampel mit einfarbiger Füllung">
          <a:extLst>
            <a:ext uri="{FF2B5EF4-FFF2-40B4-BE49-F238E27FC236}">
              <a16:creationId xmlns:a16="http://schemas.microsoft.com/office/drawing/2014/main" id="{374BB047-A5E5-42FE-AEEC-D828763FBB0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514641" y="509214"/>
          <a:ext cx="368868" cy="383721"/>
        </a:xfrm>
        <a:prstGeom prst="rect">
          <a:avLst/>
        </a:prstGeom>
      </xdr:spPr>
    </xdr:pic>
    <xdr:clientData/>
  </xdr:twoCellAnchor>
  <xdr:twoCellAnchor>
    <xdr:from>
      <xdr:col>14</xdr:col>
      <xdr:colOff>512538</xdr:colOff>
      <xdr:row>3</xdr:row>
      <xdr:rowOff>113667</xdr:rowOff>
    </xdr:from>
    <xdr:to>
      <xdr:col>16</xdr:col>
      <xdr:colOff>764419</xdr:colOff>
      <xdr:row>5</xdr:row>
      <xdr:rowOff>92199</xdr:rowOff>
    </xdr:to>
    <xdr:sp macro="" textlink="">
      <xdr:nvSpPr>
        <xdr:cNvPr id="31" name="Textfeld 30">
          <a:extLst>
            <a:ext uri="{FF2B5EF4-FFF2-40B4-BE49-F238E27FC236}">
              <a16:creationId xmlns:a16="http://schemas.microsoft.com/office/drawing/2014/main" id="{164330F8-039A-4AE5-A634-471CB716776B}"/>
            </a:ext>
          </a:extLst>
        </xdr:cNvPr>
        <xdr:cNvSpPr txBox="1"/>
      </xdr:nvSpPr>
      <xdr:spPr>
        <a:xfrm>
          <a:off x="10539188" y="913767"/>
          <a:ext cx="1775881" cy="3468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GESAMTSTATUS</a:t>
          </a:r>
          <a:endParaRPr lang="de-AT" sz="1400" b="0">
            <a:solidFill>
              <a:srgbClr val="831933"/>
            </a:solidFill>
            <a:latin typeface="Arial" panose="020B0604020202020204" pitchFamily="34" charset="0"/>
            <a:cs typeface="Arial" panose="020B0604020202020204" pitchFamily="34" charset="0"/>
          </a:endParaRPr>
        </a:p>
      </xdr:txBody>
    </xdr:sp>
    <xdr:clientData/>
  </xdr:twoCellAnchor>
  <xdr:twoCellAnchor>
    <xdr:from>
      <xdr:col>15</xdr:col>
      <xdr:colOff>564643</xdr:colOff>
      <xdr:row>5</xdr:row>
      <xdr:rowOff>149066</xdr:rowOff>
    </xdr:from>
    <xdr:to>
      <xdr:col>16</xdr:col>
      <xdr:colOff>68571</xdr:colOff>
      <xdr:row>9</xdr:row>
      <xdr:rowOff>115228</xdr:rowOff>
    </xdr:to>
    <xdr:grpSp>
      <xdr:nvGrpSpPr>
        <xdr:cNvPr id="32" name="Gruppieren 31">
          <a:extLst>
            <a:ext uri="{FF2B5EF4-FFF2-40B4-BE49-F238E27FC236}">
              <a16:creationId xmlns:a16="http://schemas.microsoft.com/office/drawing/2014/main" id="{0FB36A86-B3D8-4A56-BBC5-B83C8E695E73}"/>
            </a:ext>
          </a:extLst>
        </xdr:cNvPr>
        <xdr:cNvGrpSpPr/>
      </xdr:nvGrpSpPr>
      <xdr:grpSpPr>
        <a:xfrm>
          <a:off x="12094429" y="1310209"/>
          <a:ext cx="265928" cy="691876"/>
          <a:chOff x="7354071" y="2875841"/>
          <a:chExt cx="272832" cy="706388"/>
        </a:xfrm>
      </xdr:grpSpPr>
      <xdr:sp macro="" textlink="">
        <xdr:nvSpPr>
          <xdr:cNvPr id="33" name="Rechteck: abgerundete Ecken 32">
            <a:extLst>
              <a:ext uri="{FF2B5EF4-FFF2-40B4-BE49-F238E27FC236}">
                <a16:creationId xmlns:a16="http://schemas.microsoft.com/office/drawing/2014/main" id="{F883EC9D-9CBE-C3FF-6547-37BD9DAD8C3E}"/>
              </a:ext>
            </a:extLst>
          </xdr:cNvPr>
          <xdr:cNvSpPr/>
        </xdr:nvSpPr>
        <xdr:spPr>
          <a:xfrm>
            <a:off x="7354071" y="2875841"/>
            <a:ext cx="272832" cy="706388"/>
          </a:xfrm>
          <a:prstGeom prst="roundRect">
            <a:avLst/>
          </a:prstGeom>
          <a:solidFill>
            <a:schemeClr val="bg1">
              <a:alpha val="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34" name="Ellipse 33">
            <a:extLst>
              <a:ext uri="{FF2B5EF4-FFF2-40B4-BE49-F238E27FC236}">
                <a16:creationId xmlns:a16="http://schemas.microsoft.com/office/drawing/2014/main" id="{E2B39565-013A-03E6-4C31-2F58F47CBA4B}"/>
              </a:ext>
            </a:extLst>
          </xdr:cNvPr>
          <xdr:cNvSpPr/>
        </xdr:nvSpPr>
        <xdr:spPr>
          <a:xfrm>
            <a:off x="7400707" y="2916660"/>
            <a:ext cx="180000" cy="181480"/>
          </a:xfrm>
          <a:prstGeom prst="ellipse">
            <a:avLst/>
          </a:prstGeom>
          <a:solidFill>
            <a:srgbClr val="FF000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35" name="Ellipse 34">
            <a:extLst>
              <a:ext uri="{FF2B5EF4-FFF2-40B4-BE49-F238E27FC236}">
                <a16:creationId xmlns:a16="http://schemas.microsoft.com/office/drawing/2014/main" id="{0DF5A342-00B3-5A4C-2E96-B7D140394ABD}"/>
              </a:ext>
            </a:extLst>
          </xdr:cNvPr>
          <xdr:cNvSpPr/>
        </xdr:nvSpPr>
        <xdr:spPr>
          <a:xfrm>
            <a:off x="7398893" y="3143112"/>
            <a:ext cx="180000" cy="181478"/>
          </a:xfrm>
          <a:prstGeom prst="ellipse">
            <a:avLst/>
          </a:prstGeom>
          <a:solidFill>
            <a:srgbClr val="FFFF0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36" name="Ellipse 35">
            <a:extLst>
              <a:ext uri="{FF2B5EF4-FFF2-40B4-BE49-F238E27FC236}">
                <a16:creationId xmlns:a16="http://schemas.microsoft.com/office/drawing/2014/main" id="{3DA40386-1C42-737D-5750-ABE2C6FFB6CD}"/>
              </a:ext>
            </a:extLst>
          </xdr:cNvPr>
          <xdr:cNvSpPr/>
        </xdr:nvSpPr>
        <xdr:spPr>
          <a:xfrm>
            <a:off x="7404952" y="3363054"/>
            <a:ext cx="180000" cy="181479"/>
          </a:xfrm>
          <a:prstGeom prst="ellipse">
            <a:avLst/>
          </a:prstGeom>
          <a:solidFill>
            <a:srgbClr val="00B05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grpSp>
    <xdr:clientData/>
  </xdr:twoCellAnchor>
  <xdr:twoCellAnchor>
    <xdr:from>
      <xdr:col>14</xdr:col>
      <xdr:colOff>724395</xdr:colOff>
      <xdr:row>5</xdr:row>
      <xdr:rowOff>114673</xdr:rowOff>
    </xdr:from>
    <xdr:to>
      <xdr:col>15</xdr:col>
      <xdr:colOff>534637</xdr:colOff>
      <xdr:row>7</xdr:row>
      <xdr:rowOff>35558</xdr:rowOff>
    </xdr:to>
    <xdr:sp macro="" textlink="Arbeitsbereich!E102">
      <xdr:nvSpPr>
        <xdr:cNvPr id="37" name="Textfeld 36">
          <a:extLst>
            <a:ext uri="{FF2B5EF4-FFF2-40B4-BE49-F238E27FC236}">
              <a16:creationId xmlns:a16="http://schemas.microsoft.com/office/drawing/2014/main" id="{197A24B2-E309-4B8F-A88B-198F5DE55CFD}"/>
            </a:ext>
          </a:extLst>
        </xdr:cNvPr>
        <xdr:cNvSpPr txBox="1"/>
      </xdr:nvSpPr>
      <xdr:spPr>
        <a:xfrm>
          <a:off x="10751045" y="1283073"/>
          <a:ext cx="572242" cy="289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A31B81F-083D-4C5D-9DF9-499CEFFE5E90}" type="TxLink">
            <a:rPr lang="en-US" sz="1100" b="0" i="0" u="none" strike="noStrike">
              <a:solidFill>
                <a:srgbClr val="000000"/>
              </a:solidFill>
              <a:latin typeface="Aptos Narrow"/>
              <a:cs typeface="Arial" panose="020B0604020202020204" pitchFamily="34" charset="0"/>
            </a:rPr>
            <a:pPr algn="r"/>
            <a:t>25%</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730711</xdr:colOff>
      <xdr:row>6</xdr:row>
      <xdr:rowOff>150921</xdr:rowOff>
    </xdr:from>
    <xdr:to>
      <xdr:col>15</xdr:col>
      <xdr:colOff>540953</xdr:colOff>
      <xdr:row>8</xdr:row>
      <xdr:rowOff>73402</xdr:rowOff>
    </xdr:to>
    <xdr:sp macro="" textlink="Arbeitsbereich!E101">
      <xdr:nvSpPr>
        <xdr:cNvPr id="38" name="Textfeld 37">
          <a:extLst>
            <a:ext uri="{FF2B5EF4-FFF2-40B4-BE49-F238E27FC236}">
              <a16:creationId xmlns:a16="http://schemas.microsoft.com/office/drawing/2014/main" id="{9FCBF015-C42B-4D5F-B1E9-0907797B4115}"/>
            </a:ext>
          </a:extLst>
        </xdr:cNvPr>
        <xdr:cNvSpPr txBox="1"/>
      </xdr:nvSpPr>
      <xdr:spPr>
        <a:xfrm>
          <a:off x="10757361" y="1503471"/>
          <a:ext cx="572242" cy="290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2B2CC1C-050C-4C89-8E84-10D0BEEA1C38}" type="TxLink">
            <a:rPr lang="en-US" sz="1100" b="0" i="0" u="none" strike="noStrike">
              <a:solidFill>
                <a:srgbClr val="000000"/>
              </a:solidFill>
              <a:latin typeface="Aptos Narrow"/>
              <a:cs typeface="Arial" panose="020B0604020202020204" pitchFamily="34" charset="0"/>
            </a:rPr>
            <a:pPr algn="r"/>
            <a:t>25%</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731759</xdr:colOff>
      <xdr:row>7</xdr:row>
      <xdr:rowOff>189440</xdr:rowOff>
    </xdr:from>
    <xdr:to>
      <xdr:col>15</xdr:col>
      <xdr:colOff>542001</xdr:colOff>
      <xdr:row>9</xdr:row>
      <xdr:rowOff>112367</xdr:rowOff>
    </xdr:to>
    <xdr:sp macro="" textlink="Arbeitsbereich!E100">
      <xdr:nvSpPr>
        <xdr:cNvPr id="39" name="Textfeld 38">
          <a:extLst>
            <a:ext uri="{FF2B5EF4-FFF2-40B4-BE49-F238E27FC236}">
              <a16:creationId xmlns:a16="http://schemas.microsoft.com/office/drawing/2014/main" id="{37BE95B3-D1C4-4698-8DBD-50EEB998B3D9}"/>
            </a:ext>
          </a:extLst>
        </xdr:cNvPr>
        <xdr:cNvSpPr txBox="1"/>
      </xdr:nvSpPr>
      <xdr:spPr>
        <a:xfrm>
          <a:off x="10758409" y="1719790"/>
          <a:ext cx="572242" cy="297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2B8A56F-22EA-404F-AC10-FB0F63D7A177}" type="TxLink">
            <a:rPr lang="en-US" sz="1100" b="0" i="0" u="none" strike="noStrike">
              <a:solidFill>
                <a:srgbClr val="000000"/>
              </a:solidFill>
              <a:latin typeface="Aptos Narrow"/>
              <a:cs typeface="Arial" panose="020B0604020202020204" pitchFamily="34" charset="0"/>
            </a:rPr>
            <a:pPr algn="r"/>
            <a:t>50%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466219</xdr:colOff>
      <xdr:row>1</xdr:row>
      <xdr:rowOff>36285</xdr:rowOff>
    </xdr:from>
    <xdr:to>
      <xdr:col>17</xdr:col>
      <xdr:colOff>209346</xdr:colOff>
      <xdr:row>11</xdr:row>
      <xdr:rowOff>19237</xdr:rowOff>
    </xdr:to>
    <xdr:sp macro="" textlink="">
      <xdr:nvSpPr>
        <xdr:cNvPr id="40" name="Rechteck 39">
          <a:extLst>
            <a:ext uri="{FF2B5EF4-FFF2-40B4-BE49-F238E27FC236}">
              <a16:creationId xmlns:a16="http://schemas.microsoft.com/office/drawing/2014/main" id="{F933F567-607D-4193-B1B7-C0EE70922964}"/>
            </a:ext>
          </a:extLst>
        </xdr:cNvPr>
        <xdr:cNvSpPr/>
      </xdr:nvSpPr>
      <xdr:spPr>
        <a:xfrm>
          <a:off x="10492869" y="468085"/>
          <a:ext cx="2029127" cy="1824452"/>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0</xdr:col>
      <xdr:colOff>817938</xdr:colOff>
      <xdr:row>34</xdr:row>
      <xdr:rowOff>67583</xdr:rowOff>
    </xdr:from>
    <xdr:to>
      <xdr:col>6</xdr:col>
      <xdr:colOff>304396</xdr:colOff>
      <xdr:row>42</xdr:row>
      <xdr:rowOff>90715</xdr:rowOff>
    </xdr:to>
    <xdr:graphicFrame macro="">
      <xdr:nvGraphicFramePr>
        <xdr:cNvPr id="41" name="Diagramm 40">
          <a:extLst>
            <a:ext uri="{FF2B5EF4-FFF2-40B4-BE49-F238E27FC236}">
              <a16:creationId xmlns:a16="http://schemas.microsoft.com/office/drawing/2014/main" id="{EB4FA26B-EF28-4A1E-9E5A-D1250A984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472531</xdr:colOff>
      <xdr:row>33</xdr:row>
      <xdr:rowOff>160107</xdr:rowOff>
    </xdr:from>
    <xdr:to>
      <xdr:col>5</xdr:col>
      <xdr:colOff>300966</xdr:colOff>
      <xdr:row>35</xdr:row>
      <xdr:rowOff>122007</xdr:rowOff>
    </xdr:to>
    <xdr:sp macro="" textlink="">
      <xdr:nvSpPr>
        <xdr:cNvPr id="42" name="Textfeld 41">
          <a:extLst>
            <a:ext uri="{FF2B5EF4-FFF2-40B4-BE49-F238E27FC236}">
              <a16:creationId xmlns:a16="http://schemas.microsoft.com/office/drawing/2014/main" id="{B6073080-820E-48BD-8027-F528519B12FB}"/>
            </a:ext>
          </a:extLst>
        </xdr:cNvPr>
        <xdr:cNvSpPr txBox="1"/>
      </xdr:nvSpPr>
      <xdr:spPr>
        <a:xfrm>
          <a:off x="1287448" y="6690024"/>
          <a:ext cx="287643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a:solidFill>
                <a:srgbClr val="831933"/>
              </a:solidFill>
              <a:latin typeface="Arial" panose="020B0604020202020204" pitchFamily="34" charset="0"/>
              <a:cs typeface="Arial" panose="020B0604020202020204" pitchFamily="34" charset="0"/>
            </a:rPr>
            <a:t>GESAMTPROJEKTRISIKO</a:t>
          </a:r>
        </a:p>
      </xdr:txBody>
    </xdr:sp>
    <xdr:clientData/>
  </xdr:twoCellAnchor>
  <xdr:twoCellAnchor>
    <xdr:from>
      <xdr:col>14</xdr:col>
      <xdr:colOff>472568</xdr:colOff>
      <xdr:row>25</xdr:row>
      <xdr:rowOff>117324</xdr:rowOff>
    </xdr:from>
    <xdr:to>
      <xdr:col>23</xdr:col>
      <xdr:colOff>72030</xdr:colOff>
      <xdr:row>42</xdr:row>
      <xdr:rowOff>53554</xdr:rowOff>
    </xdr:to>
    <xdr:sp macro="" textlink="">
      <xdr:nvSpPr>
        <xdr:cNvPr id="43" name="Rechteck 42">
          <a:extLst>
            <a:ext uri="{FF2B5EF4-FFF2-40B4-BE49-F238E27FC236}">
              <a16:creationId xmlns:a16="http://schemas.microsoft.com/office/drawing/2014/main" id="{6DB8C9D6-A840-49FF-966E-B1D9A566F938}"/>
            </a:ext>
          </a:extLst>
        </xdr:cNvPr>
        <xdr:cNvSpPr/>
      </xdr:nvSpPr>
      <xdr:spPr>
        <a:xfrm>
          <a:off x="11236966" y="5136119"/>
          <a:ext cx="6018317" cy="3187736"/>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15</xdr:col>
      <xdr:colOff>106971</xdr:colOff>
      <xdr:row>26</xdr:row>
      <xdr:rowOff>35193</xdr:rowOff>
    </xdr:from>
    <xdr:to>
      <xdr:col>18</xdr:col>
      <xdr:colOff>296298</xdr:colOff>
      <xdr:row>27</xdr:row>
      <xdr:rowOff>182168</xdr:rowOff>
    </xdr:to>
    <xdr:sp macro="" textlink="">
      <xdr:nvSpPr>
        <xdr:cNvPr id="44" name="Textfeld 43">
          <a:extLst>
            <a:ext uri="{FF2B5EF4-FFF2-40B4-BE49-F238E27FC236}">
              <a16:creationId xmlns:a16="http://schemas.microsoft.com/office/drawing/2014/main" id="{95D1BE09-1487-4D85-B90C-DF312004F3EB}"/>
            </a:ext>
          </a:extLst>
        </xdr:cNvPr>
        <xdr:cNvSpPr txBox="1"/>
      </xdr:nvSpPr>
      <xdr:spPr>
        <a:xfrm>
          <a:off x="11636429" y="5245253"/>
          <a:ext cx="2484508" cy="338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a:solidFill>
                <a:srgbClr val="831933"/>
              </a:solidFill>
              <a:latin typeface="Arial" panose="020B0604020202020204" pitchFamily="34" charset="0"/>
              <a:cs typeface="Arial" panose="020B0604020202020204" pitchFamily="34" charset="0"/>
            </a:rPr>
            <a:t>PROJEKTPRIORITÄT</a:t>
          </a:r>
        </a:p>
      </xdr:txBody>
    </xdr:sp>
    <xdr:clientData/>
  </xdr:twoCellAnchor>
  <xdr:twoCellAnchor>
    <xdr:from>
      <xdr:col>14</xdr:col>
      <xdr:colOff>536540</xdr:colOff>
      <xdr:row>26</xdr:row>
      <xdr:rowOff>47232</xdr:rowOff>
    </xdr:from>
    <xdr:to>
      <xdr:col>15</xdr:col>
      <xdr:colOff>145071</xdr:colOff>
      <xdr:row>27</xdr:row>
      <xdr:rowOff>178994</xdr:rowOff>
    </xdr:to>
    <xdr:pic>
      <xdr:nvPicPr>
        <xdr:cNvPr id="45" name="Grafik 44" descr="Prioritäten mit einfarbiger Füllung">
          <a:extLst>
            <a:ext uri="{FF2B5EF4-FFF2-40B4-BE49-F238E27FC236}">
              <a16:creationId xmlns:a16="http://schemas.microsoft.com/office/drawing/2014/main" id="{F4113AAB-E610-4013-90D4-AFA3958134A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300938" y="5257292"/>
          <a:ext cx="373591" cy="323027"/>
        </a:xfrm>
        <a:prstGeom prst="rect">
          <a:avLst/>
        </a:prstGeom>
      </xdr:spPr>
    </xdr:pic>
    <xdr:clientData/>
  </xdr:twoCellAnchor>
  <xdr:twoCellAnchor editAs="oneCell">
    <xdr:from>
      <xdr:col>1</xdr:col>
      <xdr:colOff>129514</xdr:colOff>
      <xdr:row>33</xdr:row>
      <xdr:rowOff>78846</xdr:rowOff>
    </xdr:from>
    <xdr:to>
      <xdr:col>1</xdr:col>
      <xdr:colOff>510515</xdr:colOff>
      <xdr:row>35</xdr:row>
      <xdr:rowOff>100014</xdr:rowOff>
    </xdr:to>
    <xdr:pic>
      <xdr:nvPicPr>
        <xdr:cNvPr id="46" name="Grafik 45" descr="Hochspannung Silhouette">
          <a:extLst>
            <a:ext uri="{FF2B5EF4-FFF2-40B4-BE49-F238E27FC236}">
              <a16:creationId xmlns:a16="http://schemas.microsoft.com/office/drawing/2014/main" id="{75A37641-2C21-47FC-9973-53A1B14F33B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44431" y="6608763"/>
          <a:ext cx="381001" cy="402168"/>
        </a:xfrm>
        <a:prstGeom prst="rect">
          <a:avLst/>
        </a:prstGeom>
      </xdr:spPr>
    </xdr:pic>
    <xdr:clientData/>
  </xdr:twoCellAnchor>
  <xdr:twoCellAnchor>
    <xdr:from>
      <xdr:col>14</xdr:col>
      <xdr:colOff>561500</xdr:colOff>
      <xdr:row>33</xdr:row>
      <xdr:rowOff>133084</xdr:rowOff>
    </xdr:from>
    <xdr:to>
      <xdr:col>22</xdr:col>
      <xdr:colOff>23650</xdr:colOff>
      <xdr:row>41</xdr:row>
      <xdr:rowOff>164835</xdr:rowOff>
    </xdr:to>
    <xdr:graphicFrame macro="">
      <xdr:nvGraphicFramePr>
        <xdr:cNvPr id="47" name="Diagramm 46">
          <a:extLst>
            <a:ext uri="{FF2B5EF4-FFF2-40B4-BE49-F238E27FC236}">
              <a16:creationId xmlns:a16="http://schemas.microsoft.com/office/drawing/2014/main" id="{0C1F4BBB-EE03-42C4-8AF8-FE8449BC4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17</xdr:col>
      <xdr:colOff>533733</xdr:colOff>
      <xdr:row>26</xdr:row>
      <xdr:rowOff>41805</xdr:rowOff>
    </xdr:from>
    <xdr:to>
      <xdr:col>20</xdr:col>
      <xdr:colOff>686994</xdr:colOff>
      <xdr:row>32</xdr:row>
      <xdr:rowOff>97895</xdr:rowOff>
    </xdr:to>
    <xdr:graphicFrame macro="">
      <xdr:nvGraphicFramePr>
        <xdr:cNvPr id="48" name="Diagramm 47">
          <a:extLst>
            <a:ext uri="{FF2B5EF4-FFF2-40B4-BE49-F238E27FC236}">
              <a16:creationId xmlns:a16="http://schemas.microsoft.com/office/drawing/2014/main" id="{D04ABA2B-E695-4A23-893C-D84C3C469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620587</xdr:colOff>
      <xdr:row>32</xdr:row>
      <xdr:rowOff>12574</xdr:rowOff>
    </xdr:from>
    <xdr:to>
      <xdr:col>18</xdr:col>
      <xdr:colOff>755527</xdr:colOff>
      <xdr:row>33</xdr:row>
      <xdr:rowOff>88774</xdr:rowOff>
    </xdr:to>
    <xdr:sp macro="" textlink="">
      <xdr:nvSpPr>
        <xdr:cNvPr id="49" name="Textfeld 48">
          <a:extLst>
            <a:ext uri="{FF2B5EF4-FFF2-40B4-BE49-F238E27FC236}">
              <a16:creationId xmlns:a16="http://schemas.microsoft.com/office/drawing/2014/main" id="{6EBE628E-9638-4CDD-B0FF-220077D39E00}"/>
            </a:ext>
          </a:extLst>
        </xdr:cNvPr>
        <xdr:cNvSpPr txBox="1"/>
      </xdr:nvSpPr>
      <xdr:spPr>
        <a:xfrm>
          <a:off x="11384985" y="6370225"/>
          <a:ext cx="3195181" cy="2674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PRIORITÄT NACH PROJETKPHASE</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34925</xdr:colOff>
      <xdr:row>33</xdr:row>
      <xdr:rowOff>21000</xdr:rowOff>
    </xdr:from>
    <xdr:to>
      <xdr:col>6</xdr:col>
      <xdr:colOff>282575</xdr:colOff>
      <xdr:row>42</xdr:row>
      <xdr:rowOff>38094</xdr:rowOff>
    </xdr:to>
    <xdr:sp macro="" textlink="">
      <xdr:nvSpPr>
        <xdr:cNvPr id="50" name="Rechteck 49">
          <a:extLst>
            <a:ext uri="{FF2B5EF4-FFF2-40B4-BE49-F238E27FC236}">
              <a16:creationId xmlns:a16="http://schemas.microsoft.com/office/drawing/2014/main" id="{D9BB84A2-2D7C-462B-BBD1-8A1D1AEFE836}"/>
            </a:ext>
          </a:extLst>
        </xdr:cNvPr>
        <xdr:cNvSpPr/>
      </xdr:nvSpPr>
      <xdr:spPr>
        <a:xfrm>
          <a:off x="849842" y="6550917"/>
          <a:ext cx="4057650" cy="1731594"/>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17</xdr:col>
      <xdr:colOff>321774</xdr:colOff>
      <xdr:row>9</xdr:row>
      <xdr:rowOff>124279</xdr:rowOff>
    </xdr:from>
    <xdr:to>
      <xdr:col>22</xdr:col>
      <xdr:colOff>1191</xdr:colOff>
      <xdr:row>11</xdr:row>
      <xdr:rowOff>3968</xdr:rowOff>
    </xdr:to>
    <xdr:sp macro="" textlink="">
      <xdr:nvSpPr>
        <xdr:cNvPr id="51" name="Textfeld 50">
          <a:extLst>
            <a:ext uri="{FF2B5EF4-FFF2-40B4-BE49-F238E27FC236}">
              <a16:creationId xmlns:a16="http://schemas.microsoft.com/office/drawing/2014/main" id="{B8F3D680-83B9-4A65-8F18-DDDD3C437747}"/>
            </a:ext>
          </a:extLst>
        </xdr:cNvPr>
        <xdr:cNvSpPr txBox="1"/>
      </xdr:nvSpPr>
      <xdr:spPr>
        <a:xfrm>
          <a:off x="13332924" y="2080079"/>
          <a:ext cx="3470367" cy="2606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de-AT" sz="700" b="0" i="0" u="none" strike="noStrike" kern="1200" spc="0" baseline="0">
              <a:solidFill>
                <a:srgbClr val="831933"/>
              </a:solidFill>
              <a:latin typeface="Arial" panose="020B0604020202020204" pitchFamily="34" charset="0"/>
              <a:ea typeface="+mn-ea"/>
              <a:cs typeface="Arial" panose="020B0604020202020204" pitchFamily="34" charset="0"/>
            </a:rPr>
            <a:t>* Eingeschränkt Daten vorhanden/Werte laut SAP Auszug vom 15.02.2026</a:t>
          </a:r>
          <a:endParaRPr lang="de-AT" sz="700" b="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55691</xdr:colOff>
      <xdr:row>29</xdr:row>
      <xdr:rowOff>175854</xdr:rowOff>
    </xdr:from>
    <xdr:to>
      <xdr:col>4</xdr:col>
      <xdr:colOff>355750</xdr:colOff>
      <xdr:row>31</xdr:row>
      <xdr:rowOff>78616</xdr:rowOff>
    </xdr:to>
    <xdr:sp macro="" textlink="">
      <xdr:nvSpPr>
        <xdr:cNvPr id="55" name="Textfeld 54">
          <a:extLst>
            <a:ext uri="{FF2B5EF4-FFF2-40B4-BE49-F238E27FC236}">
              <a16:creationId xmlns:a16="http://schemas.microsoft.com/office/drawing/2014/main" id="{8FC94740-3AB6-4B2D-B46E-687ED0881BB7}"/>
            </a:ext>
          </a:extLst>
        </xdr:cNvPr>
        <xdr:cNvSpPr txBox="1"/>
      </xdr:nvSpPr>
      <xdr:spPr>
        <a:xfrm>
          <a:off x="870608" y="5943771"/>
          <a:ext cx="2586059" cy="2837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KOOPERATIONSPROJEKTE</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editAs="oneCell">
    <xdr:from>
      <xdr:col>3</xdr:col>
      <xdr:colOff>174019</xdr:colOff>
      <xdr:row>26</xdr:row>
      <xdr:rowOff>9376</xdr:rowOff>
    </xdr:from>
    <xdr:to>
      <xdr:col>7</xdr:col>
      <xdr:colOff>377322</xdr:colOff>
      <xdr:row>33</xdr:row>
      <xdr:rowOff>66300</xdr:rowOff>
    </xdr:to>
    <xdr:graphicFrame macro="">
      <xdr:nvGraphicFramePr>
        <xdr:cNvPr id="56" name="Diagramm 55">
          <a:extLst>
            <a:ext uri="{FF2B5EF4-FFF2-40B4-BE49-F238E27FC236}">
              <a16:creationId xmlns:a16="http://schemas.microsoft.com/office/drawing/2014/main" id="{F69ABB4B-1754-47F6-93D2-7331CCB93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16</xdr:col>
      <xdr:colOff>128402</xdr:colOff>
      <xdr:row>5</xdr:row>
      <xdr:rowOff>106962</xdr:rowOff>
    </xdr:from>
    <xdr:to>
      <xdr:col>16</xdr:col>
      <xdr:colOff>700644</xdr:colOff>
      <xdr:row>7</xdr:row>
      <xdr:rowOff>27847</xdr:rowOff>
    </xdr:to>
    <xdr:sp macro="" textlink="Arbeitsbereich!D102">
      <xdr:nvSpPr>
        <xdr:cNvPr id="58" name="Textfeld 57">
          <a:extLst>
            <a:ext uri="{FF2B5EF4-FFF2-40B4-BE49-F238E27FC236}">
              <a16:creationId xmlns:a16="http://schemas.microsoft.com/office/drawing/2014/main" id="{FD18416D-0FCF-4B72-8EFD-6AAD29BE3D1E}"/>
            </a:ext>
          </a:extLst>
        </xdr:cNvPr>
        <xdr:cNvSpPr txBox="1"/>
      </xdr:nvSpPr>
      <xdr:spPr>
        <a:xfrm>
          <a:off x="11676331" y="1304391"/>
          <a:ext cx="572242" cy="3018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97FA335-6460-445B-9E04-5B93132EBEFB}" type="TxLink">
            <a:rPr lang="en-US" sz="1100" b="0" i="0" u="none" strike="noStrike">
              <a:solidFill>
                <a:srgbClr val="000000"/>
              </a:solidFill>
              <a:latin typeface="Aptos Narrow"/>
              <a:cs typeface="Arial" panose="020B0604020202020204" pitchFamily="34" charset="0"/>
            </a:rPr>
            <a:pPr algn="l"/>
            <a:t>1</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16</xdr:col>
      <xdr:colOff>141068</xdr:colOff>
      <xdr:row>6</xdr:row>
      <xdr:rowOff>143210</xdr:rowOff>
    </xdr:from>
    <xdr:to>
      <xdr:col>16</xdr:col>
      <xdr:colOff>713310</xdr:colOff>
      <xdr:row>8</xdr:row>
      <xdr:rowOff>65691</xdr:rowOff>
    </xdr:to>
    <xdr:sp macro="" textlink="Arbeitsbereich!D101">
      <xdr:nvSpPr>
        <xdr:cNvPr id="59" name="Textfeld 58">
          <a:extLst>
            <a:ext uri="{FF2B5EF4-FFF2-40B4-BE49-F238E27FC236}">
              <a16:creationId xmlns:a16="http://schemas.microsoft.com/office/drawing/2014/main" id="{7506BB23-2194-4432-A41F-524BFBC10A70}"/>
            </a:ext>
          </a:extLst>
        </xdr:cNvPr>
        <xdr:cNvSpPr txBox="1"/>
      </xdr:nvSpPr>
      <xdr:spPr>
        <a:xfrm>
          <a:off x="11688997" y="1531139"/>
          <a:ext cx="572242" cy="3034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2E9D33E-D70E-46C5-AA06-A905D6C55ED0}" type="TxLink">
            <a:rPr lang="en-US" sz="1100" b="0" i="0" u="none" strike="noStrike">
              <a:solidFill>
                <a:srgbClr val="000000"/>
              </a:solidFill>
              <a:latin typeface="Aptos Narrow"/>
              <a:cs typeface="Arial" panose="020B0604020202020204" pitchFamily="34" charset="0"/>
            </a:rPr>
            <a:pPr algn="l"/>
            <a:t>1</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16</xdr:col>
      <xdr:colOff>142116</xdr:colOff>
      <xdr:row>7</xdr:row>
      <xdr:rowOff>181729</xdr:rowOff>
    </xdr:from>
    <xdr:to>
      <xdr:col>16</xdr:col>
      <xdr:colOff>711183</xdr:colOff>
      <xdr:row>9</xdr:row>
      <xdr:rowOff>104656</xdr:rowOff>
    </xdr:to>
    <xdr:sp macro="" textlink="Arbeitsbereich!D100">
      <xdr:nvSpPr>
        <xdr:cNvPr id="60" name="Textfeld 59">
          <a:extLst>
            <a:ext uri="{FF2B5EF4-FFF2-40B4-BE49-F238E27FC236}">
              <a16:creationId xmlns:a16="http://schemas.microsoft.com/office/drawing/2014/main" id="{7A605C42-23CA-4A79-9639-690141967EBC}"/>
            </a:ext>
          </a:extLst>
        </xdr:cNvPr>
        <xdr:cNvSpPr txBox="1"/>
      </xdr:nvSpPr>
      <xdr:spPr>
        <a:xfrm>
          <a:off x="11690045" y="1760158"/>
          <a:ext cx="569067" cy="3039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CB03BED-B8E1-47C9-BD3A-EB6170751492}" type="TxLink">
            <a:rPr lang="en-US" sz="1100" b="0" i="0" u="none" strike="noStrike">
              <a:solidFill>
                <a:srgbClr val="000000"/>
              </a:solidFill>
              <a:latin typeface="Aptos Narrow"/>
              <a:cs typeface="Arial" panose="020B0604020202020204" pitchFamily="34" charset="0"/>
            </a:rPr>
            <a:pPr algn="l"/>
            <a:t>2</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59123</xdr:colOff>
      <xdr:row>14</xdr:row>
      <xdr:rowOff>94117</xdr:rowOff>
    </xdr:from>
    <xdr:to>
      <xdr:col>4</xdr:col>
      <xdr:colOff>440123</xdr:colOff>
      <xdr:row>17</xdr:row>
      <xdr:rowOff>105456</xdr:rowOff>
    </xdr:to>
    <xdr:sp macro="" textlink="">
      <xdr:nvSpPr>
        <xdr:cNvPr id="64" name="Textfeld 63">
          <a:extLst>
            <a:ext uri="{FF2B5EF4-FFF2-40B4-BE49-F238E27FC236}">
              <a16:creationId xmlns:a16="http://schemas.microsoft.com/office/drawing/2014/main" id="{6D321D04-A447-4411-8408-337CC6E67770}"/>
            </a:ext>
          </a:extLst>
        </xdr:cNvPr>
        <xdr:cNvSpPr txBox="1"/>
      </xdr:nvSpPr>
      <xdr:spPr>
        <a:xfrm>
          <a:off x="874040" y="3004534"/>
          <a:ext cx="2667000" cy="5828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BUDGETEINBEHALT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editAs="oneCell">
    <xdr:from>
      <xdr:col>2</xdr:col>
      <xdr:colOff>165474</xdr:colOff>
      <xdr:row>10</xdr:row>
      <xdr:rowOff>187509</xdr:rowOff>
    </xdr:from>
    <xdr:to>
      <xdr:col>6</xdr:col>
      <xdr:colOff>366999</xdr:colOff>
      <xdr:row>18</xdr:row>
      <xdr:rowOff>33825</xdr:rowOff>
    </xdr:to>
    <xdr:graphicFrame macro="">
      <xdr:nvGraphicFramePr>
        <xdr:cNvPr id="65" name="Diagramm 64">
          <a:extLst>
            <a:ext uri="{FF2B5EF4-FFF2-40B4-BE49-F238E27FC236}">
              <a16:creationId xmlns:a16="http://schemas.microsoft.com/office/drawing/2014/main" id="{250FF76C-1A26-4FA3-9E27-E0E92D3A0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xdr:col>
      <xdr:colOff>80338</xdr:colOff>
      <xdr:row>25</xdr:row>
      <xdr:rowOff>16999</xdr:rowOff>
    </xdr:from>
    <xdr:to>
      <xdr:col>5</xdr:col>
      <xdr:colOff>308545</xdr:colOff>
      <xdr:row>26</xdr:row>
      <xdr:rowOff>136895</xdr:rowOff>
    </xdr:to>
    <xdr:sp macro="" textlink="">
      <xdr:nvSpPr>
        <xdr:cNvPr id="53" name="Textfeld 52">
          <a:extLst>
            <a:ext uri="{FF2B5EF4-FFF2-40B4-BE49-F238E27FC236}">
              <a16:creationId xmlns:a16="http://schemas.microsoft.com/office/drawing/2014/main" id="{3F2917CD-5656-4D56-AEA4-015F447AC19D}"/>
            </a:ext>
          </a:extLst>
        </xdr:cNvPr>
        <xdr:cNvSpPr txBox="1"/>
      </xdr:nvSpPr>
      <xdr:spPr>
        <a:xfrm>
          <a:off x="895255" y="5022916"/>
          <a:ext cx="3276207" cy="3103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LENKUNGSAUSSCHÜSSE</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editAs="oneCell">
    <xdr:from>
      <xdr:col>3</xdr:col>
      <xdr:colOff>187543</xdr:colOff>
      <xdr:row>21</xdr:row>
      <xdr:rowOff>127802</xdr:rowOff>
    </xdr:from>
    <xdr:to>
      <xdr:col>7</xdr:col>
      <xdr:colOff>376483</xdr:colOff>
      <xdr:row>29</xdr:row>
      <xdr:rowOff>3298</xdr:rowOff>
    </xdr:to>
    <xdr:graphicFrame macro="">
      <xdr:nvGraphicFramePr>
        <xdr:cNvPr id="54" name="Diagramm 53">
          <a:extLst>
            <a:ext uri="{FF2B5EF4-FFF2-40B4-BE49-F238E27FC236}">
              <a16:creationId xmlns:a16="http://schemas.microsoft.com/office/drawing/2014/main" id="{BFB80F62-B62E-422C-9E73-A762DAC4D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6</xdr:col>
      <xdr:colOff>420914</xdr:colOff>
      <xdr:row>21</xdr:row>
      <xdr:rowOff>178337</xdr:rowOff>
    </xdr:from>
    <xdr:to>
      <xdr:col>14</xdr:col>
      <xdr:colOff>211366</xdr:colOff>
      <xdr:row>42</xdr:row>
      <xdr:rowOff>97375</xdr:rowOff>
    </xdr:to>
    <xdr:graphicFrame macro="">
      <xdr:nvGraphicFramePr>
        <xdr:cNvPr id="13" name="Diagramm 12">
          <a:extLst>
            <a:ext uri="{FF2B5EF4-FFF2-40B4-BE49-F238E27FC236}">
              <a16:creationId xmlns:a16="http://schemas.microsoft.com/office/drawing/2014/main" id="{FCAE16AC-B8A5-4A3C-9CA3-CFE00F635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9</xdr:col>
      <xdr:colOff>264812</xdr:colOff>
      <xdr:row>11</xdr:row>
      <xdr:rowOff>166848</xdr:rowOff>
    </xdr:from>
    <xdr:to>
      <xdr:col>14</xdr:col>
      <xdr:colOff>179510</xdr:colOff>
      <xdr:row>22</xdr:row>
      <xdr:rowOff>134816</xdr:rowOff>
    </xdr:to>
    <xdr:graphicFrame macro="">
      <xdr:nvGraphicFramePr>
        <xdr:cNvPr id="73" name="Diagramm 72">
          <a:extLst>
            <a:ext uri="{FF2B5EF4-FFF2-40B4-BE49-F238E27FC236}">
              <a16:creationId xmlns:a16="http://schemas.microsoft.com/office/drawing/2014/main" id="{68BEF088-B820-494F-A07A-AC35FF530AE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7</xdr:col>
      <xdr:colOff>31806</xdr:colOff>
      <xdr:row>11</xdr:row>
      <xdr:rowOff>151492</xdr:rowOff>
    </xdr:from>
    <xdr:to>
      <xdr:col>9</xdr:col>
      <xdr:colOff>656316</xdr:colOff>
      <xdr:row>13</xdr:row>
      <xdr:rowOff>74457</xdr:rowOff>
    </xdr:to>
    <xdr:sp macro="" textlink="">
      <xdr:nvSpPr>
        <xdr:cNvPr id="61" name="Textfeld 60">
          <a:extLst>
            <a:ext uri="{FF2B5EF4-FFF2-40B4-BE49-F238E27FC236}">
              <a16:creationId xmlns:a16="http://schemas.microsoft.com/office/drawing/2014/main" id="{E35F4343-AC2E-467B-AA8B-E7195FAC335F}"/>
            </a:ext>
          </a:extLst>
        </xdr:cNvPr>
        <xdr:cNvSpPr txBox="1"/>
      </xdr:nvSpPr>
      <xdr:spPr>
        <a:xfrm>
          <a:off x="5420235" y="2491921"/>
          <a:ext cx="2148510" cy="3039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u="none" strike="noStrike" kern="1200" spc="0" baseline="0">
              <a:solidFill>
                <a:srgbClr val="831933"/>
              </a:solidFill>
              <a:latin typeface="Arial" panose="020B0604020202020204" pitchFamily="34" charset="0"/>
              <a:ea typeface="+mn-ea"/>
              <a:cs typeface="Arial" panose="020B0604020202020204" pitchFamily="34" charset="0"/>
            </a:rPr>
            <a:t>LEISTUNGSBEREICHE</a:t>
          </a:r>
          <a:endParaRPr lang="de-AT" sz="1400" b="1" i="1">
            <a:solidFill>
              <a:srgbClr val="831933"/>
            </a:solidFill>
            <a:latin typeface="Arial" panose="020B0604020202020204" pitchFamily="34" charset="0"/>
            <a:cs typeface="Arial" panose="020B0604020202020204" pitchFamily="34" charset="0"/>
          </a:endParaRPr>
        </a:p>
      </xdr:txBody>
    </xdr:sp>
    <xdr:clientData/>
  </xdr:twoCellAnchor>
  <xdr:twoCellAnchor editAs="oneCell">
    <xdr:from>
      <xdr:col>6</xdr:col>
      <xdr:colOff>355921</xdr:colOff>
      <xdr:row>11</xdr:row>
      <xdr:rowOff>35247</xdr:rowOff>
    </xdr:from>
    <xdr:to>
      <xdr:col>7</xdr:col>
      <xdr:colOff>117927</xdr:colOff>
      <xdr:row>14</xdr:row>
      <xdr:rowOff>3174</xdr:rowOff>
    </xdr:to>
    <xdr:pic>
      <xdr:nvPicPr>
        <xdr:cNvPr id="67" name="Grafik 66" descr="Blog Silhouette">
          <a:extLst>
            <a:ext uri="{FF2B5EF4-FFF2-40B4-BE49-F238E27FC236}">
              <a16:creationId xmlns:a16="http://schemas.microsoft.com/office/drawing/2014/main" id="{2D7A49D9-7C56-0E5C-1387-D96BD39456C0}"/>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4982350" y="2375676"/>
          <a:ext cx="524006" cy="530356"/>
        </a:xfrm>
        <a:prstGeom prst="rect">
          <a:avLst/>
        </a:prstGeom>
      </xdr:spPr>
    </xdr:pic>
    <xdr:clientData/>
  </xdr:twoCellAnchor>
  <xdr:twoCellAnchor>
    <xdr:from>
      <xdr:col>6</xdr:col>
      <xdr:colOff>326571</xdr:colOff>
      <xdr:row>11</xdr:row>
      <xdr:rowOff>72571</xdr:rowOff>
    </xdr:from>
    <xdr:to>
      <xdr:col>14</xdr:col>
      <xdr:colOff>412750</xdr:colOff>
      <xdr:row>42</xdr:row>
      <xdr:rowOff>54428</xdr:rowOff>
    </xdr:to>
    <xdr:sp macro="" textlink="">
      <xdr:nvSpPr>
        <xdr:cNvPr id="27" name="Rechteck 26">
          <a:extLst>
            <a:ext uri="{FF2B5EF4-FFF2-40B4-BE49-F238E27FC236}">
              <a16:creationId xmlns:a16="http://schemas.microsoft.com/office/drawing/2014/main" id="{5C8C8915-4409-4190-9E54-86DEAD5DA117}"/>
            </a:ext>
          </a:extLst>
        </xdr:cNvPr>
        <xdr:cNvSpPr/>
      </xdr:nvSpPr>
      <xdr:spPr>
        <a:xfrm>
          <a:off x="4951488" y="2411488"/>
          <a:ext cx="6182179" cy="5887357"/>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xdr:col>
      <xdr:colOff>34922</xdr:colOff>
      <xdr:row>1</xdr:row>
      <xdr:rowOff>33621</xdr:rowOff>
    </xdr:from>
    <xdr:to>
      <xdr:col>6</xdr:col>
      <xdr:colOff>275317</xdr:colOff>
      <xdr:row>32</xdr:row>
      <xdr:rowOff>158750</xdr:rowOff>
    </xdr:to>
    <xdr:sp macro="" textlink="">
      <xdr:nvSpPr>
        <xdr:cNvPr id="7" name="Rechteck 6">
          <a:extLst>
            <a:ext uri="{FF2B5EF4-FFF2-40B4-BE49-F238E27FC236}">
              <a16:creationId xmlns:a16="http://schemas.microsoft.com/office/drawing/2014/main" id="{F038B19D-093E-4C53-B720-A52479CE10CF}"/>
            </a:ext>
          </a:extLst>
        </xdr:cNvPr>
        <xdr:cNvSpPr/>
      </xdr:nvSpPr>
      <xdr:spPr>
        <a:xfrm>
          <a:off x="849839" y="467538"/>
          <a:ext cx="4050395" cy="6030629"/>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editAs="oneCell">
    <xdr:from>
      <xdr:col>2</xdr:col>
      <xdr:colOff>148166</xdr:colOff>
      <xdr:row>2</xdr:row>
      <xdr:rowOff>42333</xdr:rowOff>
    </xdr:from>
    <xdr:to>
      <xdr:col>6</xdr:col>
      <xdr:colOff>356033</xdr:colOff>
      <xdr:row>9</xdr:row>
      <xdr:rowOff>92908</xdr:rowOff>
    </xdr:to>
    <xdr:graphicFrame macro="">
      <xdr:nvGraphicFramePr>
        <xdr:cNvPr id="70" name="Diagramm 69">
          <a:extLst>
            <a:ext uri="{FF2B5EF4-FFF2-40B4-BE49-F238E27FC236}">
              <a16:creationId xmlns:a16="http://schemas.microsoft.com/office/drawing/2014/main" id="{43B26E34-4F9B-4461-9A84-B9760F657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D$105">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75834" y="691891"/>
          <a:ext cx="455096" cy="2637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54598313-0400-4DCC-B6E3-90FE1E033F3F}" type="TxLink">
            <a:rPr lang="en-US" sz="900" b="0" i="0" u="none" strike="noStrike">
              <a:solidFill>
                <a:srgbClr val="000000"/>
              </a:solidFill>
              <a:latin typeface="Arial" panose="020B0604020202020204" pitchFamily="34" charset="0"/>
              <a:cs typeface="Arial" panose="020B0604020202020204" pitchFamily="34" charset="0"/>
            </a:rPr>
            <a:pPr algn="ctr"/>
            <a:t>11%</a:t>
          </a:fld>
          <a:endParaRPr lang="de-AT" sz="900">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0.43509</cdr:x>
      <cdr:y>0.52018</cdr:y>
    </cdr:from>
    <cdr:to>
      <cdr:x>0.586</cdr:x>
      <cdr:y>0.71407</cdr:y>
    </cdr:to>
    <cdr:sp macro="" textlink="Arbeitsbereich!$E$20">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409692" y="698498"/>
          <a:ext cx="488958" cy="26035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65116879-D1E4-426A-9E90-8C1CE0CE1875}" type="TxLink">
            <a:rPr lang="en-US" sz="1100" b="0" i="0" u="none" strike="noStrike">
              <a:solidFill>
                <a:srgbClr val="000000"/>
              </a:solidFill>
              <a:latin typeface="Aptos Narrow"/>
              <a:cs typeface="Arial" panose="020B0604020202020204" pitchFamily="34" charset="0"/>
            </a:rPr>
            <a:pPr algn="ctr"/>
            <a:t>100%</a:t>
          </a:fld>
          <a:endParaRPr lang="de-AT" sz="900">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0.43509</cdr:x>
      <cdr:y>0.52018</cdr:y>
    </cdr:from>
    <cdr:to>
      <cdr:x>0.586</cdr:x>
      <cdr:y>0.71407</cdr:y>
    </cdr:to>
    <cdr:sp macro="" textlink="Arbeitsbereich!$E$28">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409692" y="698498"/>
          <a:ext cx="488958" cy="26035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708EA229-88FE-4B97-BA53-724E027E0EDF}" type="TxLink">
            <a:rPr lang="en-US" sz="1100" b="0" i="0" u="none" strike="noStrike">
              <a:solidFill>
                <a:srgbClr val="000000"/>
              </a:solidFill>
              <a:latin typeface="Aptos Narrow"/>
              <a:cs typeface="Arial" panose="020B0604020202020204" pitchFamily="34" charset="0"/>
            </a:rPr>
            <a:pPr algn="ctr"/>
            <a:t>25%</a:t>
          </a:fld>
          <a:endParaRPr lang="de-AT" sz="900">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0.43509</cdr:x>
      <cdr:y>0.52018</cdr:y>
    </cdr:from>
    <cdr:to>
      <cdr:x>0.60121</cdr:x>
      <cdr:y>0.71407</cdr:y>
    </cdr:to>
    <cdr:sp macro="" textlink="Arbeitsbereich!$E$32">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411038" y="686132"/>
          <a:ext cx="538737" cy="25574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8E98608-C053-4603-AB05-864DE5B4E1B2}" type="TxLink">
            <a:rPr lang="en-US" sz="1100" b="0" i="0" u="none" strike="noStrike">
              <a:solidFill>
                <a:srgbClr val="000000"/>
              </a:solidFill>
              <a:latin typeface="Aptos Narrow"/>
              <a:cs typeface="Arial" panose="020B0604020202020204" pitchFamily="34" charset="0"/>
            </a:rPr>
            <a:pPr algn="ctr"/>
            <a:t>25%</a:t>
          </a:fld>
          <a:endParaRPr lang="de-AT" sz="900">
            <a:latin typeface="Arial" panose="020B0604020202020204" pitchFamily="34" charset="0"/>
            <a:cs typeface="Arial" panose="020B0604020202020204" pitchFamily="34"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0.43509</cdr:x>
      <cdr:y>0.52018</cdr:y>
    </cdr:from>
    <cdr:to>
      <cdr:x>0.586</cdr:x>
      <cdr:y>0.71407</cdr:y>
    </cdr:to>
    <cdr:sp macro="" textlink="Arbeitsbereich!$E$24">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409692" y="698498"/>
          <a:ext cx="488958" cy="26035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DECDBFF5-3966-4B4F-A1E0-5DFE802D33D7}" type="TxLink">
            <a:rPr lang="en-US" sz="1100" b="0" i="0" u="none" strike="noStrike">
              <a:solidFill>
                <a:srgbClr val="000000"/>
              </a:solidFill>
              <a:latin typeface="Aptos Narrow"/>
              <a:cs typeface="Arial" panose="020B0604020202020204" pitchFamily="34" charset="0"/>
            </a:rPr>
            <a:pPr algn="ctr"/>
            <a:t>25%</a:t>
          </a:fld>
          <a:endParaRPr lang="de-AT" sz="900">
            <a:latin typeface="Arial" panose="020B0604020202020204" pitchFamily="34" charset="0"/>
            <a:cs typeface="Arial" panose="020B0604020202020204" pitchFamily="34" charset="0"/>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0.46549</cdr:x>
      <cdr:y>0.59243</cdr:y>
    </cdr:from>
    <cdr:to>
      <cdr:x>0.55959</cdr:x>
      <cdr:y>0.75479</cdr:y>
    </cdr:to>
    <cdr:sp macro="" textlink="">
      <cdr:nvSpPr>
        <cdr:cNvPr id="3" name="Textfeld 2">
          <a:extLst xmlns:a="http://schemas.openxmlformats.org/drawingml/2006/main">
            <a:ext uri="{FF2B5EF4-FFF2-40B4-BE49-F238E27FC236}">
              <a16:creationId xmlns:a16="http://schemas.microsoft.com/office/drawing/2014/main" id="{B04045B5-E3FB-E9C3-B2CC-BAE381383106}"/>
            </a:ext>
          </a:extLst>
        </cdr:cNvPr>
        <cdr:cNvSpPr txBox="1"/>
      </cdr:nvSpPr>
      <cdr:spPr>
        <a:xfrm xmlns:a="http://schemas.openxmlformats.org/drawingml/2006/main">
          <a:off x="1509431" y="782342"/>
          <a:ext cx="305130" cy="21441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AT" sz="1100"/>
        </a:p>
      </cdr:txBody>
    </cdr:sp>
  </cdr:relSizeAnchor>
  <cdr:relSizeAnchor xmlns:cdr="http://schemas.openxmlformats.org/drawingml/2006/chartDrawing">
    <cdr:from>
      <cdr:x>0.44514</cdr:x>
      <cdr:y>0.52373</cdr:y>
    </cdr:from>
    <cdr:to>
      <cdr:x>0.59774</cdr:x>
      <cdr:y>0.7423</cdr:y>
    </cdr:to>
    <cdr:sp macro="" textlink="Arbeitsbereich!$H$14">
      <cdr:nvSpPr>
        <cdr:cNvPr id="4" name="Textfeld 3">
          <a:extLst xmlns:a="http://schemas.openxmlformats.org/drawingml/2006/main">
            <a:ext uri="{FF2B5EF4-FFF2-40B4-BE49-F238E27FC236}">
              <a16:creationId xmlns:a16="http://schemas.microsoft.com/office/drawing/2014/main" id="{48FA980E-0F1F-F1B1-9A22-52850C290727}"/>
            </a:ext>
          </a:extLst>
        </cdr:cNvPr>
        <cdr:cNvSpPr txBox="1"/>
      </cdr:nvSpPr>
      <cdr:spPr>
        <a:xfrm xmlns:a="http://schemas.openxmlformats.org/drawingml/2006/main">
          <a:off x="1443457" y="691628"/>
          <a:ext cx="494805" cy="2886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3CCAE08-101D-4F52-B5FA-6B8EFF999B29}" type="TxLink">
            <a:rPr lang="en-US" sz="1100" b="0" i="0" u="none" strike="noStrike">
              <a:solidFill>
                <a:srgbClr val="000000"/>
              </a:solidFill>
              <a:latin typeface="Aptos Narrow"/>
            </a:rPr>
            <a:pPr/>
            <a:t>75%</a:t>
          </a:fld>
          <a:endParaRPr lang="de-AT" sz="1100"/>
        </a:p>
      </cdr:txBody>
    </cdr:sp>
  </cdr:relSizeAnchor>
</c:userShapes>
</file>

<file path=xl/drawings/drawing10.xml><?xml version="1.0" encoding="utf-8"?>
<xdr:wsDr xmlns:xdr="http://schemas.openxmlformats.org/drawingml/2006/spreadsheetDrawing" xmlns:a="http://schemas.openxmlformats.org/drawingml/2006/main">
  <xdr:twoCellAnchor>
    <xdr:from>
      <xdr:col>1</xdr:col>
      <xdr:colOff>45687</xdr:colOff>
      <xdr:row>10</xdr:row>
      <xdr:rowOff>46016</xdr:rowOff>
    </xdr:from>
    <xdr:to>
      <xdr:col>4</xdr:col>
      <xdr:colOff>347312</xdr:colOff>
      <xdr:row>11</xdr:row>
      <xdr:rowOff>159862</xdr:rowOff>
    </xdr:to>
    <xdr:sp macro="" textlink="">
      <xdr:nvSpPr>
        <xdr:cNvPr id="30" name="Textfeld 29">
          <a:extLst>
            <a:ext uri="{FF2B5EF4-FFF2-40B4-BE49-F238E27FC236}">
              <a16:creationId xmlns:a16="http://schemas.microsoft.com/office/drawing/2014/main" id="{1E36DF96-18E2-43D0-B612-A59C108A61F8}"/>
            </a:ext>
          </a:extLst>
        </xdr:cNvPr>
        <xdr:cNvSpPr txBox="1"/>
      </xdr:nvSpPr>
      <xdr:spPr>
        <a:xfrm>
          <a:off x="957778" y="2239652"/>
          <a:ext cx="2587625" cy="3101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BERICHTSQUOTE</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9</xdr:col>
      <xdr:colOff>578728</xdr:colOff>
      <xdr:row>1</xdr:row>
      <xdr:rowOff>55196</xdr:rowOff>
    </xdr:from>
    <xdr:to>
      <xdr:col>14</xdr:col>
      <xdr:colOff>458846</xdr:colOff>
      <xdr:row>10</xdr:row>
      <xdr:rowOff>175846</xdr:rowOff>
    </xdr:to>
    <xdr:graphicFrame macro="">
      <xdr:nvGraphicFramePr>
        <xdr:cNvPr id="3" name="Diagramm 2">
          <a:extLst>
            <a:ext uri="{FF2B5EF4-FFF2-40B4-BE49-F238E27FC236}">
              <a16:creationId xmlns:a16="http://schemas.microsoft.com/office/drawing/2014/main" id="{F942276E-130A-4A88-B3D5-AF41AFE1F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753027</xdr:colOff>
      <xdr:row>3</xdr:row>
      <xdr:rowOff>27213</xdr:rowOff>
    </xdr:from>
    <xdr:to>
      <xdr:col>10</xdr:col>
      <xdr:colOff>57201</xdr:colOff>
      <xdr:row>10</xdr:row>
      <xdr:rowOff>87313</xdr:rowOff>
    </xdr:to>
    <xdr:graphicFrame macro="">
      <xdr:nvGraphicFramePr>
        <xdr:cNvPr id="4" name="Diagramm 3">
          <a:extLst>
            <a:ext uri="{FF2B5EF4-FFF2-40B4-BE49-F238E27FC236}">
              <a16:creationId xmlns:a16="http://schemas.microsoft.com/office/drawing/2014/main" id="{6A8601A5-A00C-4E6A-BB2C-F4E76EC2D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233207</xdr:colOff>
      <xdr:row>3</xdr:row>
      <xdr:rowOff>14509</xdr:rowOff>
    </xdr:from>
    <xdr:to>
      <xdr:col>22</xdr:col>
      <xdr:colOff>15881</xdr:colOff>
      <xdr:row>10</xdr:row>
      <xdr:rowOff>71434</xdr:rowOff>
    </xdr:to>
    <xdr:graphicFrame macro="">
      <xdr:nvGraphicFramePr>
        <xdr:cNvPr id="9" name="Diagramm 8">
          <a:extLst>
            <a:ext uri="{FF2B5EF4-FFF2-40B4-BE49-F238E27FC236}">
              <a16:creationId xmlns:a16="http://schemas.microsoft.com/office/drawing/2014/main" id="{41C75ED5-8739-479E-A8F6-5F47657CD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325521</xdr:colOff>
      <xdr:row>1</xdr:row>
      <xdr:rowOff>53407</xdr:rowOff>
    </xdr:from>
    <xdr:to>
      <xdr:col>18</xdr:col>
      <xdr:colOff>115971</xdr:colOff>
      <xdr:row>4</xdr:row>
      <xdr:rowOff>36600</xdr:rowOff>
    </xdr:to>
    <xdr:pic>
      <xdr:nvPicPr>
        <xdr:cNvPr id="11" name="Grafik 10" descr="Münzen Silhouette">
          <a:extLst>
            <a:ext uri="{FF2B5EF4-FFF2-40B4-BE49-F238E27FC236}">
              <a16:creationId xmlns:a16="http://schemas.microsoft.com/office/drawing/2014/main" id="{36663562-88B0-5B62-8E6A-C92D0E4E8EA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637465" y="483796"/>
          <a:ext cx="552450" cy="533526"/>
        </a:xfrm>
        <a:prstGeom prst="rect">
          <a:avLst/>
        </a:prstGeom>
      </xdr:spPr>
    </xdr:pic>
    <xdr:clientData/>
  </xdr:twoCellAnchor>
  <xdr:twoCellAnchor editAs="oneCell">
    <xdr:from>
      <xdr:col>1</xdr:col>
      <xdr:colOff>25400</xdr:colOff>
      <xdr:row>1</xdr:row>
      <xdr:rowOff>44450</xdr:rowOff>
    </xdr:from>
    <xdr:to>
      <xdr:col>1</xdr:col>
      <xdr:colOff>457200</xdr:colOff>
      <xdr:row>3</xdr:row>
      <xdr:rowOff>111125</xdr:rowOff>
    </xdr:to>
    <xdr:pic>
      <xdr:nvPicPr>
        <xdr:cNvPr id="15" name="Grafik 14" descr="Richtung mit einfarbiger Füllung">
          <a:extLst>
            <a:ext uri="{FF2B5EF4-FFF2-40B4-BE49-F238E27FC236}">
              <a16:creationId xmlns:a16="http://schemas.microsoft.com/office/drawing/2014/main" id="{5694F8AA-1999-2BF7-8E01-B727A497955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5400" y="565150"/>
          <a:ext cx="431800" cy="431800"/>
        </a:xfrm>
        <a:prstGeom prst="rect">
          <a:avLst/>
        </a:prstGeom>
      </xdr:spPr>
    </xdr:pic>
    <xdr:clientData/>
  </xdr:twoCellAnchor>
  <xdr:twoCellAnchor>
    <xdr:from>
      <xdr:col>6</xdr:col>
      <xdr:colOff>744561</xdr:colOff>
      <xdr:row>1</xdr:row>
      <xdr:rowOff>64228</xdr:rowOff>
    </xdr:from>
    <xdr:to>
      <xdr:col>10</xdr:col>
      <xdr:colOff>573111</xdr:colOff>
      <xdr:row>3</xdr:row>
      <xdr:rowOff>26128</xdr:rowOff>
    </xdr:to>
    <xdr:sp macro="" textlink="">
      <xdr:nvSpPr>
        <xdr:cNvPr id="20" name="Textfeld 19">
          <a:extLst>
            <a:ext uri="{FF2B5EF4-FFF2-40B4-BE49-F238E27FC236}">
              <a16:creationId xmlns:a16="http://schemas.microsoft.com/office/drawing/2014/main" id="{97216868-8742-EE04-0976-5A89B43F3BDE}"/>
            </a:ext>
          </a:extLst>
        </xdr:cNvPr>
        <xdr:cNvSpPr txBox="1"/>
      </xdr:nvSpPr>
      <xdr:spPr>
        <a:xfrm>
          <a:off x="4684621" y="492662"/>
          <a:ext cx="2888791" cy="3444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a:solidFill>
                <a:srgbClr val="831933"/>
              </a:solidFill>
              <a:latin typeface="Arial" panose="020B0604020202020204" pitchFamily="34" charset="0"/>
              <a:cs typeface="Arial" panose="020B0604020202020204" pitchFamily="34" charset="0"/>
            </a:rPr>
            <a:t>PROJEKTSTATUSÜBERSICHT</a:t>
          </a:r>
        </a:p>
      </xdr:txBody>
    </xdr:sp>
    <xdr:clientData/>
  </xdr:twoCellAnchor>
  <xdr:twoCellAnchor>
    <xdr:from>
      <xdr:col>17</xdr:col>
      <xdr:colOff>254186</xdr:colOff>
      <xdr:row>1</xdr:row>
      <xdr:rowOff>35565</xdr:rowOff>
    </xdr:from>
    <xdr:to>
      <xdr:col>22</xdr:col>
      <xdr:colOff>152710</xdr:colOff>
      <xdr:row>11</xdr:row>
      <xdr:rowOff>34507</xdr:rowOff>
    </xdr:to>
    <xdr:sp macro="" textlink="">
      <xdr:nvSpPr>
        <xdr:cNvPr id="21" name="Rechteck 20">
          <a:extLst>
            <a:ext uri="{FF2B5EF4-FFF2-40B4-BE49-F238E27FC236}">
              <a16:creationId xmlns:a16="http://schemas.microsoft.com/office/drawing/2014/main" id="{78D773C1-58C5-454C-9F4F-F865B8EDDC68}"/>
            </a:ext>
          </a:extLst>
        </xdr:cNvPr>
        <xdr:cNvSpPr/>
      </xdr:nvSpPr>
      <xdr:spPr>
        <a:xfrm>
          <a:off x="12609909" y="463999"/>
          <a:ext cx="3700873" cy="1911592"/>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18</xdr:col>
      <xdr:colOff>258846</xdr:colOff>
      <xdr:row>1</xdr:row>
      <xdr:rowOff>148318</xdr:rowOff>
    </xdr:from>
    <xdr:to>
      <xdr:col>21</xdr:col>
      <xdr:colOff>415636</xdr:colOff>
      <xdr:row>3</xdr:row>
      <xdr:rowOff>92364</xdr:rowOff>
    </xdr:to>
    <xdr:sp macro="" textlink="">
      <xdr:nvSpPr>
        <xdr:cNvPr id="22" name="Textfeld 21">
          <a:extLst>
            <a:ext uri="{FF2B5EF4-FFF2-40B4-BE49-F238E27FC236}">
              <a16:creationId xmlns:a16="http://schemas.microsoft.com/office/drawing/2014/main" id="{CACAB999-EF2E-4722-8DC6-7E90981C6560}"/>
            </a:ext>
          </a:extLst>
        </xdr:cNvPr>
        <xdr:cNvSpPr txBox="1"/>
      </xdr:nvSpPr>
      <xdr:spPr>
        <a:xfrm>
          <a:off x="13328301" y="575500"/>
          <a:ext cx="2442790" cy="313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a:solidFill>
                <a:srgbClr val="831933"/>
              </a:solidFill>
              <a:latin typeface="Arial" panose="020B0604020202020204" pitchFamily="34" charset="0"/>
              <a:cs typeface="Arial" panose="020B0604020202020204" pitchFamily="34" charset="0"/>
            </a:rPr>
            <a:t>BUDGETÜBERSICHT*</a:t>
          </a:r>
        </a:p>
      </xdr:txBody>
    </xdr:sp>
    <xdr:clientData/>
  </xdr:twoCellAnchor>
  <xdr:twoCellAnchor>
    <xdr:from>
      <xdr:col>1</xdr:col>
      <xdr:colOff>444500</xdr:colOff>
      <xdr:row>1</xdr:row>
      <xdr:rowOff>44450</xdr:rowOff>
    </xdr:from>
    <xdr:to>
      <xdr:col>5</xdr:col>
      <xdr:colOff>273050</xdr:colOff>
      <xdr:row>3</xdr:row>
      <xdr:rowOff>6350</xdr:rowOff>
    </xdr:to>
    <xdr:sp macro="" textlink="">
      <xdr:nvSpPr>
        <xdr:cNvPr id="23" name="Textfeld 22">
          <a:extLst>
            <a:ext uri="{FF2B5EF4-FFF2-40B4-BE49-F238E27FC236}">
              <a16:creationId xmlns:a16="http://schemas.microsoft.com/office/drawing/2014/main" id="{5EE104BB-8C9C-46F1-9DF1-83D42EAD5FB8}"/>
            </a:ext>
          </a:extLst>
        </xdr:cNvPr>
        <xdr:cNvSpPr txBox="1"/>
      </xdr:nvSpPr>
      <xdr:spPr>
        <a:xfrm>
          <a:off x="444500" y="565150"/>
          <a:ext cx="287655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a:solidFill>
                <a:srgbClr val="831933"/>
              </a:solidFill>
              <a:latin typeface="Arial" panose="020B0604020202020204" pitchFamily="34" charset="0"/>
              <a:cs typeface="Arial" panose="020B0604020202020204" pitchFamily="34" charset="0"/>
            </a:rPr>
            <a:t>PORTFOLIOÜBERSICHT</a:t>
          </a:r>
        </a:p>
      </xdr:txBody>
    </xdr:sp>
    <xdr:clientData/>
  </xdr:twoCellAnchor>
  <xdr:twoCellAnchor>
    <xdr:from>
      <xdr:col>1</xdr:col>
      <xdr:colOff>50800</xdr:colOff>
      <xdr:row>3</xdr:row>
      <xdr:rowOff>50800</xdr:rowOff>
    </xdr:from>
    <xdr:to>
      <xdr:col>5</xdr:col>
      <xdr:colOff>254000</xdr:colOff>
      <xdr:row>4</xdr:row>
      <xdr:rowOff>158750</xdr:rowOff>
    </xdr:to>
    <xdr:sp macro="" textlink="">
      <xdr:nvSpPr>
        <xdr:cNvPr id="26" name="Textfeld 25">
          <a:extLst>
            <a:ext uri="{FF2B5EF4-FFF2-40B4-BE49-F238E27FC236}">
              <a16:creationId xmlns:a16="http://schemas.microsoft.com/office/drawing/2014/main" id="{B362A4D4-55E0-93BC-4134-5BBB2C9E563B}"/>
            </a:ext>
          </a:extLst>
        </xdr:cNvPr>
        <xdr:cNvSpPr txBox="1"/>
      </xdr:nvSpPr>
      <xdr:spPr>
        <a:xfrm>
          <a:off x="50800" y="939800"/>
          <a:ext cx="325120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ANZAHL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PROJEKTE</a:t>
          </a:r>
          <a:r>
            <a:rPr lang="de-AT" sz="1400" baseline="0">
              <a:solidFill>
                <a:srgbClr val="831933"/>
              </a:solidFill>
              <a:latin typeface="Arial" panose="020B0604020202020204" pitchFamily="34" charset="0"/>
              <a:cs typeface="Arial" panose="020B0604020202020204" pitchFamily="34" charset="0"/>
            </a:rPr>
            <a:t> IM PORTFOLIO</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5</xdr:col>
      <xdr:colOff>165100</xdr:colOff>
      <xdr:row>3</xdr:row>
      <xdr:rowOff>57150</xdr:rowOff>
    </xdr:from>
    <xdr:to>
      <xdr:col>5</xdr:col>
      <xdr:colOff>736600</xdr:colOff>
      <xdr:row>4</xdr:row>
      <xdr:rowOff>165100</xdr:rowOff>
    </xdr:to>
    <xdr:sp macro="" textlink="Arbeitsbereich!F4">
      <xdr:nvSpPr>
        <xdr:cNvPr id="27" name="Textfeld 26">
          <a:extLst>
            <a:ext uri="{FF2B5EF4-FFF2-40B4-BE49-F238E27FC236}">
              <a16:creationId xmlns:a16="http://schemas.microsoft.com/office/drawing/2014/main" id="{9C00E336-6433-470E-A400-85C5EE64AD85}"/>
            </a:ext>
          </a:extLst>
        </xdr:cNvPr>
        <xdr:cNvSpPr txBox="1"/>
      </xdr:nvSpPr>
      <xdr:spPr>
        <a:xfrm>
          <a:off x="3213100" y="946150"/>
          <a:ext cx="57150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E9802A-86F6-4A77-9E8D-B91A82A7A372}" type="TxLink">
            <a:rPr lang="en-US" sz="1400" b="0" i="0" u="none" strike="noStrike">
              <a:solidFill>
                <a:srgbClr val="000000"/>
              </a:solidFill>
              <a:latin typeface="Arial" panose="020B0604020202020204" pitchFamily="34" charset="0"/>
              <a:cs typeface="Arial" panose="020B0604020202020204" pitchFamily="34" charset="0"/>
            </a:rPr>
            <a:pPr algn="ctr"/>
            <a:t>1</a:t>
          </a:fld>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53521</xdr:colOff>
      <xdr:row>5</xdr:row>
      <xdr:rowOff>188685</xdr:rowOff>
    </xdr:from>
    <xdr:to>
      <xdr:col>4</xdr:col>
      <xdr:colOff>434521</xdr:colOff>
      <xdr:row>9</xdr:row>
      <xdr:rowOff>12699</xdr:rowOff>
    </xdr:to>
    <xdr:sp macro="" textlink="">
      <xdr:nvSpPr>
        <xdr:cNvPr id="29" name="Textfeld 28">
          <a:extLst>
            <a:ext uri="{FF2B5EF4-FFF2-40B4-BE49-F238E27FC236}">
              <a16:creationId xmlns:a16="http://schemas.microsoft.com/office/drawing/2014/main" id="{859E01C2-BBB0-4302-AC4C-1812A535B0EF}"/>
            </a:ext>
          </a:extLst>
        </xdr:cNvPr>
        <xdr:cNvSpPr txBox="1"/>
      </xdr:nvSpPr>
      <xdr:spPr>
        <a:xfrm>
          <a:off x="171450" y="1386114"/>
          <a:ext cx="2667000" cy="5860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PROJEKTAUTRAG</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editAs="oneCell">
    <xdr:from>
      <xdr:col>2</xdr:col>
      <xdr:colOff>311727</xdr:colOff>
      <xdr:row>6</xdr:row>
      <xdr:rowOff>118711</xdr:rowOff>
    </xdr:from>
    <xdr:to>
      <xdr:col>6</xdr:col>
      <xdr:colOff>512762</xdr:colOff>
      <xdr:row>13</xdr:row>
      <xdr:rowOff>169286</xdr:rowOff>
    </xdr:to>
    <xdr:graphicFrame macro="">
      <xdr:nvGraphicFramePr>
        <xdr:cNvPr id="32" name="Diagramm 31">
          <a:extLst>
            <a:ext uri="{FF2B5EF4-FFF2-40B4-BE49-F238E27FC236}">
              <a16:creationId xmlns:a16="http://schemas.microsoft.com/office/drawing/2014/main" id="{BD9954C1-A493-4035-9558-1B7B38664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72572</xdr:colOff>
      <xdr:row>14</xdr:row>
      <xdr:rowOff>35832</xdr:rowOff>
    </xdr:from>
    <xdr:to>
      <xdr:col>5</xdr:col>
      <xdr:colOff>555172</xdr:colOff>
      <xdr:row>21</xdr:row>
      <xdr:rowOff>146957</xdr:rowOff>
    </xdr:to>
    <xdr:graphicFrame macro="">
      <xdr:nvGraphicFramePr>
        <xdr:cNvPr id="35" name="Diagramm 34">
          <a:extLst>
            <a:ext uri="{FF2B5EF4-FFF2-40B4-BE49-F238E27FC236}">
              <a16:creationId xmlns:a16="http://schemas.microsoft.com/office/drawing/2014/main" id="{6BFF17A3-5E1E-4EE0-865D-E762D04DF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473364</xdr:colOff>
      <xdr:row>11</xdr:row>
      <xdr:rowOff>74084</xdr:rowOff>
    </xdr:from>
    <xdr:to>
      <xdr:col>22</xdr:col>
      <xdr:colOff>150091</xdr:colOff>
      <xdr:row>25</xdr:row>
      <xdr:rowOff>80818</xdr:rowOff>
    </xdr:to>
    <xdr:sp macro="" textlink="">
      <xdr:nvSpPr>
        <xdr:cNvPr id="85" name="Rechteck 84">
          <a:extLst>
            <a:ext uri="{FF2B5EF4-FFF2-40B4-BE49-F238E27FC236}">
              <a16:creationId xmlns:a16="http://schemas.microsoft.com/office/drawing/2014/main" id="{C79133BE-749B-452A-8986-A97715AB859A}"/>
            </a:ext>
          </a:extLst>
        </xdr:cNvPr>
        <xdr:cNvSpPr/>
      </xdr:nvSpPr>
      <xdr:spPr>
        <a:xfrm>
          <a:off x="11291455" y="2463993"/>
          <a:ext cx="5749636" cy="2754552"/>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14</xdr:col>
      <xdr:colOff>510290</xdr:colOff>
      <xdr:row>13</xdr:row>
      <xdr:rowOff>168275</xdr:rowOff>
    </xdr:from>
    <xdr:to>
      <xdr:col>19</xdr:col>
      <xdr:colOff>567441</xdr:colOff>
      <xdr:row>15</xdr:row>
      <xdr:rowOff>137583</xdr:rowOff>
    </xdr:to>
    <xdr:sp macro="" textlink="">
      <xdr:nvSpPr>
        <xdr:cNvPr id="86" name="Textfeld 85">
          <a:extLst>
            <a:ext uri="{FF2B5EF4-FFF2-40B4-BE49-F238E27FC236}">
              <a16:creationId xmlns:a16="http://schemas.microsoft.com/office/drawing/2014/main" id="{608B8996-BAA4-4A9F-A493-D60E2CCA8557}"/>
            </a:ext>
          </a:extLst>
        </xdr:cNvPr>
        <xdr:cNvSpPr txBox="1"/>
      </xdr:nvSpPr>
      <xdr:spPr>
        <a:xfrm>
          <a:off x="11328381" y="2950730"/>
          <a:ext cx="3867151" cy="3618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 PROJEKTLAUFZEIT IN ARBEITSTAGEN</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15</xdr:col>
      <xdr:colOff>72142</xdr:colOff>
      <xdr:row>11</xdr:row>
      <xdr:rowOff>169333</xdr:rowOff>
    </xdr:from>
    <xdr:to>
      <xdr:col>18</xdr:col>
      <xdr:colOff>662692</xdr:colOff>
      <xdr:row>13</xdr:row>
      <xdr:rowOff>131232</xdr:rowOff>
    </xdr:to>
    <xdr:sp macro="" textlink="">
      <xdr:nvSpPr>
        <xdr:cNvPr id="88" name="Textfeld 87">
          <a:extLst>
            <a:ext uri="{FF2B5EF4-FFF2-40B4-BE49-F238E27FC236}">
              <a16:creationId xmlns:a16="http://schemas.microsoft.com/office/drawing/2014/main" id="{4A16D866-FDFC-4498-A345-1597247ADF54}"/>
            </a:ext>
          </a:extLst>
        </xdr:cNvPr>
        <xdr:cNvSpPr txBox="1"/>
      </xdr:nvSpPr>
      <xdr:spPr>
        <a:xfrm>
          <a:off x="11652233" y="2559242"/>
          <a:ext cx="2876550" cy="3544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a:solidFill>
                <a:srgbClr val="831933"/>
              </a:solidFill>
              <a:latin typeface="Arial" panose="020B0604020202020204" pitchFamily="34" charset="0"/>
              <a:cs typeface="Arial" panose="020B0604020202020204" pitchFamily="34" charset="0"/>
            </a:rPr>
            <a:t>PROJEKTLAUFZEIT</a:t>
          </a:r>
        </a:p>
      </xdr:txBody>
    </xdr:sp>
    <xdr:clientData/>
  </xdr:twoCellAnchor>
  <xdr:twoCellAnchor editAs="oneCell">
    <xdr:from>
      <xdr:col>14</xdr:col>
      <xdr:colOff>499796</xdr:colOff>
      <xdr:row>11</xdr:row>
      <xdr:rowOff>137585</xdr:rowOff>
    </xdr:from>
    <xdr:to>
      <xdr:col>15</xdr:col>
      <xdr:colOff>118795</xdr:colOff>
      <xdr:row>13</xdr:row>
      <xdr:rowOff>168275</xdr:rowOff>
    </xdr:to>
    <xdr:pic>
      <xdr:nvPicPr>
        <xdr:cNvPr id="90" name="Grafik 89" descr="Uhr Silhouette">
          <a:extLst>
            <a:ext uri="{FF2B5EF4-FFF2-40B4-BE49-F238E27FC236}">
              <a16:creationId xmlns:a16="http://schemas.microsoft.com/office/drawing/2014/main" id="{42076099-692E-B15F-CD30-185F2452C88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317887" y="2527494"/>
          <a:ext cx="380999" cy="423236"/>
        </a:xfrm>
        <a:prstGeom prst="rect">
          <a:avLst/>
        </a:prstGeom>
      </xdr:spPr>
    </xdr:pic>
    <xdr:clientData/>
  </xdr:twoCellAnchor>
  <xdr:twoCellAnchor>
    <xdr:from>
      <xdr:col>19</xdr:col>
      <xdr:colOff>521932</xdr:colOff>
      <xdr:row>13</xdr:row>
      <xdr:rowOff>127000</xdr:rowOff>
    </xdr:from>
    <xdr:to>
      <xdr:col>21</xdr:col>
      <xdr:colOff>76199</xdr:colOff>
      <xdr:row>15</xdr:row>
      <xdr:rowOff>91018</xdr:rowOff>
    </xdr:to>
    <xdr:sp macro="" textlink="Arbeitsbereich!E113">
      <xdr:nvSpPr>
        <xdr:cNvPr id="91" name="Textfeld 90">
          <a:extLst>
            <a:ext uri="{FF2B5EF4-FFF2-40B4-BE49-F238E27FC236}">
              <a16:creationId xmlns:a16="http://schemas.microsoft.com/office/drawing/2014/main" id="{162D40DD-4ED3-4D91-A83E-87E02805E42A}"/>
            </a:ext>
          </a:extLst>
        </xdr:cNvPr>
        <xdr:cNvSpPr txBox="1"/>
      </xdr:nvSpPr>
      <xdr:spPr>
        <a:xfrm>
          <a:off x="15190432" y="2844800"/>
          <a:ext cx="1078267" cy="345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76F702-C1DA-4880-A113-BC70D2AA9240}" type="TxLink">
            <a:rPr lang="en-US" sz="1400" b="0" i="0" u="none" strike="noStrike">
              <a:solidFill>
                <a:srgbClr val="000000"/>
              </a:solidFill>
              <a:latin typeface="Arial" panose="020B0604020202020204" pitchFamily="34" charset="0"/>
              <a:cs typeface="Arial" panose="020B0604020202020204" pitchFamily="34" charset="0"/>
            </a:rPr>
            <a:pPr algn="ctr"/>
            <a:t>#DIV/0!</a:t>
          </a:fld>
          <a:endParaRPr lang="de-AT" sz="1800">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14</xdr:col>
      <xdr:colOff>528646</xdr:colOff>
      <xdr:row>16</xdr:row>
      <xdr:rowOff>42333</xdr:rowOff>
    </xdr:from>
    <xdr:to>
      <xdr:col>18</xdr:col>
      <xdr:colOff>71446</xdr:colOff>
      <xdr:row>17</xdr:row>
      <xdr:rowOff>148771</xdr:rowOff>
    </xdr:to>
    <xdr:sp macro="" textlink="">
      <xdr:nvSpPr>
        <xdr:cNvPr id="94" name="Textfeld 93">
          <a:extLst>
            <a:ext uri="{FF2B5EF4-FFF2-40B4-BE49-F238E27FC236}">
              <a16:creationId xmlns:a16="http://schemas.microsoft.com/office/drawing/2014/main" id="{99546241-D85D-4D0D-96C8-81882D1E9965}"/>
            </a:ext>
          </a:extLst>
        </xdr:cNvPr>
        <xdr:cNvSpPr txBox="1"/>
      </xdr:nvSpPr>
      <xdr:spPr>
        <a:xfrm>
          <a:off x="11346737" y="3413606"/>
          <a:ext cx="2590800" cy="3027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PROJEKTDAUER</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525107</xdr:colOff>
      <xdr:row>17</xdr:row>
      <xdr:rowOff>168275</xdr:rowOff>
    </xdr:from>
    <xdr:to>
      <xdr:col>22</xdr:col>
      <xdr:colOff>23092</xdr:colOff>
      <xdr:row>24</xdr:row>
      <xdr:rowOff>21167</xdr:rowOff>
    </xdr:to>
    <xdr:graphicFrame macro="">
      <xdr:nvGraphicFramePr>
        <xdr:cNvPr id="95" name="Diagramm 94">
          <a:extLst>
            <a:ext uri="{FF2B5EF4-FFF2-40B4-BE49-F238E27FC236}">
              <a16:creationId xmlns:a16="http://schemas.microsoft.com/office/drawing/2014/main" id="{A6CE1712-0EE8-4830-AD42-16C48F0C9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304290</xdr:colOff>
      <xdr:row>1</xdr:row>
      <xdr:rowOff>34924</xdr:rowOff>
    </xdr:from>
    <xdr:to>
      <xdr:col>7</xdr:col>
      <xdr:colOff>22889</xdr:colOff>
      <xdr:row>3</xdr:row>
      <xdr:rowOff>168275</xdr:rowOff>
    </xdr:to>
    <xdr:pic>
      <xdr:nvPicPr>
        <xdr:cNvPr id="10" name="Grafik 9" descr="Balkendiagramm mit Aufwärtstrend mit einfarbiger Füllung">
          <a:extLst>
            <a:ext uri="{FF2B5EF4-FFF2-40B4-BE49-F238E27FC236}">
              <a16:creationId xmlns:a16="http://schemas.microsoft.com/office/drawing/2014/main" id="{03D6B8DC-9587-A6D8-4778-67ABED3E5D9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244350" y="463358"/>
          <a:ext cx="483659" cy="515881"/>
        </a:xfrm>
        <a:prstGeom prst="rect">
          <a:avLst/>
        </a:prstGeom>
      </xdr:spPr>
    </xdr:pic>
    <xdr:clientData/>
  </xdr:twoCellAnchor>
  <xdr:twoCellAnchor>
    <xdr:from>
      <xdr:col>14</xdr:col>
      <xdr:colOff>759800</xdr:colOff>
      <xdr:row>1</xdr:row>
      <xdr:rowOff>122099</xdr:rowOff>
    </xdr:from>
    <xdr:to>
      <xdr:col>17</xdr:col>
      <xdr:colOff>141112</xdr:colOff>
      <xdr:row>2</xdr:row>
      <xdr:rowOff>162279</xdr:rowOff>
    </xdr:to>
    <xdr:sp macro="" textlink="">
      <xdr:nvSpPr>
        <xdr:cNvPr id="39" name="Textfeld 38">
          <a:extLst>
            <a:ext uri="{FF2B5EF4-FFF2-40B4-BE49-F238E27FC236}">
              <a16:creationId xmlns:a16="http://schemas.microsoft.com/office/drawing/2014/main" id="{759DB5B1-F998-4373-A1A5-2827F2B48636}"/>
            </a:ext>
          </a:extLst>
        </xdr:cNvPr>
        <xdr:cNvSpPr txBox="1"/>
      </xdr:nvSpPr>
      <xdr:spPr>
        <a:xfrm>
          <a:off x="10785744" y="552488"/>
          <a:ext cx="1667312" cy="2236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a:solidFill>
                <a:srgbClr val="831933"/>
              </a:solidFill>
              <a:latin typeface="Arial" panose="020B0604020202020204" pitchFamily="34" charset="0"/>
              <a:cs typeface="Arial" panose="020B0604020202020204" pitchFamily="34" charset="0"/>
            </a:rPr>
            <a:t>PROJEKTAMPEL</a:t>
          </a:r>
        </a:p>
      </xdr:txBody>
    </xdr:sp>
    <xdr:clientData/>
  </xdr:twoCellAnchor>
  <xdr:twoCellAnchor>
    <xdr:from>
      <xdr:col>14</xdr:col>
      <xdr:colOff>487991</xdr:colOff>
      <xdr:row>1</xdr:row>
      <xdr:rowOff>77414</xdr:rowOff>
    </xdr:from>
    <xdr:to>
      <xdr:col>15</xdr:col>
      <xdr:colOff>94859</xdr:colOff>
      <xdr:row>3</xdr:row>
      <xdr:rowOff>92835</xdr:rowOff>
    </xdr:to>
    <xdr:pic>
      <xdr:nvPicPr>
        <xdr:cNvPr id="41" name="Grafik 40" descr="Ampel mit einfarbiger Füllung">
          <a:extLst>
            <a:ext uri="{FF2B5EF4-FFF2-40B4-BE49-F238E27FC236}">
              <a16:creationId xmlns:a16="http://schemas.microsoft.com/office/drawing/2014/main" id="{3B62FDBD-CBE7-04C0-5CC5-B2206760917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548533" y="505848"/>
          <a:ext cx="371928" cy="397951"/>
        </a:xfrm>
        <a:prstGeom prst="rect">
          <a:avLst/>
        </a:prstGeom>
      </xdr:spPr>
    </xdr:pic>
    <xdr:clientData/>
  </xdr:twoCellAnchor>
  <xdr:twoCellAnchor>
    <xdr:from>
      <xdr:col>14</xdr:col>
      <xdr:colOff>512538</xdr:colOff>
      <xdr:row>3</xdr:row>
      <xdr:rowOff>113667</xdr:rowOff>
    </xdr:from>
    <xdr:to>
      <xdr:col>16</xdr:col>
      <xdr:colOff>764419</xdr:colOff>
      <xdr:row>5</xdr:row>
      <xdr:rowOff>92199</xdr:rowOff>
    </xdr:to>
    <xdr:sp macro="" textlink="">
      <xdr:nvSpPr>
        <xdr:cNvPr id="42" name="Textfeld 41">
          <a:extLst>
            <a:ext uri="{FF2B5EF4-FFF2-40B4-BE49-F238E27FC236}">
              <a16:creationId xmlns:a16="http://schemas.microsoft.com/office/drawing/2014/main" id="{DF021C35-D29D-4920-B018-7D9D6020F8D4}"/>
            </a:ext>
          </a:extLst>
        </xdr:cNvPr>
        <xdr:cNvSpPr txBox="1"/>
      </xdr:nvSpPr>
      <xdr:spPr>
        <a:xfrm>
          <a:off x="10573080" y="924631"/>
          <a:ext cx="1782002" cy="3610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GESAMTSTATUS</a:t>
          </a:r>
          <a:endParaRPr lang="de-AT" sz="1400" b="0">
            <a:solidFill>
              <a:srgbClr val="831933"/>
            </a:solidFill>
            <a:latin typeface="Arial" panose="020B0604020202020204" pitchFamily="34" charset="0"/>
            <a:cs typeface="Arial" panose="020B0604020202020204" pitchFamily="34" charset="0"/>
          </a:endParaRPr>
        </a:p>
      </xdr:txBody>
    </xdr:sp>
    <xdr:clientData/>
  </xdr:twoCellAnchor>
  <xdr:twoCellAnchor>
    <xdr:from>
      <xdr:col>15</xdr:col>
      <xdr:colOff>564643</xdr:colOff>
      <xdr:row>5</xdr:row>
      <xdr:rowOff>149066</xdr:rowOff>
    </xdr:from>
    <xdr:to>
      <xdr:col>16</xdr:col>
      <xdr:colOff>68571</xdr:colOff>
      <xdr:row>9</xdr:row>
      <xdr:rowOff>115228</xdr:rowOff>
    </xdr:to>
    <xdr:grpSp>
      <xdr:nvGrpSpPr>
        <xdr:cNvPr id="50" name="Gruppieren 49">
          <a:extLst>
            <a:ext uri="{FF2B5EF4-FFF2-40B4-BE49-F238E27FC236}">
              <a16:creationId xmlns:a16="http://schemas.microsoft.com/office/drawing/2014/main" id="{21B37C8B-E2F7-7A84-4FA1-597D95FE26F8}"/>
            </a:ext>
          </a:extLst>
        </xdr:cNvPr>
        <xdr:cNvGrpSpPr/>
      </xdr:nvGrpSpPr>
      <xdr:grpSpPr>
        <a:xfrm>
          <a:off x="12185143" y="1342866"/>
          <a:ext cx="265928" cy="728162"/>
          <a:chOff x="7354071" y="2875841"/>
          <a:chExt cx="272832" cy="706388"/>
        </a:xfrm>
      </xdr:grpSpPr>
      <xdr:sp macro="" textlink="">
        <xdr:nvSpPr>
          <xdr:cNvPr id="49" name="Rechteck: abgerundete Ecken 48">
            <a:extLst>
              <a:ext uri="{FF2B5EF4-FFF2-40B4-BE49-F238E27FC236}">
                <a16:creationId xmlns:a16="http://schemas.microsoft.com/office/drawing/2014/main" id="{8AAD412D-C23E-D97D-382F-30B5E259FADA}"/>
              </a:ext>
            </a:extLst>
          </xdr:cNvPr>
          <xdr:cNvSpPr/>
        </xdr:nvSpPr>
        <xdr:spPr>
          <a:xfrm>
            <a:off x="7354071" y="2875841"/>
            <a:ext cx="272832" cy="706388"/>
          </a:xfrm>
          <a:prstGeom prst="roundRect">
            <a:avLst/>
          </a:prstGeom>
          <a:solidFill>
            <a:schemeClr val="bg1">
              <a:alpha val="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46" name="Ellipse 45">
            <a:extLst>
              <a:ext uri="{FF2B5EF4-FFF2-40B4-BE49-F238E27FC236}">
                <a16:creationId xmlns:a16="http://schemas.microsoft.com/office/drawing/2014/main" id="{6B4EC2ED-B534-3CB8-E5CC-C229C970847B}"/>
              </a:ext>
            </a:extLst>
          </xdr:cNvPr>
          <xdr:cNvSpPr/>
        </xdr:nvSpPr>
        <xdr:spPr>
          <a:xfrm>
            <a:off x="7400707" y="2916660"/>
            <a:ext cx="180000" cy="181480"/>
          </a:xfrm>
          <a:prstGeom prst="ellipse">
            <a:avLst/>
          </a:prstGeom>
          <a:solidFill>
            <a:srgbClr val="FF000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47" name="Ellipse 46">
            <a:extLst>
              <a:ext uri="{FF2B5EF4-FFF2-40B4-BE49-F238E27FC236}">
                <a16:creationId xmlns:a16="http://schemas.microsoft.com/office/drawing/2014/main" id="{38B83EC5-7EC2-41DA-863F-E6DF1201F307}"/>
              </a:ext>
            </a:extLst>
          </xdr:cNvPr>
          <xdr:cNvSpPr/>
        </xdr:nvSpPr>
        <xdr:spPr>
          <a:xfrm>
            <a:off x="7398893" y="3143112"/>
            <a:ext cx="180000" cy="181478"/>
          </a:xfrm>
          <a:prstGeom prst="ellipse">
            <a:avLst/>
          </a:prstGeom>
          <a:solidFill>
            <a:srgbClr val="FFFF0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48" name="Ellipse 47">
            <a:extLst>
              <a:ext uri="{FF2B5EF4-FFF2-40B4-BE49-F238E27FC236}">
                <a16:creationId xmlns:a16="http://schemas.microsoft.com/office/drawing/2014/main" id="{4C2B3812-3F65-4DAA-A214-B74F6D89F14C}"/>
              </a:ext>
            </a:extLst>
          </xdr:cNvPr>
          <xdr:cNvSpPr/>
        </xdr:nvSpPr>
        <xdr:spPr>
          <a:xfrm>
            <a:off x="7404952" y="3363054"/>
            <a:ext cx="180000" cy="181479"/>
          </a:xfrm>
          <a:prstGeom prst="ellipse">
            <a:avLst/>
          </a:prstGeom>
          <a:solidFill>
            <a:srgbClr val="00B05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grpSp>
    <xdr:clientData/>
  </xdr:twoCellAnchor>
  <xdr:twoCellAnchor>
    <xdr:from>
      <xdr:col>14</xdr:col>
      <xdr:colOff>724395</xdr:colOff>
      <xdr:row>5</xdr:row>
      <xdr:rowOff>114673</xdr:rowOff>
    </xdr:from>
    <xdr:to>
      <xdr:col>15</xdr:col>
      <xdr:colOff>534637</xdr:colOff>
      <xdr:row>7</xdr:row>
      <xdr:rowOff>35558</xdr:rowOff>
    </xdr:to>
    <xdr:sp macro="" textlink="Arbeitsbereich!G102">
      <xdr:nvSpPr>
        <xdr:cNvPr id="67" name="Textfeld 66">
          <a:extLst>
            <a:ext uri="{FF2B5EF4-FFF2-40B4-BE49-F238E27FC236}">
              <a16:creationId xmlns:a16="http://schemas.microsoft.com/office/drawing/2014/main" id="{B2409B37-2561-4FFF-9F28-D7918DA8B9FD}"/>
            </a:ext>
          </a:extLst>
        </xdr:cNvPr>
        <xdr:cNvSpPr txBox="1"/>
      </xdr:nvSpPr>
      <xdr:spPr>
        <a:xfrm>
          <a:off x="10784937" y="1308167"/>
          <a:ext cx="575302" cy="3034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5CAEE8D-C0B5-4170-8EC6-23B758D0B4FA}" type="TxLink">
            <a:rPr lang="en-US" sz="1100" b="0" i="0" u="none" strike="noStrike">
              <a:solidFill>
                <a:srgbClr val="000000"/>
              </a:solidFill>
              <a:latin typeface="Aptos Narrow"/>
              <a:cs typeface="Arial" panose="020B0604020202020204" pitchFamily="34" charset="0"/>
            </a:rPr>
            <a:pPr algn="r"/>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730711</xdr:colOff>
      <xdr:row>6</xdr:row>
      <xdr:rowOff>150921</xdr:rowOff>
    </xdr:from>
    <xdr:to>
      <xdr:col>15</xdr:col>
      <xdr:colOff>540953</xdr:colOff>
      <xdr:row>8</xdr:row>
      <xdr:rowOff>73402</xdr:rowOff>
    </xdr:to>
    <xdr:sp macro="" textlink="Arbeitsbereich!G101">
      <xdr:nvSpPr>
        <xdr:cNvPr id="68" name="Textfeld 67">
          <a:extLst>
            <a:ext uri="{FF2B5EF4-FFF2-40B4-BE49-F238E27FC236}">
              <a16:creationId xmlns:a16="http://schemas.microsoft.com/office/drawing/2014/main" id="{63D89DFD-3765-4910-BD5B-9D0DD3BAE41D}"/>
            </a:ext>
          </a:extLst>
        </xdr:cNvPr>
        <xdr:cNvSpPr txBox="1"/>
      </xdr:nvSpPr>
      <xdr:spPr>
        <a:xfrm>
          <a:off x="10791253" y="1535680"/>
          <a:ext cx="575302" cy="3050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4EB5D14-5B04-4373-877E-C7C34692A2AD}" type="TxLink">
            <a:rPr lang="en-US" sz="1100" b="0" i="0" u="none" strike="noStrike">
              <a:solidFill>
                <a:srgbClr val="000000"/>
              </a:solidFill>
              <a:latin typeface="Aptos Narrow"/>
              <a:cs typeface="Arial" panose="020B0604020202020204" pitchFamily="34" charset="0"/>
            </a:rPr>
            <a:pPr algn="r"/>
            <a:t>100%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731759</xdr:colOff>
      <xdr:row>7</xdr:row>
      <xdr:rowOff>189440</xdr:rowOff>
    </xdr:from>
    <xdr:to>
      <xdr:col>15</xdr:col>
      <xdr:colOff>542001</xdr:colOff>
      <xdr:row>9</xdr:row>
      <xdr:rowOff>112367</xdr:rowOff>
    </xdr:to>
    <xdr:sp macro="" textlink="Arbeitsbereich!G100">
      <xdr:nvSpPr>
        <xdr:cNvPr id="69" name="Textfeld 68">
          <a:extLst>
            <a:ext uri="{FF2B5EF4-FFF2-40B4-BE49-F238E27FC236}">
              <a16:creationId xmlns:a16="http://schemas.microsoft.com/office/drawing/2014/main" id="{15BCE533-E881-43D7-AB10-D7A8F19B9B35}"/>
            </a:ext>
          </a:extLst>
        </xdr:cNvPr>
        <xdr:cNvSpPr txBox="1"/>
      </xdr:nvSpPr>
      <xdr:spPr>
        <a:xfrm>
          <a:off x="10792301" y="1765464"/>
          <a:ext cx="575302" cy="3054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B176928-3A2C-4775-B8BE-7DFC3A58C7FA}" type="TxLink">
            <a:rPr lang="en-US" sz="1100" b="0" i="0" u="none" strike="noStrike">
              <a:solidFill>
                <a:srgbClr val="000000"/>
              </a:solidFill>
              <a:latin typeface="Aptos Narrow"/>
              <a:cs typeface="Arial" panose="020B0604020202020204" pitchFamily="34" charset="0"/>
            </a:rPr>
            <a:pPr algn="r"/>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466219</xdr:colOff>
      <xdr:row>1</xdr:row>
      <xdr:rowOff>36285</xdr:rowOff>
    </xdr:from>
    <xdr:to>
      <xdr:col>17</xdr:col>
      <xdr:colOff>209346</xdr:colOff>
      <xdr:row>11</xdr:row>
      <xdr:rowOff>19237</xdr:rowOff>
    </xdr:to>
    <xdr:sp macro="" textlink="">
      <xdr:nvSpPr>
        <xdr:cNvPr id="24" name="Rechteck 23">
          <a:extLst>
            <a:ext uri="{FF2B5EF4-FFF2-40B4-BE49-F238E27FC236}">
              <a16:creationId xmlns:a16="http://schemas.microsoft.com/office/drawing/2014/main" id="{A8417E9F-A3CE-48EF-8874-3A563DEB1F91}"/>
            </a:ext>
          </a:extLst>
        </xdr:cNvPr>
        <xdr:cNvSpPr/>
      </xdr:nvSpPr>
      <xdr:spPr>
        <a:xfrm>
          <a:off x="10526761" y="464719"/>
          <a:ext cx="2038308" cy="1895602"/>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xdr:col>
      <xdr:colOff>38076</xdr:colOff>
      <xdr:row>26</xdr:row>
      <xdr:rowOff>115455</xdr:rowOff>
    </xdr:from>
    <xdr:to>
      <xdr:col>6</xdr:col>
      <xdr:colOff>244475</xdr:colOff>
      <xdr:row>39</xdr:row>
      <xdr:rowOff>149807</xdr:rowOff>
    </xdr:to>
    <xdr:graphicFrame macro="">
      <xdr:nvGraphicFramePr>
        <xdr:cNvPr id="87" name="Diagramm 86">
          <a:extLst>
            <a:ext uri="{FF2B5EF4-FFF2-40B4-BE49-F238E27FC236}">
              <a16:creationId xmlns:a16="http://schemas.microsoft.com/office/drawing/2014/main" id="{937DD1CA-2FD5-4490-BA35-61C27C0DF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359922</xdr:colOff>
      <xdr:row>31</xdr:row>
      <xdr:rowOff>85244</xdr:rowOff>
    </xdr:from>
    <xdr:to>
      <xdr:col>5</xdr:col>
      <xdr:colOff>191532</xdr:colOff>
      <xdr:row>33</xdr:row>
      <xdr:rowOff>47145</xdr:rowOff>
    </xdr:to>
    <xdr:sp macro="" textlink="">
      <xdr:nvSpPr>
        <xdr:cNvPr id="12" name="Textfeld 11">
          <a:extLst>
            <a:ext uri="{FF2B5EF4-FFF2-40B4-BE49-F238E27FC236}">
              <a16:creationId xmlns:a16="http://schemas.microsoft.com/office/drawing/2014/main" id="{889F4752-FBFE-4E10-9EF3-5D1E681FC57D}"/>
            </a:ext>
          </a:extLst>
        </xdr:cNvPr>
        <xdr:cNvSpPr txBox="1"/>
      </xdr:nvSpPr>
      <xdr:spPr>
        <a:xfrm>
          <a:off x="1272013" y="6400608"/>
          <a:ext cx="2879610" cy="3544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a:solidFill>
                <a:srgbClr val="831933"/>
              </a:solidFill>
              <a:latin typeface="Arial" panose="020B0604020202020204" pitchFamily="34" charset="0"/>
              <a:cs typeface="Arial" panose="020B0604020202020204" pitchFamily="34" charset="0"/>
            </a:rPr>
            <a:t>GESAMTPROJEKTRISIKO</a:t>
          </a:r>
        </a:p>
      </xdr:txBody>
    </xdr:sp>
    <xdr:clientData/>
  </xdr:twoCellAnchor>
  <xdr:twoCellAnchor>
    <xdr:from>
      <xdr:col>15</xdr:col>
      <xdr:colOff>56471</xdr:colOff>
      <xdr:row>25</xdr:row>
      <xdr:rowOff>192320</xdr:rowOff>
    </xdr:from>
    <xdr:to>
      <xdr:col>18</xdr:col>
      <xdr:colOff>245798</xdr:colOff>
      <xdr:row>27</xdr:row>
      <xdr:rowOff>167844</xdr:rowOff>
    </xdr:to>
    <xdr:sp macro="" textlink="">
      <xdr:nvSpPr>
        <xdr:cNvPr id="31" name="Textfeld 30">
          <a:extLst>
            <a:ext uri="{FF2B5EF4-FFF2-40B4-BE49-F238E27FC236}">
              <a16:creationId xmlns:a16="http://schemas.microsoft.com/office/drawing/2014/main" id="{5F24B124-0C13-4A09-B04E-C4FE424BBA03}"/>
            </a:ext>
          </a:extLst>
        </xdr:cNvPr>
        <xdr:cNvSpPr txBox="1"/>
      </xdr:nvSpPr>
      <xdr:spPr>
        <a:xfrm>
          <a:off x="11636562" y="5330047"/>
          <a:ext cx="2475327" cy="3680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a:solidFill>
                <a:srgbClr val="831933"/>
              </a:solidFill>
              <a:latin typeface="Arial" panose="020B0604020202020204" pitchFamily="34" charset="0"/>
              <a:cs typeface="Arial" panose="020B0604020202020204" pitchFamily="34" charset="0"/>
            </a:rPr>
            <a:t>PROJEKTPRIORITÄT</a:t>
          </a:r>
        </a:p>
      </xdr:txBody>
    </xdr:sp>
    <xdr:clientData/>
  </xdr:twoCellAnchor>
  <xdr:twoCellAnchor>
    <xdr:from>
      <xdr:col>14</xdr:col>
      <xdr:colOff>492390</xdr:colOff>
      <xdr:row>26</xdr:row>
      <xdr:rowOff>46186</xdr:rowOff>
    </xdr:from>
    <xdr:to>
      <xdr:col>15</xdr:col>
      <xdr:colOff>94571</xdr:colOff>
      <xdr:row>27</xdr:row>
      <xdr:rowOff>167845</xdr:rowOff>
    </xdr:to>
    <xdr:pic>
      <xdr:nvPicPr>
        <xdr:cNvPr id="40" name="Grafik 39" descr="Prioritäten mit einfarbiger Füllung">
          <a:extLst>
            <a:ext uri="{FF2B5EF4-FFF2-40B4-BE49-F238E27FC236}">
              <a16:creationId xmlns:a16="http://schemas.microsoft.com/office/drawing/2014/main" id="{CEF6977F-2521-02F0-FBFC-2CB5D5603602}"/>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310481" y="5380186"/>
          <a:ext cx="364181" cy="317932"/>
        </a:xfrm>
        <a:prstGeom prst="rect">
          <a:avLst/>
        </a:prstGeom>
      </xdr:spPr>
    </xdr:pic>
    <xdr:clientData/>
  </xdr:twoCellAnchor>
  <xdr:twoCellAnchor editAs="oneCell">
    <xdr:from>
      <xdr:col>1</xdr:col>
      <xdr:colOff>77230</xdr:colOff>
      <xdr:row>31</xdr:row>
      <xdr:rowOff>65667</xdr:rowOff>
    </xdr:from>
    <xdr:to>
      <xdr:col>1</xdr:col>
      <xdr:colOff>458231</xdr:colOff>
      <xdr:row>33</xdr:row>
      <xdr:rowOff>93186</xdr:rowOff>
    </xdr:to>
    <xdr:pic>
      <xdr:nvPicPr>
        <xdr:cNvPr id="84" name="Grafik 83" descr="Hochspannung Silhouette">
          <a:extLst>
            <a:ext uri="{FF2B5EF4-FFF2-40B4-BE49-F238E27FC236}">
              <a16:creationId xmlns:a16="http://schemas.microsoft.com/office/drawing/2014/main" id="{43450815-8669-C27C-DAE9-06062A3364B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89321" y="6381031"/>
          <a:ext cx="381001" cy="413714"/>
        </a:xfrm>
        <a:prstGeom prst="rect">
          <a:avLst/>
        </a:prstGeom>
      </xdr:spPr>
    </xdr:pic>
    <xdr:clientData/>
  </xdr:twoCellAnchor>
  <xdr:twoCellAnchor>
    <xdr:from>
      <xdr:col>19</xdr:col>
      <xdr:colOff>170859</xdr:colOff>
      <xdr:row>26</xdr:row>
      <xdr:rowOff>42344</xdr:rowOff>
    </xdr:from>
    <xdr:to>
      <xdr:col>23</xdr:col>
      <xdr:colOff>35272</xdr:colOff>
      <xdr:row>32</xdr:row>
      <xdr:rowOff>79385</xdr:rowOff>
    </xdr:to>
    <xdr:graphicFrame macro="">
      <xdr:nvGraphicFramePr>
        <xdr:cNvPr id="98" name="Diagramm 97">
          <a:extLst>
            <a:ext uri="{FF2B5EF4-FFF2-40B4-BE49-F238E27FC236}">
              <a16:creationId xmlns:a16="http://schemas.microsoft.com/office/drawing/2014/main" id="{D3958391-8BBD-4D4D-A67F-E1D4FC025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14</xdr:col>
      <xdr:colOff>549009</xdr:colOff>
      <xdr:row>29</xdr:row>
      <xdr:rowOff>83996</xdr:rowOff>
    </xdr:from>
    <xdr:to>
      <xdr:col>18</xdr:col>
      <xdr:colOff>683949</xdr:colOff>
      <xdr:row>30</xdr:row>
      <xdr:rowOff>175493</xdr:rowOff>
    </xdr:to>
    <xdr:sp macro="" textlink="">
      <xdr:nvSpPr>
        <xdr:cNvPr id="99" name="Textfeld 98">
          <a:extLst>
            <a:ext uri="{FF2B5EF4-FFF2-40B4-BE49-F238E27FC236}">
              <a16:creationId xmlns:a16="http://schemas.microsoft.com/office/drawing/2014/main" id="{FD4A4208-1091-435E-BB89-5A9E7265FD57}"/>
            </a:ext>
          </a:extLst>
        </xdr:cNvPr>
        <xdr:cNvSpPr txBox="1"/>
      </xdr:nvSpPr>
      <xdr:spPr>
        <a:xfrm>
          <a:off x="11367100" y="6006814"/>
          <a:ext cx="3182940" cy="2877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PRIORITÄT NACH PROJETKPHASE</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35897</xdr:colOff>
      <xdr:row>31</xdr:row>
      <xdr:rowOff>36251</xdr:rowOff>
    </xdr:from>
    <xdr:to>
      <xdr:col>6</xdr:col>
      <xdr:colOff>266701</xdr:colOff>
      <xdr:row>39</xdr:row>
      <xdr:rowOff>92656</xdr:rowOff>
    </xdr:to>
    <xdr:sp macro="" textlink="">
      <xdr:nvSpPr>
        <xdr:cNvPr id="37" name="Rechteck 36">
          <a:extLst>
            <a:ext uri="{FF2B5EF4-FFF2-40B4-BE49-F238E27FC236}">
              <a16:creationId xmlns:a16="http://schemas.microsoft.com/office/drawing/2014/main" id="{E3A82386-8808-4128-9E96-D776F2ECBC93}"/>
            </a:ext>
          </a:extLst>
        </xdr:cNvPr>
        <xdr:cNvSpPr/>
      </xdr:nvSpPr>
      <xdr:spPr>
        <a:xfrm>
          <a:off x="943947" y="6183051"/>
          <a:ext cx="4040804" cy="1580405"/>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17</xdr:col>
      <xdr:colOff>312249</xdr:colOff>
      <xdr:row>9</xdr:row>
      <xdr:rowOff>149679</xdr:rowOff>
    </xdr:from>
    <xdr:to>
      <xdr:col>21</xdr:col>
      <xdr:colOff>744141</xdr:colOff>
      <xdr:row>11</xdr:row>
      <xdr:rowOff>19843</xdr:rowOff>
    </xdr:to>
    <xdr:sp macro="" textlink="">
      <xdr:nvSpPr>
        <xdr:cNvPr id="38" name="Textfeld 37">
          <a:extLst>
            <a:ext uri="{FF2B5EF4-FFF2-40B4-BE49-F238E27FC236}">
              <a16:creationId xmlns:a16="http://schemas.microsoft.com/office/drawing/2014/main" id="{4F0EB83A-6573-4382-9933-CD3A9F1CE074}"/>
            </a:ext>
          </a:extLst>
        </xdr:cNvPr>
        <xdr:cNvSpPr txBox="1"/>
      </xdr:nvSpPr>
      <xdr:spPr>
        <a:xfrm>
          <a:off x="12655062" y="2049718"/>
          <a:ext cx="3487829" cy="2372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de-AT" sz="700" b="0" i="0" u="none" strike="noStrike" kern="1200" spc="0" baseline="0">
              <a:solidFill>
                <a:srgbClr val="831933"/>
              </a:solidFill>
              <a:latin typeface="Arial" panose="020B0604020202020204" pitchFamily="34" charset="0"/>
              <a:ea typeface="+mn-ea"/>
              <a:cs typeface="Arial" panose="020B0604020202020204" pitchFamily="34" charset="0"/>
            </a:rPr>
            <a:t>* Eingeschränkt Daten vorhanden/Werte laut SAP Auszug vom 15.02.2026</a:t>
          </a:r>
          <a:endParaRPr lang="de-AT" sz="700" b="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150290</xdr:colOff>
      <xdr:row>22</xdr:row>
      <xdr:rowOff>95298</xdr:rowOff>
    </xdr:from>
    <xdr:to>
      <xdr:col>5</xdr:col>
      <xdr:colOff>381672</xdr:colOff>
      <xdr:row>24</xdr:row>
      <xdr:rowOff>37394</xdr:rowOff>
    </xdr:to>
    <xdr:sp macro="" textlink="">
      <xdr:nvSpPr>
        <xdr:cNvPr id="79" name="Textfeld 78">
          <a:extLst>
            <a:ext uri="{FF2B5EF4-FFF2-40B4-BE49-F238E27FC236}">
              <a16:creationId xmlns:a16="http://schemas.microsoft.com/office/drawing/2014/main" id="{FA0AB20C-A1B4-47EB-8CC7-C1C0AC8FB0F0}"/>
            </a:ext>
          </a:extLst>
        </xdr:cNvPr>
        <xdr:cNvSpPr txBox="1"/>
      </xdr:nvSpPr>
      <xdr:spPr>
        <a:xfrm>
          <a:off x="1062381" y="4644207"/>
          <a:ext cx="3279382" cy="3346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LENKUNGSAUSSCHÜSSE</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editAs="oneCell">
    <xdr:from>
      <xdr:col>3</xdr:col>
      <xdr:colOff>49807</xdr:colOff>
      <xdr:row>18</xdr:row>
      <xdr:rowOff>170967</xdr:rowOff>
    </xdr:from>
    <xdr:to>
      <xdr:col>7</xdr:col>
      <xdr:colOff>245097</xdr:colOff>
      <xdr:row>26</xdr:row>
      <xdr:rowOff>34793</xdr:rowOff>
    </xdr:to>
    <xdr:graphicFrame macro="">
      <xdr:nvGraphicFramePr>
        <xdr:cNvPr id="83" name="Diagramm 82">
          <a:extLst>
            <a:ext uri="{FF2B5EF4-FFF2-40B4-BE49-F238E27FC236}">
              <a16:creationId xmlns:a16="http://schemas.microsoft.com/office/drawing/2014/main" id="{4F1AC28D-38C9-402A-B6DF-9A13E00F1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xdr:col>
      <xdr:colOff>159609</xdr:colOff>
      <xdr:row>26</xdr:row>
      <xdr:rowOff>187688</xdr:rowOff>
    </xdr:from>
    <xdr:to>
      <xdr:col>5</xdr:col>
      <xdr:colOff>372918</xdr:colOff>
      <xdr:row>28</xdr:row>
      <xdr:rowOff>129785</xdr:rowOff>
    </xdr:to>
    <xdr:sp macro="" textlink="">
      <xdr:nvSpPr>
        <xdr:cNvPr id="102" name="Textfeld 101">
          <a:extLst>
            <a:ext uri="{FF2B5EF4-FFF2-40B4-BE49-F238E27FC236}">
              <a16:creationId xmlns:a16="http://schemas.microsoft.com/office/drawing/2014/main" id="{3FCE2390-1DBE-486E-B407-B2CCCB6BF5A0}"/>
            </a:ext>
          </a:extLst>
        </xdr:cNvPr>
        <xdr:cNvSpPr txBox="1"/>
      </xdr:nvSpPr>
      <xdr:spPr>
        <a:xfrm>
          <a:off x="1071700" y="5521688"/>
          <a:ext cx="3261309" cy="3346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KOOPERATIONSPROJEKTE</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editAs="oneCell">
    <xdr:from>
      <xdr:col>3</xdr:col>
      <xdr:colOff>244</xdr:colOff>
      <xdr:row>23</xdr:row>
      <xdr:rowOff>125679</xdr:rowOff>
    </xdr:from>
    <xdr:to>
      <xdr:col>7</xdr:col>
      <xdr:colOff>205059</xdr:colOff>
      <xdr:row>31</xdr:row>
      <xdr:rowOff>4349</xdr:rowOff>
    </xdr:to>
    <xdr:graphicFrame macro="">
      <xdr:nvGraphicFramePr>
        <xdr:cNvPr id="103" name="Diagramm 102">
          <a:extLst>
            <a:ext uri="{FF2B5EF4-FFF2-40B4-BE49-F238E27FC236}">
              <a16:creationId xmlns:a16="http://schemas.microsoft.com/office/drawing/2014/main" id="{A617A590-52CD-4E2B-9471-655D7B539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2</xdr:col>
      <xdr:colOff>329898</xdr:colOff>
      <xdr:row>2</xdr:row>
      <xdr:rowOff>67487</xdr:rowOff>
    </xdr:from>
    <xdr:to>
      <xdr:col>6</xdr:col>
      <xdr:colOff>531423</xdr:colOff>
      <xdr:row>9</xdr:row>
      <xdr:rowOff>110653</xdr:rowOff>
    </xdr:to>
    <xdr:graphicFrame macro="">
      <xdr:nvGraphicFramePr>
        <xdr:cNvPr id="8" name="Diagramm 7">
          <a:extLst>
            <a:ext uri="{FF2B5EF4-FFF2-40B4-BE49-F238E27FC236}">
              <a16:creationId xmlns:a16="http://schemas.microsoft.com/office/drawing/2014/main" id="{36CA9319-F4A8-4CA2-9177-4CB8E02F9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16</xdr:col>
      <xdr:colOff>116937</xdr:colOff>
      <xdr:row>5</xdr:row>
      <xdr:rowOff>122834</xdr:rowOff>
    </xdr:from>
    <xdr:to>
      <xdr:col>16</xdr:col>
      <xdr:colOff>689179</xdr:colOff>
      <xdr:row>7</xdr:row>
      <xdr:rowOff>46894</xdr:rowOff>
    </xdr:to>
    <xdr:sp macro="" textlink="Arbeitsbereich!F102">
      <xdr:nvSpPr>
        <xdr:cNvPr id="5" name="Textfeld 4">
          <a:extLst>
            <a:ext uri="{FF2B5EF4-FFF2-40B4-BE49-F238E27FC236}">
              <a16:creationId xmlns:a16="http://schemas.microsoft.com/office/drawing/2014/main" id="{165AA98D-BD71-4F09-BB30-ADA06F14666A}"/>
            </a:ext>
          </a:extLst>
        </xdr:cNvPr>
        <xdr:cNvSpPr txBox="1"/>
      </xdr:nvSpPr>
      <xdr:spPr>
        <a:xfrm>
          <a:off x="11663354" y="1318751"/>
          <a:ext cx="572242" cy="3050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8A51179-3858-4149-96AB-D3F0960F6AA2}" type="TxLink">
            <a:rPr lang="en-US" sz="1100" b="0" i="0" u="none" strike="noStrike">
              <a:solidFill>
                <a:srgbClr val="000000"/>
              </a:solidFill>
              <a:latin typeface="Aptos Narrow"/>
              <a:cs typeface="Arial" panose="020B0604020202020204" pitchFamily="34" charset="0"/>
            </a:rPr>
            <a:pPr algn="l"/>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16</xdr:col>
      <xdr:colOff>129603</xdr:colOff>
      <xdr:row>6</xdr:row>
      <xdr:rowOff>159082</xdr:rowOff>
    </xdr:from>
    <xdr:to>
      <xdr:col>16</xdr:col>
      <xdr:colOff>701845</xdr:colOff>
      <xdr:row>8</xdr:row>
      <xdr:rowOff>84738</xdr:rowOff>
    </xdr:to>
    <xdr:sp macro="" textlink="Arbeitsbereich!F101">
      <xdr:nvSpPr>
        <xdr:cNvPr id="6" name="Textfeld 5">
          <a:extLst>
            <a:ext uri="{FF2B5EF4-FFF2-40B4-BE49-F238E27FC236}">
              <a16:creationId xmlns:a16="http://schemas.microsoft.com/office/drawing/2014/main" id="{7E2DB06C-8199-4CFD-9220-A44B4757D74D}"/>
            </a:ext>
          </a:extLst>
        </xdr:cNvPr>
        <xdr:cNvSpPr txBox="1"/>
      </xdr:nvSpPr>
      <xdr:spPr>
        <a:xfrm>
          <a:off x="11676020" y="1545499"/>
          <a:ext cx="572242" cy="3066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3545FD8-81DE-4A50-B9F4-61F896B12B05}" type="TxLink">
            <a:rPr lang="en-US" sz="1100" b="0" i="0" u="none" strike="noStrike">
              <a:solidFill>
                <a:srgbClr val="000000"/>
              </a:solidFill>
              <a:latin typeface="Aptos Narrow"/>
              <a:cs typeface="Arial" panose="020B0604020202020204" pitchFamily="34" charset="0"/>
            </a:rPr>
            <a:pPr algn="l"/>
            <a:t>1</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16</xdr:col>
      <xdr:colOff>130651</xdr:colOff>
      <xdr:row>8</xdr:row>
      <xdr:rowOff>7101</xdr:rowOff>
    </xdr:from>
    <xdr:to>
      <xdr:col>16</xdr:col>
      <xdr:colOff>702893</xdr:colOff>
      <xdr:row>9</xdr:row>
      <xdr:rowOff>120528</xdr:rowOff>
    </xdr:to>
    <xdr:sp macro="" textlink="Arbeitsbereich!F100">
      <xdr:nvSpPr>
        <xdr:cNvPr id="7" name="Textfeld 6">
          <a:extLst>
            <a:ext uri="{FF2B5EF4-FFF2-40B4-BE49-F238E27FC236}">
              <a16:creationId xmlns:a16="http://schemas.microsoft.com/office/drawing/2014/main" id="{528C29B3-C353-4DEE-95FE-2431EB58DAE5}"/>
            </a:ext>
          </a:extLst>
        </xdr:cNvPr>
        <xdr:cNvSpPr txBox="1"/>
      </xdr:nvSpPr>
      <xdr:spPr>
        <a:xfrm>
          <a:off x="11677068" y="1774518"/>
          <a:ext cx="572242" cy="3039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8491A2B-4718-4A7A-BD5E-C5F0EE104364}" type="TxLink">
            <a:rPr lang="en-US" sz="1100" b="0" i="0" u="none" strike="noStrike">
              <a:solidFill>
                <a:srgbClr val="000000"/>
              </a:solidFill>
              <a:latin typeface="Aptos Narrow"/>
              <a:cs typeface="Arial" panose="020B0604020202020204" pitchFamily="34" charset="0"/>
            </a:rPr>
            <a:pPr algn="l"/>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9</xdr:col>
      <xdr:colOff>39255</xdr:colOff>
      <xdr:row>12</xdr:row>
      <xdr:rowOff>82409</xdr:rowOff>
    </xdr:from>
    <xdr:to>
      <xdr:col>13</xdr:col>
      <xdr:colOff>418811</xdr:colOff>
      <xdr:row>22</xdr:row>
      <xdr:rowOff>91256</xdr:rowOff>
    </xdr:to>
    <xdr:graphicFrame macro="">
      <xdr:nvGraphicFramePr>
        <xdr:cNvPr id="13" name="Diagramm 12">
          <a:extLst>
            <a:ext uri="{FF2B5EF4-FFF2-40B4-BE49-F238E27FC236}">
              <a16:creationId xmlns:a16="http://schemas.microsoft.com/office/drawing/2014/main" id="{B987E954-4482-4347-83FE-FD7438B5982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14</xdr:col>
      <xdr:colOff>568779</xdr:colOff>
      <xdr:row>31</xdr:row>
      <xdr:rowOff>83995</xdr:rowOff>
    </xdr:from>
    <xdr:to>
      <xdr:col>22</xdr:col>
      <xdr:colOff>20310</xdr:colOff>
      <xdr:row>39</xdr:row>
      <xdr:rowOff>186904</xdr:rowOff>
    </xdr:to>
    <xdr:graphicFrame macro="">
      <xdr:nvGraphicFramePr>
        <xdr:cNvPr id="14" name="Diagramm 13">
          <a:extLst>
            <a:ext uri="{FF2B5EF4-FFF2-40B4-BE49-F238E27FC236}">
              <a16:creationId xmlns:a16="http://schemas.microsoft.com/office/drawing/2014/main" id="{517F4EF7-031D-4A6C-B1DE-28DB2DE5C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14</xdr:col>
      <xdr:colOff>479371</xdr:colOff>
      <xdr:row>25</xdr:row>
      <xdr:rowOff>127000</xdr:rowOff>
    </xdr:from>
    <xdr:to>
      <xdr:col>22</xdr:col>
      <xdr:colOff>149248</xdr:colOff>
      <xdr:row>39</xdr:row>
      <xdr:rowOff>91211</xdr:rowOff>
    </xdr:to>
    <xdr:sp macro="" textlink="">
      <xdr:nvSpPr>
        <xdr:cNvPr id="28" name="Rechteck 27">
          <a:extLst>
            <a:ext uri="{FF2B5EF4-FFF2-40B4-BE49-F238E27FC236}">
              <a16:creationId xmlns:a16="http://schemas.microsoft.com/office/drawing/2014/main" id="{962F2D6E-A8BB-4F31-8696-2DA8CFD5AA96}"/>
            </a:ext>
          </a:extLst>
        </xdr:cNvPr>
        <xdr:cNvSpPr/>
      </xdr:nvSpPr>
      <xdr:spPr>
        <a:xfrm>
          <a:off x="11297462" y="5264727"/>
          <a:ext cx="5742786" cy="2712029"/>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6</xdr:col>
      <xdr:colOff>326194</xdr:colOff>
      <xdr:row>1</xdr:row>
      <xdr:rowOff>34925</xdr:rowOff>
    </xdr:from>
    <xdr:to>
      <xdr:col>14</xdr:col>
      <xdr:colOff>416153</xdr:colOff>
      <xdr:row>11</xdr:row>
      <xdr:rowOff>21167</xdr:rowOff>
    </xdr:to>
    <xdr:sp macro="" textlink="">
      <xdr:nvSpPr>
        <xdr:cNvPr id="19" name="Rechteck 18">
          <a:extLst>
            <a:ext uri="{FF2B5EF4-FFF2-40B4-BE49-F238E27FC236}">
              <a16:creationId xmlns:a16="http://schemas.microsoft.com/office/drawing/2014/main" id="{B6E443B3-4324-4F1C-982F-6A6D18A58D6B}"/>
            </a:ext>
          </a:extLst>
        </xdr:cNvPr>
        <xdr:cNvSpPr/>
      </xdr:nvSpPr>
      <xdr:spPr>
        <a:xfrm>
          <a:off x="4266254" y="463359"/>
          <a:ext cx="6210441" cy="1898892"/>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7</xdr:col>
      <xdr:colOff>79975</xdr:colOff>
      <xdr:row>12</xdr:row>
      <xdr:rowOff>790</xdr:rowOff>
    </xdr:from>
    <xdr:to>
      <xdr:col>9</xdr:col>
      <xdr:colOff>704485</xdr:colOff>
      <xdr:row>13</xdr:row>
      <xdr:rowOff>111657</xdr:rowOff>
    </xdr:to>
    <xdr:sp macro="" textlink="">
      <xdr:nvSpPr>
        <xdr:cNvPr id="25" name="Textfeld 24">
          <a:extLst>
            <a:ext uri="{FF2B5EF4-FFF2-40B4-BE49-F238E27FC236}">
              <a16:creationId xmlns:a16="http://schemas.microsoft.com/office/drawing/2014/main" id="{8FFB65D4-A136-4008-992D-55F51250D953}"/>
            </a:ext>
          </a:extLst>
        </xdr:cNvPr>
        <xdr:cNvSpPr txBox="1"/>
      </xdr:nvSpPr>
      <xdr:spPr>
        <a:xfrm>
          <a:off x="5564066" y="2586972"/>
          <a:ext cx="2148510" cy="307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1" i="1" u="none" strike="noStrike" kern="1200" spc="0" baseline="0">
              <a:solidFill>
                <a:srgbClr val="831933"/>
              </a:solidFill>
              <a:latin typeface="Arial" panose="020B0604020202020204" pitchFamily="34" charset="0"/>
              <a:ea typeface="+mn-ea"/>
              <a:cs typeface="Arial" panose="020B0604020202020204" pitchFamily="34" charset="0"/>
            </a:rPr>
            <a:t>LEISTUNGSBEREICHE</a:t>
          </a:r>
          <a:endParaRPr lang="de-AT" sz="1400" b="1" i="1">
            <a:solidFill>
              <a:srgbClr val="831933"/>
            </a:solidFill>
            <a:latin typeface="Arial" panose="020B0604020202020204" pitchFamily="34" charset="0"/>
            <a:cs typeface="Arial" panose="020B0604020202020204" pitchFamily="34" charset="0"/>
          </a:endParaRPr>
        </a:p>
      </xdr:txBody>
    </xdr:sp>
    <xdr:clientData/>
  </xdr:twoCellAnchor>
  <xdr:twoCellAnchor editAs="oneCell">
    <xdr:from>
      <xdr:col>6</xdr:col>
      <xdr:colOff>404090</xdr:colOff>
      <xdr:row>11</xdr:row>
      <xdr:rowOff>80818</xdr:rowOff>
    </xdr:from>
    <xdr:to>
      <xdr:col>7</xdr:col>
      <xdr:colOff>169271</xdr:colOff>
      <xdr:row>14</xdr:row>
      <xdr:rowOff>35056</xdr:rowOff>
    </xdr:to>
    <xdr:pic>
      <xdr:nvPicPr>
        <xdr:cNvPr id="33" name="Grafik 32" descr="Blog Silhouette">
          <a:extLst>
            <a:ext uri="{FF2B5EF4-FFF2-40B4-BE49-F238E27FC236}">
              <a16:creationId xmlns:a16="http://schemas.microsoft.com/office/drawing/2014/main" id="{E2F774EF-0EF5-4535-8CC9-35EA9E8EE3FA}"/>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5126181" y="2470727"/>
          <a:ext cx="524006" cy="536706"/>
        </a:xfrm>
        <a:prstGeom prst="rect">
          <a:avLst/>
        </a:prstGeom>
      </xdr:spPr>
    </xdr:pic>
    <xdr:clientData/>
  </xdr:twoCellAnchor>
  <xdr:twoCellAnchor>
    <xdr:from>
      <xdr:col>6</xdr:col>
      <xdr:colOff>566881</xdr:colOff>
      <xdr:row>21</xdr:row>
      <xdr:rowOff>95540</xdr:rowOff>
    </xdr:from>
    <xdr:to>
      <xdr:col>14</xdr:col>
      <xdr:colOff>357333</xdr:colOff>
      <xdr:row>39</xdr:row>
      <xdr:rowOff>173183</xdr:rowOff>
    </xdr:to>
    <xdr:graphicFrame macro="">
      <xdr:nvGraphicFramePr>
        <xdr:cNvPr id="34" name="Diagramm 33">
          <a:extLst>
            <a:ext uri="{FF2B5EF4-FFF2-40B4-BE49-F238E27FC236}">
              <a16:creationId xmlns:a16="http://schemas.microsoft.com/office/drawing/2014/main" id="{67669E1A-E9BF-4F8D-88F3-10079799D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6</xdr:col>
      <xdr:colOff>314901</xdr:colOff>
      <xdr:row>11</xdr:row>
      <xdr:rowOff>72448</xdr:rowOff>
    </xdr:from>
    <xdr:to>
      <xdr:col>14</xdr:col>
      <xdr:colOff>434783</xdr:colOff>
      <xdr:row>39</xdr:row>
      <xdr:rowOff>92364</xdr:rowOff>
    </xdr:to>
    <xdr:sp macro="" textlink="">
      <xdr:nvSpPr>
        <xdr:cNvPr id="2" name="Rechteck 1">
          <a:extLst>
            <a:ext uri="{FF2B5EF4-FFF2-40B4-BE49-F238E27FC236}">
              <a16:creationId xmlns:a16="http://schemas.microsoft.com/office/drawing/2014/main" id="{BDC3112E-C405-4E44-AF0D-E476C9869F1F}"/>
            </a:ext>
          </a:extLst>
        </xdr:cNvPr>
        <xdr:cNvSpPr/>
      </xdr:nvSpPr>
      <xdr:spPr>
        <a:xfrm>
          <a:off x="5036992" y="2462357"/>
          <a:ext cx="6215882" cy="5515552"/>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xdr:col>
      <xdr:colOff>34924</xdr:colOff>
      <xdr:row>1</xdr:row>
      <xdr:rowOff>33619</xdr:rowOff>
    </xdr:from>
    <xdr:to>
      <xdr:col>6</xdr:col>
      <xdr:colOff>263770</xdr:colOff>
      <xdr:row>30</xdr:row>
      <xdr:rowOff>184727</xdr:rowOff>
    </xdr:to>
    <xdr:sp macro="" textlink="">
      <xdr:nvSpPr>
        <xdr:cNvPr id="18" name="Rechteck 17">
          <a:extLst>
            <a:ext uri="{FF2B5EF4-FFF2-40B4-BE49-F238E27FC236}">
              <a16:creationId xmlns:a16="http://schemas.microsoft.com/office/drawing/2014/main" id="{53BCF6FF-6BA0-CAFB-9068-41D692ADB540}"/>
            </a:ext>
          </a:extLst>
        </xdr:cNvPr>
        <xdr:cNvSpPr/>
      </xdr:nvSpPr>
      <xdr:spPr>
        <a:xfrm>
          <a:off x="947015" y="460801"/>
          <a:ext cx="4038846" cy="5843017"/>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wsDr>
</file>

<file path=xl/drawings/drawing11.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E$105">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75834" y="691891"/>
          <a:ext cx="455096" cy="2637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8EED4C52-F138-4659-A015-D2DB01474D6C}" type="TxLink">
            <a:rPr lang="en-US" sz="1100" b="0" i="0" u="none" strike="noStrike">
              <a:solidFill>
                <a:srgbClr val="000000"/>
              </a:solidFill>
              <a:latin typeface="Aptos Narrow"/>
              <a:cs typeface="Arial" panose="020B0604020202020204" pitchFamily="34" charset="0"/>
            </a:rPr>
            <a:pPr algn="ctr"/>
            <a:t>0%</a:t>
          </a:fld>
          <a:endParaRPr lang="de-AT" sz="900">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0.40352</cdr:x>
      <cdr:y>0.53392</cdr:y>
    </cdr:from>
    <cdr:to>
      <cdr:x>0.58321</cdr:x>
      <cdr:y>0.71093</cdr:y>
    </cdr:to>
    <cdr:sp macro="" textlink="Arbeitsbereich!$G$20">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11044" y="705080"/>
          <a:ext cx="583820" cy="23375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r"/>
          <a:fld id="{C0842EE9-A3D8-4932-B270-CAF2F45A4625}" type="TxLink">
            <a:rPr lang="en-US" sz="1100" b="0" i="0" u="none" strike="noStrike">
              <a:solidFill>
                <a:srgbClr val="000000"/>
              </a:solidFill>
              <a:latin typeface="Aptos Narrow"/>
              <a:cs typeface="Arial" panose="020B0604020202020204" pitchFamily="34" charset="0"/>
            </a:rPr>
            <a:pPr algn="r"/>
            <a:t>100%</a:t>
          </a:fld>
          <a:endParaRPr lang="de-AT" sz="900">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0.43509</cdr:x>
      <cdr:y>0.52018</cdr:y>
    </cdr:from>
    <cdr:to>
      <cdr:x>0.586</cdr:x>
      <cdr:y>0.71407</cdr:y>
    </cdr:to>
    <cdr:sp macro="" textlink="Arbeitsbereich!$G$24">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409692" y="698498"/>
          <a:ext cx="488958" cy="26035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4A449E49-1273-4A17-9D28-71641409597E}" type="TxLink">
            <a:rPr lang="en-US" sz="1100" b="0" i="0" u="none" strike="noStrike">
              <a:solidFill>
                <a:srgbClr val="000000"/>
              </a:solidFill>
              <a:latin typeface="Aptos Narrow"/>
              <a:cs typeface="Arial" panose="020B0604020202020204" pitchFamily="34" charset="0"/>
            </a:rPr>
            <a:pPr algn="ctr"/>
            <a:t>0%</a:t>
          </a:fld>
          <a:endParaRPr lang="de-AT" sz="900">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0.43509</cdr:x>
      <cdr:y>0.52018</cdr:y>
    </cdr:from>
    <cdr:to>
      <cdr:x>0.586</cdr:x>
      <cdr:y>0.71407</cdr:y>
    </cdr:to>
    <cdr:sp macro="" textlink="Arbeitsbereich!$G$28">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409692" y="698498"/>
          <a:ext cx="488958" cy="26035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DD021865-968A-447E-8FB2-9BFC9905148D}" type="TxLink">
            <a:rPr lang="en-US" sz="1100" b="0" i="0" u="none" strike="noStrike">
              <a:solidFill>
                <a:srgbClr val="000000"/>
              </a:solidFill>
              <a:latin typeface="Aptos Narrow"/>
              <a:cs typeface="Arial" panose="020B0604020202020204" pitchFamily="34" charset="0"/>
            </a:rPr>
            <a:pPr algn="ctr"/>
            <a:t>0%</a:t>
          </a:fld>
          <a:endParaRPr lang="de-AT" sz="900">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0.43509</cdr:x>
      <cdr:y>0.52018</cdr:y>
    </cdr:from>
    <cdr:to>
      <cdr:x>0.60121</cdr:x>
      <cdr:y>0.71407</cdr:y>
    </cdr:to>
    <cdr:sp macro="" textlink="Arbeitsbereich!$I$14">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411038" y="686132"/>
          <a:ext cx="538737" cy="25574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228D3822-FB69-4080-AAA4-D37CF0511EE9}" type="TxLink">
            <a:rPr lang="en-US" sz="1100" b="0" i="0" u="none" strike="noStrike">
              <a:solidFill>
                <a:srgbClr val="000000"/>
              </a:solidFill>
              <a:latin typeface="Aptos Narrow"/>
              <a:cs typeface="Arial" panose="020B0604020202020204" pitchFamily="34" charset="0"/>
            </a:rPr>
            <a:pPr algn="ctr"/>
            <a:t>0%</a:t>
          </a:fld>
          <a:endParaRPr lang="de-AT" sz="900">
            <a:latin typeface="Arial" panose="020B0604020202020204" pitchFamily="34" charset="0"/>
            <a:cs typeface="Arial" panose="020B0604020202020204" pitchFamily="34" charset="0"/>
          </a:endParaRPr>
        </a:p>
      </cdr:txBody>
    </cdr:sp>
  </cdr:relSizeAnchor>
</c:userShapes>
</file>

<file path=xl/drawings/drawing16.xml><?xml version="1.0" encoding="utf-8"?>
<xdr:wsDr xmlns:xdr="http://schemas.openxmlformats.org/drawingml/2006/spreadsheetDrawing" xmlns:a="http://schemas.openxmlformats.org/drawingml/2006/main">
  <xdr:twoCellAnchor>
    <xdr:from>
      <xdr:col>1</xdr:col>
      <xdr:colOff>57150</xdr:colOff>
      <xdr:row>9</xdr:row>
      <xdr:rowOff>44450</xdr:rowOff>
    </xdr:from>
    <xdr:to>
      <xdr:col>4</xdr:col>
      <xdr:colOff>349250</xdr:colOff>
      <xdr:row>10</xdr:row>
      <xdr:rowOff>171450</xdr:rowOff>
    </xdr:to>
    <xdr:sp macro="" textlink="">
      <xdr:nvSpPr>
        <xdr:cNvPr id="2" name="Textfeld 1">
          <a:extLst>
            <a:ext uri="{FF2B5EF4-FFF2-40B4-BE49-F238E27FC236}">
              <a16:creationId xmlns:a16="http://schemas.microsoft.com/office/drawing/2014/main" id="{56CBFA94-7CC4-4799-BA03-0687BBF16552}"/>
            </a:ext>
          </a:extLst>
        </xdr:cNvPr>
        <xdr:cNvSpPr txBox="1"/>
      </xdr:nvSpPr>
      <xdr:spPr>
        <a:xfrm>
          <a:off x="161925" y="1997075"/>
          <a:ext cx="25781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PROJEKTFORTSCHRITT: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44450</xdr:colOff>
      <xdr:row>1</xdr:row>
      <xdr:rowOff>76200</xdr:rowOff>
    </xdr:from>
    <xdr:to>
      <xdr:col>5</xdr:col>
      <xdr:colOff>190500</xdr:colOff>
      <xdr:row>32</xdr:row>
      <xdr:rowOff>169333</xdr:rowOff>
    </xdr:to>
    <xdr:sp macro="" textlink="">
      <xdr:nvSpPr>
        <xdr:cNvPr id="3" name="Rechteck 2">
          <a:extLst>
            <a:ext uri="{FF2B5EF4-FFF2-40B4-BE49-F238E27FC236}">
              <a16:creationId xmlns:a16="http://schemas.microsoft.com/office/drawing/2014/main" id="{E387B613-3AB7-43FB-85DE-07447A8E9C15}"/>
            </a:ext>
          </a:extLst>
        </xdr:cNvPr>
        <xdr:cNvSpPr/>
      </xdr:nvSpPr>
      <xdr:spPr>
        <a:xfrm>
          <a:off x="149225" y="504825"/>
          <a:ext cx="3194050" cy="5998633"/>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xdr:col>
      <xdr:colOff>76200</xdr:colOff>
      <xdr:row>1</xdr:row>
      <xdr:rowOff>92605</xdr:rowOff>
    </xdr:from>
    <xdr:to>
      <xdr:col>5</xdr:col>
      <xdr:colOff>158750</xdr:colOff>
      <xdr:row>5</xdr:row>
      <xdr:rowOff>26458</xdr:rowOff>
    </xdr:to>
    <xdr:sp macro="" textlink="">
      <xdr:nvSpPr>
        <xdr:cNvPr id="4" name="Textfeld 3">
          <a:extLst>
            <a:ext uri="{FF2B5EF4-FFF2-40B4-BE49-F238E27FC236}">
              <a16:creationId xmlns:a16="http://schemas.microsoft.com/office/drawing/2014/main" id="{9F75C1D3-7BA3-468D-A869-A5E2482ECDE6}"/>
            </a:ext>
          </a:extLst>
        </xdr:cNvPr>
        <xdr:cNvSpPr txBox="1"/>
      </xdr:nvSpPr>
      <xdr:spPr>
        <a:xfrm>
          <a:off x="182033" y="515938"/>
          <a:ext cx="3151717" cy="6746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AT" sz="1400" b="1" i="1">
              <a:solidFill>
                <a:srgbClr val="831933"/>
              </a:solidFill>
              <a:latin typeface="Arial" panose="020B0604020202020204" pitchFamily="34" charset="0"/>
              <a:cs typeface="Arial" panose="020B0604020202020204" pitchFamily="34" charset="0"/>
            </a:rPr>
            <a:t>A. GESELLSCHAFTLICHE</a:t>
          </a:r>
          <a:r>
            <a:rPr lang="de-AT" sz="1400" b="1" i="1" baseline="0">
              <a:solidFill>
                <a:srgbClr val="831933"/>
              </a:solidFill>
              <a:latin typeface="Arial" panose="020B0604020202020204" pitchFamily="34" charset="0"/>
              <a:cs typeface="Arial" panose="020B0604020202020204" pitchFamily="34" charset="0"/>
            </a:rPr>
            <a:t> ZIELSETZUNGEN</a:t>
          </a:r>
          <a:endParaRPr lang="de-AT" sz="1400" b="1" i="1">
            <a:solidFill>
              <a:srgbClr val="831933"/>
            </a:solidFill>
            <a:latin typeface="Arial" panose="020B0604020202020204" pitchFamily="34" charset="0"/>
            <a:cs typeface="Arial" panose="020B0604020202020204" pitchFamily="34" charset="0"/>
          </a:endParaRPr>
        </a:p>
      </xdr:txBody>
    </xdr:sp>
    <xdr:clientData/>
  </xdr:twoCellAnchor>
  <xdr:twoCellAnchor>
    <xdr:from>
      <xdr:col>5</xdr:col>
      <xdr:colOff>298450</xdr:colOff>
      <xdr:row>1</xdr:row>
      <xdr:rowOff>158750</xdr:rowOff>
    </xdr:from>
    <xdr:to>
      <xdr:col>9</xdr:col>
      <xdr:colOff>387350</xdr:colOff>
      <xdr:row>3</xdr:row>
      <xdr:rowOff>112183</xdr:rowOff>
    </xdr:to>
    <xdr:sp macro="" textlink="">
      <xdr:nvSpPr>
        <xdr:cNvPr id="5" name="Textfeld 4">
          <a:extLst>
            <a:ext uri="{FF2B5EF4-FFF2-40B4-BE49-F238E27FC236}">
              <a16:creationId xmlns:a16="http://schemas.microsoft.com/office/drawing/2014/main" id="{ED187BED-5367-4295-B92D-4216C172CD7B}"/>
            </a:ext>
          </a:extLst>
        </xdr:cNvPr>
        <xdr:cNvSpPr txBox="1"/>
      </xdr:nvSpPr>
      <xdr:spPr>
        <a:xfrm>
          <a:off x="3451225" y="587375"/>
          <a:ext cx="3136900" cy="334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AT" sz="1400" b="1" i="1">
              <a:solidFill>
                <a:srgbClr val="831933"/>
              </a:solidFill>
              <a:latin typeface="Arial" panose="020B0604020202020204" pitchFamily="34" charset="0"/>
              <a:cs typeface="Arial" panose="020B0604020202020204" pitchFamily="34" charset="0"/>
            </a:rPr>
            <a:t>B. FORSCHUNG/ENTWICKLUNG</a:t>
          </a:r>
        </a:p>
      </xdr:txBody>
    </xdr:sp>
    <xdr:clientData/>
  </xdr:twoCellAnchor>
  <xdr:twoCellAnchor>
    <xdr:from>
      <xdr:col>9</xdr:col>
      <xdr:colOff>482600</xdr:colOff>
      <xdr:row>1</xdr:row>
      <xdr:rowOff>143933</xdr:rowOff>
    </xdr:from>
    <xdr:to>
      <xdr:col>13</xdr:col>
      <xdr:colOff>577850</xdr:colOff>
      <xdr:row>3</xdr:row>
      <xdr:rowOff>97366</xdr:rowOff>
    </xdr:to>
    <xdr:sp macro="" textlink="">
      <xdr:nvSpPr>
        <xdr:cNvPr id="6" name="Textfeld 5">
          <a:extLst>
            <a:ext uri="{FF2B5EF4-FFF2-40B4-BE49-F238E27FC236}">
              <a16:creationId xmlns:a16="http://schemas.microsoft.com/office/drawing/2014/main" id="{1B635FB8-2B44-4DC4-B556-E4491DE321A7}"/>
            </a:ext>
          </a:extLst>
        </xdr:cNvPr>
        <xdr:cNvSpPr txBox="1"/>
      </xdr:nvSpPr>
      <xdr:spPr>
        <a:xfrm>
          <a:off x="6683375" y="572558"/>
          <a:ext cx="3143250" cy="334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AT" sz="1400" b="1" i="1">
              <a:solidFill>
                <a:srgbClr val="831933"/>
              </a:solidFill>
              <a:latin typeface="Arial" panose="020B0604020202020204" pitchFamily="34" charset="0"/>
              <a:cs typeface="Arial" panose="020B0604020202020204" pitchFamily="34" charset="0"/>
            </a:rPr>
            <a:t>C. LEHRE</a:t>
          </a:r>
        </a:p>
      </xdr:txBody>
    </xdr:sp>
    <xdr:clientData/>
  </xdr:twoCellAnchor>
  <xdr:twoCellAnchor>
    <xdr:from>
      <xdr:col>13</xdr:col>
      <xdr:colOff>711200</xdr:colOff>
      <xdr:row>1</xdr:row>
      <xdr:rowOff>82020</xdr:rowOff>
    </xdr:from>
    <xdr:to>
      <xdr:col>18</xdr:col>
      <xdr:colOff>76200</xdr:colOff>
      <xdr:row>4</xdr:row>
      <xdr:rowOff>39688</xdr:rowOff>
    </xdr:to>
    <xdr:sp macro="" textlink="">
      <xdr:nvSpPr>
        <xdr:cNvPr id="7" name="Textfeld 6">
          <a:extLst>
            <a:ext uri="{FF2B5EF4-FFF2-40B4-BE49-F238E27FC236}">
              <a16:creationId xmlns:a16="http://schemas.microsoft.com/office/drawing/2014/main" id="{3D6D2F6D-EFD4-4F5A-86EE-0C6DB836C279}"/>
            </a:ext>
          </a:extLst>
        </xdr:cNvPr>
        <xdr:cNvSpPr txBox="1"/>
      </xdr:nvSpPr>
      <xdr:spPr>
        <a:xfrm>
          <a:off x="10024533" y="505353"/>
          <a:ext cx="3201459" cy="5132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AT" sz="1400" b="1" i="1">
              <a:solidFill>
                <a:srgbClr val="831933"/>
              </a:solidFill>
              <a:latin typeface="Arial" panose="020B0604020202020204" pitchFamily="34" charset="0"/>
              <a:cs typeface="Arial" panose="020B0604020202020204" pitchFamily="34" charset="0"/>
            </a:rPr>
            <a:t>D. SONSTIGE LEISTUNGSBEREICHE</a:t>
          </a:r>
        </a:p>
      </xdr:txBody>
    </xdr:sp>
    <xdr:clientData/>
  </xdr:twoCellAnchor>
  <xdr:twoCellAnchor>
    <xdr:from>
      <xdr:col>18</xdr:col>
      <xdr:colOff>127000</xdr:colOff>
      <xdr:row>1</xdr:row>
      <xdr:rowOff>127000</xdr:rowOff>
    </xdr:from>
    <xdr:to>
      <xdr:col>21</xdr:col>
      <xdr:colOff>984250</xdr:colOff>
      <xdr:row>3</xdr:row>
      <xdr:rowOff>74083</xdr:rowOff>
    </xdr:to>
    <xdr:sp macro="" textlink="">
      <xdr:nvSpPr>
        <xdr:cNvPr id="8" name="Textfeld 7">
          <a:extLst>
            <a:ext uri="{FF2B5EF4-FFF2-40B4-BE49-F238E27FC236}">
              <a16:creationId xmlns:a16="http://schemas.microsoft.com/office/drawing/2014/main" id="{7379C211-F82F-4731-9474-FB3CF37FF6C8}"/>
            </a:ext>
          </a:extLst>
        </xdr:cNvPr>
        <xdr:cNvSpPr txBox="1"/>
      </xdr:nvSpPr>
      <xdr:spPr>
        <a:xfrm>
          <a:off x="13185775" y="555625"/>
          <a:ext cx="3143250" cy="328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AT" sz="1400" b="1" i="1">
              <a:solidFill>
                <a:srgbClr val="831933"/>
              </a:solidFill>
              <a:latin typeface="Arial" panose="020B0604020202020204" pitchFamily="34" charset="0"/>
              <a:cs typeface="Arial" panose="020B0604020202020204" pitchFamily="34" charset="0"/>
            </a:rPr>
            <a:t>GESAMT</a:t>
          </a:r>
        </a:p>
      </xdr:txBody>
    </xdr:sp>
    <xdr:clientData/>
  </xdr:twoCellAnchor>
  <xdr:twoCellAnchor>
    <xdr:from>
      <xdr:col>9</xdr:col>
      <xdr:colOff>469900</xdr:colOff>
      <xdr:row>1</xdr:row>
      <xdr:rowOff>76200</xdr:rowOff>
    </xdr:from>
    <xdr:to>
      <xdr:col>13</xdr:col>
      <xdr:colOff>615950</xdr:colOff>
      <xdr:row>32</xdr:row>
      <xdr:rowOff>169333</xdr:rowOff>
    </xdr:to>
    <xdr:sp macro="" textlink="">
      <xdr:nvSpPr>
        <xdr:cNvPr id="9" name="Rechteck 8">
          <a:extLst>
            <a:ext uri="{FF2B5EF4-FFF2-40B4-BE49-F238E27FC236}">
              <a16:creationId xmlns:a16="http://schemas.microsoft.com/office/drawing/2014/main" id="{F6B28796-4C98-45A9-91AD-9AE8D3017C85}"/>
            </a:ext>
          </a:extLst>
        </xdr:cNvPr>
        <xdr:cNvSpPr/>
      </xdr:nvSpPr>
      <xdr:spPr>
        <a:xfrm>
          <a:off x="6670675" y="504825"/>
          <a:ext cx="3194050" cy="5998633"/>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5</xdr:col>
      <xdr:colOff>260350</xdr:colOff>
      <xdr:row>1</xdr:row>
      <xdr:rowOff>76200</xdr:rowOff>
    </xdr:from>
    <xdr:to>
      <xdr:col>9</xdr:col>
      <xdr:colOff>406400</xdr:colOff>
      <xdr:row>32</xdr:row>
      <xdr:rowOff>169333</xdr:rowOff>
    </xdr:to>
    <xdr:sp macro="" textlink="">
      <xdr:nvSpPr>
        <xdr:cNvPr id="10" name="Rechteck 9">
          <a:extLst>
            <a:ext uri="{FF2B5EF4-FFF2-40B4-BE49-F238E27FC236}">
              <a16:creationId xmlns:a16="http://schemas.microsoft.com/office/drawing/2014/main" id="{32E16EE2-C4DD-42A1-97BC-E78C60CB5101}"/>
            </a:ext>
          </a:extLst>
        </xdr:cNvPr>
        <xdr:cNvSpPr/>
      </xdr:nvSpPr>
      <xdr:spPr>
        <a:xfrm>
          <a:off x="3413125" y="504825"/>
          <a:ext cx="3194050" cy="5998633"/>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13</xdr:col>
      <xdr:colOff>679450</xdr:colOff>
      <xdr:row>1</xdr:row>
      <xdr:rowOff>76200</xdr:rowOff>
    </xdr:from>
    <xdr:to>
      <xdr:col>18</xdr:col>
      <xdr:colOff>63500</xdr:colOff>
      <xdr:row>32</xdr:row>
      <xdr:rowOff>169333</xdr:rowOff>
    </xdr:to>
    <xdr:sp macro="" textlink="">
      <xdr:nvSpPr>
        <xdr:cNvPr id="11" name="Rechteck 10">
          <a:extLst>
            <a:ext uri="{FF2B5EF4-FFF2-40B4-BE49-F238E27FC236}">
              <a16:creationId xmlns:a16="http://schemas.microsoft.com/office/drawing/2014/main" id="{C136C31B-89F1-474A-9D7E-D4786BB72759}"/>
            </a:ext>
          </a:extLst>
        </xdr:cNvPr>
        <xdr:cNvSpPr/>
      </xdr:nvSpPr>
      <xdr:spPr>
        <a:xfrm>
          <a:off x="9928225" y="504825"/>
          <a:ext cx="3194050" cy="5998633"/>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18</xdr:col>
      <xdr:colOff>127000</xdr:colOff>
      <xdr:row>1</xdr:row>
      <xdr:rowOff>76200</xdr:rowOff>
    </xdr:from>
    <xdr:to>
      <xdr:col>21</xdr:col>
      <xdr:colOff>1069133</xdr:colOff>
      <xdr:row>32</xdr:row>
      <xdr:rowOff>169333</xdr:rowOff>
    </xdr:to>
    <xdr:sp macro="" textlink="">
      <xdr:nvSpPr>
        <xdr:cNvPr id="12" name="Rechteck 11">
          <a:extLst>
            <a:ext uri="{FF2B5EF4-FFF2-40B4-BE49-F238E27FC236}">
              <a16:creationId xmlns:a16="http://schemas.microsoft.com/office/drawing/2014/main" id="{A88E9009-969C-467A-BD4B-48CAE0E235F4}"/>
            </a:ext>
          </a:extLst>
        </xdr:cNvPr>
        <xdr:cNvSpPr/>
      </xdr:nvSpPr>
      <xdr:spPr>
        <a:xfrm>
          <a:off x="13121821" y="503853"/>
          <a:ext cx="3216470" cy="6119153"/>
        </a:xfrm>
        <a:prstGeom prst="rect">
          <a:avLst/>
        </a:prstGeom>
        <a:noFill/>
        <a:ln w="381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xdr:col>
      <xdr:colOff>88900</xdr:colOff>
      <xdr:row>4</xdr:row>
      <xdr:rowOff>0</xdr:rowOff>
    </xdr:from>
    <xdr:to>
      <xdr:col>3</xdr:col>
      <xdr:colOff>546100</xdr:colOff>
      <xdr:row>5</xdr:row>
      <xdr:rowOff>127000</xdr:rowOff>
    </xdr:to>
    <xdr:sp macro="" textlink="">
      <xdr:nvSpPr>
        <xdr:cNvPr id="13" name="Textfeld 12">
          <a:extLst>
            <a:ext uri="{FF2B5EF4-FFF2-40B4-BE49-F238E27FC236}">
              <a16:creationId xmlns:a16="http://schemas.microsoft.com/office/drawing/2014/main" id="{98B67130-8F8D-46C7-985C-F132B84DB743}"/>
            </a:ext>
          </a:extLst>
        </xdr:cNvPr>
        <xdr:cNvSpPr txBox="1"/>
      </xdr:nvSpPr>
      <xdr:spPr>
        <a:xfrm>
          <a:off x="193675" y="1000125"/>
          <a:ext cx="19812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ANZAHL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PROJEKTE</a:t>
          </a:r>
          <a:r>
            <a:rPr lang="de-AT" sz="1400" baseline="0">
              <a:solidFill>
                <a:srgbClr val="831933"/>
              </a:solidFill>
              <a:latin typeface="Arial" panose="020B0604020202020204" pitchFamily="34" charset="0"/>
              <a:cs typeface="Arial" panose="020B0604020202020204" pitchFamily="34" charset="0"/>
            </a:rPr>
            <a: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3</xdr:col>
      <xdr:colOff>533400</xdr:colOff>
      <xdr:row>4</xdr:row>
      <xdr:rowOff>12700</xdr:rowOff>
    </xdr:from>
    <xdr:to>
      <xdr:col>4</xdr:col>
      <xdr:colOff>342900</xdr:colOff>
      <xdr:row>5</xdr:row>
      <xdr:rowOff>103717</xdr:rowOff>
    </xdr:to>
    <xdr:sp macro="" textlink="Arbeitsbereich!P4">
      <xdr:nvSpPr>
        <xdr:cNvPr id="14" name="Textfeld 13">
          <a:extLst>
            <a:ext uri="{FF2B5EF4-FFF2-40B4-BE49-F238E27FC236}">
              <a16:creationId xmlns:a16="http://schemas.microsoft.com/office/drawing/2014/main" id="{9BFE51ED-BFEC-4FFD-AAEA-811AF5411A5E}"/>
            </a:ext>
          </a:extLst>
        </xdr:cNvPr>
        <xdr:cNvSpPr txBox="1"/>
      </xdr:nvSpPr>
      <xdr:spPr>
        <a:xfrm>
          <a:off x="2162175" y="1012825"/>
          <a:ext cx="571500" cy="2815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24E9E7-3BAA-43AF-AB7B-0EAE3F09AA6A}" type="TxLink">
            <a:rPr lang="en-US" sz="1400" b="0" i="0" u="none" strike="noStrike">
              <a:solidFill>
                <a:srgbClr val="000000"/>
              </a:solidFill>
              <a:latin typeface="Arial" panose="020B0604020202020204" pitchFamily="34" charset="0"/>
              <a:cs typeface="Arial" panose="020B0604020202020204" pitchFamily="34" charset="0"/>
            </a:rPr>
            <a:pPr algn="ctr"/>
            <a:t>1</a:t>
          </a:fld>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5</xdr:col>
      <xdr:colOff>311150</xdr:colOff>
      <xdr:row>4</xdr:row>
      <xdr:rowOff>6350</xdr:rowOff>
    </xdr:from>
    <xdr:to>
      <xdr:col>8</xdr:col>
      <xdr:colOff>6350</xdr:colOff>
      <xdr:row>5</xdr:row>
      <xdr:rowOff>133350</xdr:rowOff>
    </xdr:to>
    <xdr:sp macro="" textlink="">
      <xdr:nvSpPr>
        <xdr:cNvPr id="15" name="Textfeld 14">
          <a:extLst>
            <a:ext uri="{FF2B5EF4-FFF2-40B4-BE49-F238E27FC236}">
              <a16:creationId xmlns:a16="http://schemas.microsoft.com/office/drawing/2014/main" id="{07EEDA78-0135-4ED2-BA4C-3B6183C28228}"/>
            </a:ext>
          </a:extLst>
        </xdr:cNvPr>
        <xdr:cNvSpPr txBox="1"/>
      </xdr:nvSpPr>
      <xdr:spPr>
        <a:xfrm>
          <a:off x="3463925" y="1006475"/>
          <a:ext cx="19812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ANZAHL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PROJEKTE</a:t>
          </a:r>
          <a:r>
            <a:rPr lang="de-AT" sz="1400" baseline="0">
              <a:solidFill>
                <a:srgbClr val="831933"/>
              </a:solidFill>
              <a:latin typeface="Arial" panose="020B0604020202020204" pitchFamily="34" charset="0"/>
              <a:cs typeface="Arial" panose="020B0604020202020204" pitchFamily="34" charset="0"/>
            </a:rPr>
            <a: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7</xdr:col>
      <xdr:colOff>685800</xdr:colOff>
      <xdr:row>4</xdr:row>
      <xdr:rowOff>12700</xdr:rowOff>
    </xdr:from>
    <xdr:to>
      <xdr:col>8</xdr:col>
      <xdr:colOff>495300</xdr:colOff>
      <xdr:row>5</xdr:row>
      <xdr:rowOff>103717</xdr:rowOff>
    </xdr:to>
    <xdr:sp macro="" textlink="Arbeitsbereich!R4">
      <xdr:nvSpPr>
        <xdr:cNvPr id="16" name="Textfeld 15">
          <a:extLst>
            <a:ext uri="{FF2B5EF4-FFF2-40B4-BE49-F238E27FC236}">
              <a16:creationId xmlns:a16="http://schemas.microsoft.com/office/drawing/2014/main" id="{78DDFDE3-1ECC-4E8B-8CD7-07EC6BE9D7E0}"/>
            </a:ext>
          </a:extLst>
        </xdr:cNvPr>
        <xdr:cNvSpPr txBox="1"/>
      </xdr:nvSpPr>
      <xdr:spPr>
        <a:xfrm>
          <a:off x="5362575" y="1012825"/>
          <a:ext cx="571500" cy="2815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810FD2-66A1-4B8E-A55E-DDDBC93DB9F1}" type="TxLink">
            <a:rPr lang="en-US" sz="1400" b="0" i="0" u="none" strike="noStrike">
              <a:solidFill>
                <a:srgbClr val="000000"/>
              </a:solidFill>
              <a:latin typeface="Arial" panose="020B0604020202020204" pitchFamily="34" charset="0"/>
              <a:cs typeface="Arial" panose="020B0604020202020204" pitchFamily="34" charset="0"/>
            </a:rPr>
            <a:pPr algn="ctr"/>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9</xdr:col>
      <xdr:colOff>546100</xdr:colOff>
      <xdr:row>3</xdr:row>
      <xdr:rowOff>171450</xdr:rowOff>
    </xdr:from>
    <xdr:to>
      <xdr:col>12</xdr:col>
      <xdr:colOff>241300</xdr:colOff>
      <xdr:row>5</xdr:row>
      <xdr:rowOff>114300</xdr:rowOff>
    </xdr:to>
    <xdr:sp macro="" textlink="">
      <xdr:nvSpPr>
        <xdr:cNvPr id="17" name="Textfeld 16">
          <a:extLst>
            <a:ext uri="{FF2B5EF4-FFF2-40B4-BE49-F238E27FC236}">
              <a16:creationId xmlns:a16="http://schemas.microsoft.com/office/drawing/2014/main" id="{30DED474-848A-4517-BD65-3C628929A3D3}"/>
            </a:ext>
          </a:extLst>
        </xdr:cNvPr>
        <xdr:cNvSpPr txBox="1"/>
      </xdr:nvSpPr>
      <xdr:spPr>
        <a:xfrm>
          <a:off x="6746875" y="981075"/>
          <a:ext cx="19812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ANZAHL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PROJEKTE</a:t>
          </a:r>
          <a:r>
            <a:rPr lang="de-AT" sz="1400" baseline="0">
              <a:solidFill>
                <a:srgbClr val="831933"/>
              </a:solidFill>
              <a:latin typeface="Arial" panose="020B0604020202020204" pitchFamily="34" charset="0"/>
              <a:cs typeface="Arial" panose="020B0604020202020204" pitchFamily="34" charset="0"/>
            </a:rPr>
            <a: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12</xdr:col>
      <xdr:colOff>133350</xdr:colOff>
      <xdr:row>3</xdr:row>
      <xdr:rowOff>165100</xdr:rowOff>
    </xdr:from>
    <xdr:to>
      <xdr:col>12</xdr:col>
      <xdr:colOff>704850</xdr:colOff>
      <xdr:row>5</xdr:row>
      <xdr:rowOff>71967</xdr:rowOff>
    </xdr:to>
    <xdr:sp macro="" textlink="Arbeitsbereich!T4">
      <xdr:nvSpPr>
        <xdr:cNvPr id="18" name="Textfeld 17">
          <a:extLst>
            <a:ext uri="{FF2B5EF4-FFF2-40B4-BE49-F238E27FC236}">
              <a16:creationId xmlns:a16="http://schemas.microsoft.com/office/drawing/2014/main" id="{6A48E338-19FE-4A79-8C56-BEA20046A987}"/>
            </a:ext>
          </a:extLst>
        </xdr:cNvPr>
        <xdr:cNvSpPr txBox="1"/>
      </xdr:nvSpPr>
      <xdr:spPr>
        <a:xfrm>
          <a:off x="8620125" y="974725"/>
          <a:ext cx="571500" cy="2878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F868D9-7404-45B3-B94E-B2230C2F21D6}" type="TxLink">
            <a:rPr lang="en-US" sz="1400" b="0" i="0" u="none" strike="noStrike">
              <a:solidFill>
                <a:srgbClr val="000000"/>
              </a:solidFill>
              <a:latin typeface="Arial" panose="020B0604020202020204" pitchFamily="34" charset="0"/>
              <a:cs typeface="Arial" panose="020B0604020202020204" pitchFamily="34" charset="0"/>
            </a:rPr>
            <a:pPr algn="ctr"/>
            <a:t>2</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6350</xdr:colOff>
      <xdr:row>3</xdr:row>
      <xdr:rowOff>171450</xdr:rowOff>
    </xdr:from>
    <xdr:to>
      <xdr:col>16</xdr:col>
      <xdr:colOff>463550</xdr:colOff>
      <xdr:row>5</xdr:row>
      <xdr:rowOff>114300</xdr:rowOff>
    </xdr:to>
    <xdr:sp macro="" textlink="">
      <xdr:nvSpPr>
        <xdr:cNvPr id="19" name="Textfeld 18">
          <a:extLst>
            <a:ext uri="{FF2B5EF4-FFF2-40B4-BE49-F238E27FC236}">
              <a16:creationId xmlns:a16="http://schemas.microsoft.com/office/drawing/2014/main" id="{8AA9EE39-A8FE-47E2-BE00-012EAAAAB681}"/>
            </a:ext>
          </a:extLst>
        </xdr:cNvPr>
        <xdr:cNvSpPr txBox="1"/>
      </xdr:nvSpPr>
      <xdr:spPr>
        <a:xfrm>
          <a:off x="10017125" y="981075"/>
          <a:ext cx="19812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ANZAHL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PROJEKTE</a:t>
          </a:r>
          <a:r>
            <a:rPr lang="de-AT" sz="1400" baseline="0">
              <a:solidFill>
                <a:srgbClr val="831933"/>
              </a:solidFill>
              <a:latin typeface="Arial" panose="020B0604020202020204" pitchFamily="34" charset="0"/>
              <a:cs typeface="Arial" panose="020B0604020202020204" pitchFamily="34" charset="0"/>
            </a:rPr>
            <a: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16</xdr:col>
      <xdr:colOff>349250</xdr:colOff>
      <xdr:row>3</xdr:row>
      <xdr:rowOff>171450</xdr:rowOff>
    </xdr:from>
    <xdr:to>
      <xdr:col>17</xdr:col>
      <xdr:colOff>158750</xdr:colOff>
      <xdr:row>5</xdr:row>
      <xdr:rowOff>78317</xdr:rowOff>
    </xdr:to>
    <xdr:sp macro="" textlink="Arbeitsbereich!V4">
      <xdr:nvSpPr>
        <xdr:cNvPr id="20" name="Textfeld 19">
          <a:extLst>
            <a:ext uri="{FF2B5EF4-FFF2-40B4-BE49-F238E27FC236}">
              <a16:creationId xmlns:a16="http://schemas.microsoft.com/office/drawing/2014/main" id="{DCBAC9C4-A008-405F-AED3-6E81FE2F5C99}"/>
            </a:ext>
          </a:extLst>
        </xdr:cNvPr>
        <xdr:cNvSpPr txBox="1"/>
      </xdr:nvSpPr>
      <xdr:spPr>
        <a:xfrm>
          <a:off x="11884025" y="981075"/>
          <a:ext cx="571500" cy="2878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EBB830-6BDF-428B-B3A1-222ACD1E4A13}" type="TxLink">
            <a:rPr lang="en-US" sz="1400" b="0" i="0" u="none" strike="noStrike">
              <a:solidFill>
                <a:srgbClr val="000000"/>
              </a:solidFill>
              <a:latin typeface="Arial" panose="020B0604020202020204" pitchFamily="34" charset="0"/>
              <a:cs typeface="Arial" panose="020B0604020202020204" pitchFamily="34" charset="0"/>
            </a:rPr>
            <a:pPr algn="ctr"/>
            <a:t>1</a:t>
          </a:fld>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18</xdr:col>
      <xdr:colOff>177800</xdr:colOff>
      <xdr:row>3</xdr:row>
      <xdr:rowOff>152400</xdr:rowOff>
    </xdr:from>
    <xdr:to>
      <xdr:col>20</xdr:col>
      <xdr:colOff>635000</xdr:colOff>
      <xdr:row>5</xdr:row>
      <xdr:rowOff>95250</xdr:rowOff>
    </xdr:to>
    <xdr:sp macro="" textlink="">
      <xdr:nvSpPr>
        <xdr:cNvPr id="21" name="Textfeld 20">
          <a:extLst>
            <a:ext uri="{FF2B5EF4-FFF2-40B4-BE49-F238E27FC236}">
              <a16:creationId xmlns:a16="http://schemas.microsoft.com/office/drawing/2014/main" id="{63775437-A7CA-42B2-A2BF-D67006310203}"/>
            </a:ext>
          </a:extLst>
        </xdr:cNvPr>
        <xdr:cNvSpPr txBox="1"/>
      </xdr:nvSpPr>
      <xdr:spPr>
        <a:xfrm>
          <a:off x="13236575" y="962025"/>
          <a:ext cx="19812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ANZAHL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PROJEKTE</a:t>
          </a:r>
          <a:r>
            <a:rPr lang="de-AT" sz="1400" baseline="0">
              <a:solidFill>
                <a:srgbClr val="831933"/>
              </a:solidFill>
              <a:latin typeface="Arial" panose="020B0604020202020204" pitchFamily="34" charset="0"/>
              <a:cs typeface="Arial" panose="020B0604020202020204" pitchFamily="34" charset="0"/>
            </a:rPr>
            <a: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20</xdr:col>
      <xdr:colOff>546100</xdr:colOff>
      <xdr:row>3</xdr:row>
      <xdr:rowOff>158750</xdr:rowOff>
    </xdr:from>
    <xdr:to>
      <xdr:col>21</xdr:col>
      <xdr:colOff>355600</xdr:colOff>
      <xdr:row>5</xdr:row>
      <xdr:rowOff>65617</xdr:rowOff>
    </xdr:to>
    <xdr:sp macro="" textlink="Arbeitsbereich!D4">
      <xdr:nvSpPr>
        <xdr:cNvPr id="22" name="Textfeld 21">
          <a:extLst>
            <a:ext uri="{FF2B5EF4-FFF2-40B4-BE49-F238E27FC236}">
              <a16:creationId xmlns:a16="http://schemas.microsoft.com/office/drawing/2014/main" id="{4BFDE233-4714-4798-97A9-6FF13377464B}"/>
            </a:ext>
          </a:extLst>
        </xdr:cNvPr>
        <xdr:cNvSpPr txBox="1"/>
      </xdr:nvSpPr>
      <xdr:spPr>
        <a:xfrm>
          <a:off x="15128875" y="968375"/>
          <a:ext cx="571500" cy="2878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E9F245-3F1D-4345-BA5C-F28F1E1B9239}" type="TxLink">
            <a:rPr lang="en-US" sz="1400" b="0" i="0" u="none" strike="noStrike">
              <a:solidFill>
                <a:srgbClr val="000000"/>
              </a:solidFill>
              <a:latin typeface="Aptos Narrow"/>
              <a:cs typeface="Arial" panose="020B0604020202020204" pitchFamily="34" charset="0"/>
            </a:rPr>
            <a:pPr algn="ctr"/>
            <a:t>4</a:t>
          </a:fld>
          <a:endParaRPr lang="de-AT" sz="4000">
            <a:solidFill>
              <a:srgbClr val="831933"/>
            </a:solidFill>
            <a:latin typeface="Arial" panose="020B0604020202020204" pitchFamily="34" charset="0"/>
            <a:cs typeface="Arial" panose="020B0604020202020204" pitchFamily="34" charset="0"/>
          </a:endParaRPr>
        </a:p>
      </xdr:txBody>
    </xdr:sp>
    <xdr:clientData/>
  </xdr:twoCellAnchor>
  <xdr:twoCellAnchor>
    <xdr:from>
      <xdr:col>2</xdr:col>
      <xdr:colOff>463550</xdr:colOff>
      <xdr:row>5</xdr:row>
      <xdr:rowOff>133350</xdr:rowOff>
    </xdr:from>
    <xdr:to>
      <xdr:col>6</xdr:col>
      <xdr:colOff>532784</xdr:colOff>
      <xdr:row>12</xdr:row>
      <xdr:rowOff>153234</xdr:rowOff>
    </xdr:to>
    <xdr:graphicFrame macro="">
      <xdr:nvGraphicFramePr>
        <xdr:cNvPr id="23" name="Diagramm 22">
          <a:extLst>
            <a:ext uri="{FF2B5EF4-FFF2-40B4-BE49-F238E27FC236}">
              <a16:creationId xmlns:a16="http://schemas.microsoft.com/office/drawing/2014/main" id="{B8B1D7D2-909E-4ED0-8677-C2D446503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277283</xdr:colOff>
      <xdr:row>9</xdr:row>
      <xdr:rowOff>44450</xdr:rowOff>
    </xdr:from>
    <xdr:to>
      <xdr:col>8</xdr:col>
      <xdr:colOff>569383</xdr:colOff>
      <xdr:row>10</xdr:row>
      <xdr:rowOff>171450</xdr:rowOff>
    </xdr:to>
    <xdr:sp macro="" textlink="">
      <xdr:nvSpPr>
        <xdr:cNvPr id="24" name="Textfeld 23">
          <a:extLst>
            <a:ext uri="{FF2B5EF4-FFF2-40B4-BE49-F238E27FC236}">
              <a16:creationId xmlns:a16="http://schemas.microsoft.com/office/drawing/2014/main" id="{2FD40092-37CB-45BF-BE7C-93DA0682E344}"/>
            </a:ext>
          </a:extLst>
        </xdr:cNvPr>
        <xdr:cNvSpPr txBox="1"/>
      </xdr:nvSpPr>
      <xdr:spPr>
        <a:xfrm>
          <a:off x="3430058" y="1997075"/>
          <a:ext cx="25781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PROJEKTFORTSCHRITT: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6</xdr:col>
      <xdr:colOff>673100</xdr:colOff>
      <xdr:row>5</xdr:row>
      <xdr:rowOff>133350</xdr:rowOff>
    </xdr:from>
    <xdr:to>
      <xdr:col>10</xdr:col>
      <xdr:colOff>742334</xdr:colOff>
      <xdr:row>12</xdr:row>
      <xdr:rowOff>153234</xdr:rowOff>
    </xdr:to>
    <xdr:graphicFrame macro="">
      <xdr:nvGraphicFramePr>
        <xdr:cNvPr id="25" name="Diagramm 24">
          <a:extLst>
            <a:ext uri="{FF2B5EF4-FFF2-40B4-BE49-F238E27FC236}">
              <a16:creationId xmlns:a16="http://schemas.microsoft.com/office/drawing/2014/main" id="{A3B726B6-4E2A-40D1-8DEF-1D19937F4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501650</xdr:colOff>
      <xdr:row>9</xdr:row>
      <xdr:rowOff>63500</xdr:rowOff>
    </xdr:from>
    <xdr:to>
      <xdr:col>13</xdr:col>
      <xdr:colOff>31750</xdr:colOff>
      <xdr:row>11</xdr:row>
      <xdr:rowOff>6350</xdr:rowOff>
    </xdr:to>
    <xdr:sp macro="" textlink="">
      <xdr:nvSpPr>
        <xdr:cNvPr id="26" name="Textfeld 25">
          <a:extLst>
            <a:ext uri="{FF2B5EF4-FFF2-40B4-BE49-F238E27FC236}">
              <a16:creationId xmlns:a16="http://schemas.microsoft.com/office/drawing/2014/main" id="{A4B5FA46-9C1F-4C56-BBFD-B5AEE2CAE2E1}"/>
            </a:ext>
          </a:extLst>
        </xdr:cNvPr>
        <xdr:cNvSpPr txBox="1"/>
      </xdr:nvSpPr>
      <xdr:spPr>
        <a:xfrm>
          <a:off x="6702425" y="2016125"/>
          <a:ext cx="25781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PROJEKTFORTSCHRITT: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11</xdr:col>
      <xdr:colOff>146050</xdr:colOff>
      <xdr:row>5</xdr:row>
      <xdr:rowOff>152400</xdr:rowOff>
    </xdr:from>
    <xdr:to>
      <xdr:col>15</xdr:col>
      <xdr:colOff>215284</xdr:colOff>
      <xdr:row>12</xdr:row>
      <xdr:rowOff>172284</xdr:rowOff>
    </xdr:to>
    <xdr:graphicFrame macro="">
      <xdr:nvGraphicFramePr>
        <xdr:cNvPr id="27" name="Diagramm 26">
          <a:extLst>
            <a:ext uri="{FF2B5EF4-FFF2-40B4-BE49-F238E27FC236}">
              <a16:creationId xmlns:a16="http://schemas.microsoft.com/office/drawing/2014/main" id="{106B98A8-AB6B-4D95-971C-204DA2FC5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704850</xdr:colOff>
      <xdr:row>9</xdr:row>
      <xdr:rowOff>38100</xdr:rowOff>
    </xdr:from>
    <xdr:to>
      <xdr:col>17</xdr:col>
      <xdr:colOff>234950</xdr:colOff>
      <xdr:row>10</xdr:row>
      <xdr:rowOff>165100</xdr:rowOff>
    </xdr:to>
    <xdr:sp macro="" textlink="">
      <xdr:nvSpPr>
        <xdr:cNvPr id="28" name="Textfeld 27">
          <a:extLst>
            <a:ext uri="{FF2B5EF4-FFF2-40B4-BE49-F238E27FC236}">
              <a16:creationId xmlns:a16="http://schemas.microsoft.com/office/drawing/2014/main" id="{EF4A7390-54FB-41FF-B210-247012F1C237}"/>
            </a:ext>
          </a:extLst>
        </xdr:cNvPr>
        <xdr:cNvSpPr txBox="1"/>
      </xdr:nvSpPr>
      <xdr:spPr>
        <a:xfrm>
          <a:off x="9953625" y="1990725"/>
          <a:ext cx="25781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PROJEKTFORTSCHRITT: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15</xdr:col>
      <xdr:colOff>349250</xdr:colOff>
      <xdr:row>5</xdr:row>
      <xdr:rowOff>127000</xdr:rowOff>
    </xdr:from>
    <xdr:to>
      <xdr:col>19</xdr:col>
      <xdr:colOff>418484</xdr:colOff>
      <xdr:row>12</xdr:row>
      <xdr:rowOff>146884</xdr:rowOff>
    </xdr:to>
    <xdr:graphicFrame macro="">
      <xdr:nvGraphicFramePr>
        <xdr:cNvPr id="29" name="Diagramm 28">
          <a:extLst>
            <a:ext uri="{FF2B5EF4-FFF2-40B4-BE49-F238E27FC236}">
              <a16:creationId xmlns:a16="http://schemas.microsoft.com/office/drawing/2014/main" id="{E9B0E0BE-E262-476C-8A08-719E8161E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146050</xdr:colOff>
      <xdr:row>9</xdr:row>
      <xdr:rowOff>25400</xdr:rowOff>
    </xdr:from>
    <xdr:to>
      <xdr:col>21</xdr:col>
      <xdr:colOff>438150</xdr:colOff>
      <xdr:row>10</xdr:row>
      <xdr:rowOff>152400</xdr:rowOff>
    </xdr:to>
    <xdr:sp macro="" textlink="">
      <xdr:nvSpPr>
        <xdr:cNvPr id="30" name="Textfeld 29">
          <a:extLst>
            <a:ext uri="{FF2B5EF4-FFF2-40B4-BE49-F238E27FC236}">
              <a16:creationId xmlns:a16="http://schemas.microsoft.com/office/drawing/2014/main" id="{1809AF45-0A67-4701-9E42-61A2841D97BB}"/>
            </a:ext>
          </a:extLst>
        </xdr:cNvPr>
        <xdr:cNvSpPr txBox="1"/>
      </xdr:nvSpPr>
      <xdr:spPr>
        <a:xfrm>
          <a:off x="13204825" y="1978025"/>
          <a:ext cx="25781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PROJEKTFORTSCHRITT: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19</xdr:col>
      <xdr:colOff>552450</xdr:colOff>
      <xdr:row>5</xdr:row>
      <xdr:rowOff>114300</xdr:rowOff>
    </xdr:from>
    <xdr:to>
      <xdr:col>23</xdr:col>
      <xdr:colOff>297834</xdr:colOff>
      <xdr:row>12</xdr:row>
      <xdr:rowOff>134184</xdr:rowOff>
    </xdr:to>
    <xdr:graphicFrame macro="">
      <xdr:nvGraphicFramePr>
        <xdr:cNvPr id="31" name="Diagramm 30">
          <a:extLst>
            <a:ext uri="{FF2B5EF4-FFF2-40B4-BE49-F238E27FC236}">
              <a16:creationId xmlns:a16="http://schemas.microsoft.com/office/drawing/2014/main" id="{7D6FCCA3-7E8C-4C91-8028-944FB0B8D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90487</xdr:colOff>
      <xdr:row>6</xdr:row>
      <xdr:rowOff>66675</xdr:rowOff>
    </xdr:from>
    <xdr:to>
      <xdr:col>5</xdr:col>
      <xdr:colOff>185737</xdr:colOff>
      <xdr:row>8</xdr:row>
      <xdr:rowOff>9525</xdr:rowOff>
    </xdr:to>
    <xdr:grpSp>
      <xdr:nvGrpSpPr>
        <xdr:cNvPr id="32" name="Gruppieren 31">
          <a:extLst>
            <a:ext uri="{FF2B5EF4-FFF2-40B4-BE49-F238E27FC236}">
              <a16:creationId xmlns:a16="http://schemas.microsoft.com/office/drawing/2014/main" id="{D91D0467-3FC9-4467-AB2D-2F4ED2815B1B}"/>
            </a:ext>
          </a:extLst>
        </xdr:cNvPr>
        <xdr:cNvGrpSpPr/>
      </xdr:nvGrpSpPr>
      <xdr:grpSpPr>
        <a:xfrm>
          <a:off x="194396" y="1417493"/>
          <a:ext cx="3143250" cy="312305"/>
          <a:chOff x="190500" y="1371600"/>
          <a:chExt cx="3136900" cy="311150"/>
        </a:xfrm>
      </xdr:grpSpPr>
      <xdr:sp macro="" textlink="">
        <xdr:nvSpPr>
          <xdr:cNvPr id="33" name="Textfeld 32">
            <a:extLst>
              <a:ext uri="{FF2B5EF4-FFF2-40B4-BE49-F238E27FC236}">
                <a16:creationId xmlns:a16="http://schemas.microsoft.com/office/drawing/2014/main" id="{00618892-EB4F-71A2-3DA7-B0AFB9FDE0B9}"/>
              </a:ext>
            </a:extLst>
          </xdr:cNvPr>
          <xdr:cNvSpPr txBox="1"/>
        </xdr:nvSpPr>
        <xdr:spPr>
          <a:xfrm>
            <a:off x="190500" y="1377950"/>
            <a:ext cx="30988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a:t>
            </a:r>
            <a:r>
              <a:rPr lang="de-AT" sz="1400" b="0" i="0" baseline="0">
                <a:solidFill>
                  <a:srgbClr val="831933"/>
                </a:solidFill>
                <a:effectLst/>
                <a:latin typeface="Arial" panose="020B0604020202020204" pitchFamily="34" charset="0"/>
                <a:ea typeface="+mn-ea"/>
                <a:cs typeface="Arial" panose="020B0604020202020204" pitchFamily="34" charset="0"/>
              </a:rPr>
              <a:t> PROJEKTLAUFZEIT:</a:t>
            </a:r>
            <a:endParaRPr lang="de-AT" sz="1400">
              <a:solidFill>
                <a:srgbClr val="831933"/>
              </a:solidFill>
              <a:effectLst/>
              <a:latin typeface="Arial" panose="020B0604020202020204" pitchFamily="34" charset="0"/>
              <a:cs typeface="Arial" panose="020B0604020202020204" pitchFamily="34" charset="0"/>
            </a:endParaRPr>
          </a:p>
        </xdr:txBody>
      </xdr:sp>
      <xdr:sp macro="" textlink="Arbeitsbereich!J114">
        <xdr:nvSpPr>
          <xdr:cNvPr id="34" name="Textfeld 33">
            <a:extLst>
              <a:ext uri="{FF2B5EF4-FFF2-40B4-BE49-F238E27FC236}">
                <a16:creationId xmlns:a16="http://schemas.microsoft.com/office/drawing/2014/main" id="{9D4A1506-2C06-844F-73D4-49E98DE6114E}"/>
              </a:ext>
            </a:extLst>
          </xdr:cNvPr>
          <xdr:cNvSpPr txBox="1"/>
        </xdr:nvSpPr>
        <xdr:spPr>
          <a:xfrm>
            <a:off x="2190750" y="1377951"/>
            <a:ext cx="40005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B612EA-BD80-4BE9-A3A0-713FA7B3A4EC}" type="TxLink">
              <a:rPr lang="en-US" sz="1400" b="0" i="0" u="none" strike="noStrike">
                <a:solidFill>
                  <a:srgbClr val="000000"/>
                </a:solidFill>
                <a:latin typeface="Arial" panose="020B0604020202020204" pitchFamily="34" charset="0"/>
                <a:cs typeface="Arial" panose="020B0604020202020204" pitchFamily="34" charset="0"/>
              </a:rPr>
              <a:pPr algn="ctr"/>
              <a:t>28</a:t>
            </a:fld>
            <a:endParaRPr lang="de-AT" sz="1400">
              <a:solidFill>
                <a:srgbClr val="831933"/>
              </a:solidFill>
              <a:latin typeface="Arial" panose="020B0604020202020204" pitchFamily="34" charset="0"/>
              <a:cs typeface="Arial" panose="020B0604020202020204" pitchFamily="34" charset="0"/>
            </a:endParaRPr>
          </a:p>
        </xdr:txBody>
      </xdr:sp>
      <xdr:sp macro="" textlink="">
        <xdr:nvSpPr>
          <xdr:cNvPr id="35" name="Textfeld 34">
            <a:extLst>
              <a:ext uri="{FF2B5EF4-FFF2-40B4-BE49-F238E27FC236}">
                <a16:creationId xmlns:a16="http://schemas.microsoft.com/office/drawing/2014/main" id="{C22C924D-E737-F940-4A59-401738E400E7}"/>
              </a:ext>
            </a:extLst>
          </xdr:cNvPr>
          <xdr:cNvSpPr txBox="1"/>
        </xdr:nvSpPr>
        <xdr:spPr>
          <a:xfrm>
            <a:off x="2546350" y="1371600"/>
            <a:ext cx="7810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latin typeface="Arial" panose="020B0604020202020204" pitchFamily="34" charset="0"/>
                <a:cs typeface="Arial" panose="020B0604020202020204" pitchFamily="34" charset="0"/>
              </a:rPr>
              <a:t>Monate</a:t>
            </a:r>
          </a:p>
        </xdr:txBody>
      </xdr:sp>
    </xdr:grpSp>
    <xdr:clientData/>
  </xdr:twoCellAnchor>
  <xdr:twoCellAnchor>
    <xdr:from>
      <xdr:col>5</xdr:col>
      <xdr:colOff>273050</xdr:colOff>
      <xdr:row>6</xdr:row>
      <xdr:rowOff>82550</xdr:rowOff>
    </xdr:from>
    <xdr:to>
      <xdr:col>9</xdr:col>
      <xdr:colOff>361950</xdr:colOff>
      <xdr:row>8</xdr:row>
      <xdr:rowOff>25400</xdr:rowOff>
    </xdr:to>
    <xdr:grpSp>
      <xdr:nvGrpSpPr>
        <xdr:cNvPr id="36" name="Gruppieren 35">
          <a:extLst>
            <a:ext uri="{FF2B5EF4-FFF2-40B4-BE49-F238E27FC236}">
              <a16:creationId xmlns:a16="http://schemas.microsoft.com/office/drawing/2014/main" id="{5AE32615-CF49-43B9-B852-D0A2C302ED48}"/>
            </a:ext>
          </a:extLst>
        </xdr:cNvPr>
        <xdr:cNvGrpSpPr/>
      </xdr:nvGrpSpPr>
      <xdr:grpSpPr>
        <a:xfrm>
          <a:off x="3424959" y="1433368"/>
          <a:ext cx="3136900" cy="312305"/>
          <a:chOff x="190500" y="1371600"/>
          <a:chExt cx="3136900" cy="311150"/>
        </a:xfrm>
      </xdr:grpSpPr>
      <xdr:sp macro="" textlink="">
        <xdr:nvSpPr>
          <xdr:cNvPr id="37" name="Textfeld 36">
            <a:extLst>
              <a:ext uri="{FF2B5EF4-FFF2-40B4-BE49-F238E27FC236}">
                <a16:creationId xmlns:a16="http://schemas.microsoft.com/office/drawing/2014/main" id="{77D2F112-BB6D-DAD3-4ACE-0DCC8C8396B5}"/>
              </a:ext>
            </a:extLst>
          </xdr:cNvPr>
          <xdr:cNvSpPr txBox="1"/>
        </xdr:nvSpPr>
        <xdr:spPr>
          <a:xfrm>
            <a:off x="190500" y="1377950"/>
            <a:ext cx="30988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a:t>
            </a:r>
            <a:r>
              <a:rPr lang="de-AT" sz="1400" b="0" i="0" baseline="0">
                <a:solidFill>
                  <a:srgbClr val="831933"/>
                </a:solidFill>
                <a:effectLst/>
                <a:latin typeface="Arial" panose="020B0604020202020204" pitchFamily="34" charset="0"/>
                <a:ea typeface="+mn-ea"/>
                <a:cs typeface="Arial" panose="020B0604020202020204" pitchFamily="34" charset="0"/>
              </a:rPr>
              <a:t> PROJEKTLAUFZEIT:</a:t>
            </a:r>
            <a:endParaRPr lang="de-AT" sz="1400">
              <a:solidFill>
                <a:srgbClr val="831933"/>
              </a:solidFill>
              <a:effectLst/>
              <a:latin typeface="Arial" panose="020B0604020202020204" pitchFamily="34" charset="0"/>
              <a:cs typeface="Arial" panose="020B0604020202020204" pitchFamily="34" charset="0"/>
            </a:endParaRPr>
          </a:p>
        </xdr:txBody>
      </xdr:sp>
      <xdr:sp macro="" textlink="Arbeitsbereich!K114">
        <xdr:nvSpPr>
          <xdr:cNvPr id="38" name="Textfeld 37">
            <a:extLst>
              <a:ext uri="{FF2B5EF4-FFF2-40B4-BE49-F238E27FC236}">
                <a16:creationId xmlns:a16="http://schemas.microsoft.com/office/drawing/2014/main" id="{F969D991-FE10-E0E0-4392-62470403F0FB}"/>
              </a:ext>
            </a:extLst>
          </xdr:cNvPr>
          <xdr:cNvSpPr txBox="1"/>
        </xdr:nvSpPr>
        <xdr:spPr>
          <a:xfrm>
            <a:off x="2190750" y="1377951"/>
            <a:ext cx="40005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394802-368D-4996-A48C-A6288A9A2705}" type="TxLink">
              <a:rPr lang="en-US" sz="1400" b="0" i="0" u="none" strike="noStrike">
                <a:solidFill>
                  <a:srgbClr val="000000"/>
                </a:solidFill>
                <a:latin typeface="Arial" panose="020B0604020202020204" pitchFamily="34" charset="0"/>
                <a:cs typeface="Arial" panose="020B0604020202020204" pitchFamily="34" charset="0"/>
              </a:rPr>
              <a:pPr algn="ctr"/>
              <a:t>#DIV/0!</a:t>
            </a:fld>
            <a:endParaRPr lang="de-AT" sz="1800">
              <a:solidFill>
                <a:srgbClr val="831933"/>
              </a:solidFill>
              <a:latin typeface="Arial" panose="020B0604020202020204" pitchFamily="34" charset="0"/>
              <a:cs typeface="Arial" panose="020B0604020202020204" pitchFamily="34" charset="0"/>
            </a:endParaRPr>
          </a:p>
        </xdr:txBody>
      </xdr:sp>
      <xdr:sp macro="" textlink="">
        <xdr:nvSpPr>
          <xdr:cNvPr id="39" name="Textfeld 38">
            <a:extLst>
              <a:ext uri="{FF2B5EF4-FFF2-40B4-BE49-F238E27FC236}">
                <a16:creationId xmlns:a16="http://schemas.microsoft.com/office/drawing/2014/main" id="{5B783ADF-DB18-1815-203F-A6FC482F8036}"/>
              </a:ext>
            </a:extLst>
          </xdr:cNvPr>
          <xdr:cNvSpPr txBox="1"/>
        </xdr:nvSpPr>
        <xdr:spPr>
          <a:xfrm>
            <a:off x="2546350" y="1371600"/>
            <a:ext cx="7810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latin typeface="Arial" panose="020B0604020202020204" pitchFamily="34" charset="0"/>
                <a:cs typeface="Arial" panose="020B0604020202020204" pitchFamily="34" charset="0"/>
              </a:rPr>
              <a:t>Monate</a:t>
            </a:r>
          </a:p>
        </xdr:txBody>
      </xdr:sp>
    </xdr:grpSp>
    <xdr:clientData/>
  </xdr:twoCellAnchor>
  <xdr:twoCellAnchor>
    <xdr:from>
      <xdr:col>9</xdr:col>
      <xdr:colOff>508000</xdr:colOff>
      <xdr:row>6</xdr:row>
      <xdr:rowOff>88900</xdr:rowOff>
    </xdr:from>
    <xdr:to>
      <xdr:col>13</xdr:col>
      <xdr:colOff>596900</xdr:colOff>
      <xdr:row>8</xdr:row>
      <xdr:rowOff>31750</xdr:rowOff>
    </xdr:to>
    <xdr:grpSp>
      <xdr:nvGrpSpPr>
        <xdr:cNvPr id="40" name="Gruppieren 39">
          <a:extLst>
            <a:ext uri="{FF2B5EF4-FFF2-40B4-BE49-F238E27FC236}">
              <a16:creationId xmlns:a16="http://schemas.microsoft.com/office/drawing/2014/main" id="{8F443872-5C68-4BC8-B080-983C17BA92DE}"/>
            </a:ext>
          </a:extLst>
        </xdr:cNvPr>
        <xdr:cNvGrpSpPr/>
      </xdr:nvGrpSpPr>
      <xdr:grpSpPr>
        <a:xfrm>
          <a:off x="6707909" y="1439718"/>
          <a:ext cx="3136900" cy="312305"/>
          <a:chOff x="190500" y="1371600"/>
          <a:chExt cx="3136900" cy="311150"/>
        </a:xfrm>
      </xdr:grpSpPr>
      <xdr:sp macro="" textlink="">
        <xdr:nvSpPr>
          <xdr:cNvPr id="41" name="Textfeld 40">
            <a:extLst>
              <a:ext uri="{FF2B5EF4-FFF2-40B4-BE49-F238E27FC236}">
                <a16:creationId xmlns:a16="http://schemas.microsoft.com/office/drawing/2014/main" id="{4DD2C1BE-E48F-2CBF-8F61-593A14A0E2A2}"/>
              </a:ext>
            </a:extLst>
          </xdr:cNvPr>
          <xdr:cNvSpPr txBox="1"/>
        </xdr:nvSpPr>
        <xdr:spPr>
          <a:xfrm>
            <a:off x="190500" y="1377950"/>
            <a:ext cx="30988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a:t>
            </a:r>
            <a:r>
              <a:rPr lang="de-AT" sz="1400" b="0" i="0" baseline="0">
                <a:solidFill>
                  <a:srgbClr val="831933"/>
                </a:solidFill>
                <a:effectLst/>
                <a:latin typeface="Arial" panose="020B0604020202020204" pitchFamily="34" charset="0"/>
                <a:ea typeface="+mn-ea"/>
                <a:cs typeface="Arial" panose="020B0604020202020204" pitchFamily="34" charset="0"/>
              </a:rPr>
              <a:t> PROJEKTLAUFZEIT:</a:t>
            </a:r>
            <a:endParaRPr lang="de-AT" sz="1400">
              <a:solidFill>
                <a:srgbClr val="831933"/>
              </a:solidFill>
              <a:effectLst/>
              <a:latin typeface="Arial" panose="020B0604020202020204" pitchFamily="34" charset="0"/>
              <a:cs typeface="Arial" panose="020B0604020202020204" pitchFamily="34" charset="0"/>
            </a:endParaRPr>
          </a:p>
        </xdr:txBody>
      </xdr:sp>
      <xdr:sp macro="" textlink="Arbeitsbereich!L114">
        <xdr:nvSpPr>
          <xdr:cNvPr id="42" name="Textfeld 41">
            <a:extLst>
              <a:ext uri="{FF2B5EF4-FFF2-40B4-BE49-F238E27FC236}">
                <a16:creationId xmlns:a16="http://schemas.microsoft.com/office/drawing/2014/main" id="{1429087E-787B-9ECF-34D0-B598D55B30A8}"/>
              </a:ext>
            </a:extLst>
          </xdr:cNvPr>
          <xdr:cNvSpPr txBox="1"/>
        </xdr:nvSpPr>
        <xdr:spPr>
          <a:xfrm>
            <a:off x="2190750" y="1377951"/>
            <a:ext cx="40005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3DC6D5-A110-4906-8190-D8795E010254}" type="TxLink">
              <a:rPr lang="en-US" sz="1400" b="0" i="0" u="none" strike="noStrike">
                <a:solidFill>
                  <a:srgbClr val="000000"/>
                </a:solidFill>
                <a:latin typeface="Arial" panose="020B0604020202020204" pitchFamily="34" charset="0"/>
                <a:cs typeface="Arial" panose="020B0604020202020204" pitchFamily="34" charset="0"/>
              </a:rPr>
              <a:pPr algn="ctr"/>
              <a:t>24</a:t>
            </a:fld>
            <a:endParaRPr lang="de-AT" sz="1800">
              <a:solidFill>
                <a:srgbClr val="831933"/>
              </a:solidFill>
              <a:latin typeface="Arial" panose="020B0604020202020204" pitchFamily="34" charset="0"/>
              <a:cs typeface="Arial" panose="020B0604020202020204" pitchFamily="34" charset="0"/>
            </a:endParaRPr>
          </a:p>
        </xdr:txBody>
      </xdr:sp>
      <xdr:sp macro="" textlink="">
        <xdr:nvSpPr>
          <xdr:cNvPr id="43" name="Textfeld 42">
            <a:extLst>
              <a:ext uri="{FF2B5EF4-FFF2-40B4-BE49-F238E27FC236}">
                <a16:creationId xmlns:a16="http://schemas.microsoft.com/office/drawing/2014/main" id="{43DA13FA-3B23-987A-F5F6-87DC8ED06990}"/>
              </a:ext>
            </a:extLst>
          </xdr:cNvPr>
          <xdr:cNvSpPr txBox="1"/>
        </xdr:nvSpPr>
        <xdr:spPr>
          <a:xfrm>
            <a:off x="2546350" y="1371600"/>
            <a:ext cx="7810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latin typeface="Arial" panose="020B0604020202020204" pitchFamily="34" charset="0"/>
                <a:cs typeface="Arial" panose="020B0604020202020204" pitchFamily="34" charset="0"/>
              </a:rPr>
              <a:t>Monate</a:t>
            </a:r>
          </a:p>
        </xdr:txBody>
      </xdr:sp>
    </xdr:grpSp>
    <xdr:clientData/>
  </xdr:twoCellAnchor>
  <xdr:twoCellAnchor>
    <xdr:from>
      <xdr:col>13</xdr:col>
      <xdr:colOff>723900</xdr:colOff>
      <xdr:row>6</xdr:row>
      <xdr:rowOff>57150</xdr:rowOff>
    </xdr:from>
    <xdr:to>
      <xdr:col>18</xdr:col>
      <xdr:colOff>50800</xdr:colOff>
      <xdr:row>8</xdr:row>
      <xdr:rowOff>0</xdr:rowOff>
    </xdr:to>
    <xdr:grpSp>
      <xdr:nvGrpSpPr>
        <xdr:cNvPr id="44" name="Gruppieren 43">
          <a:extLst>
            <a:ext uri="{FF2B5EF4-FFF2-40B4-BE49-F238E27FC236}">
              <a16:creationId xmlns:a16="http://schemas.microsoft.com/office/drawing/2014/main" id="{994481FA-4542-42B8-B294-3D53982F3DCF}"/>
            </a:ext>
          </a:extLst>
        </xdr:cNvPr>
        <xdr:cNvGrpSpPr/>
      </xdr:nvGrpSpPr>
      <xdr:grpSpPr>
        <a:xfrm>
          <a:off x="9971809" y="1407968"/>
          <a:ext cx="3136900" cy="312305"/>
          <a:chOff x="190500" y="1371600"/>
          <a:chExt cx="3136900" cy="311150"/>
        </a:xfrm>
      </xdr:grpSpPr>
      <xdr:sp macro="" textlink="">
        <xdr:nvSpPr>
          <xdr:cNvPr id="45" name="Textfeld 44">
            <a:extLst>
              <a:ext uri="{FF2B5EF4-FFF2-40B4-BE49-F238E27FC236}">
                <a16:creationId xmlns:a16="http://schemas.microsoft.com/office/drawing/2014/main" id="{09E52201-4B94-23AA-7284-26E2C9C803A1}"/>
              </a:ext>
            </a:extLst>
          </xdr:cNvPr>
          <xdr:cNvSpPr txBox="1"/>
        </xdr:nvSpPr>
        <xdr:spPr>
          <a:xfrm>
            <a:off x="190500" y="1377950"/>
            <a:ext cx="30988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a:t>
            </a:r>
            <a:r>
              <a:rPr lang="de-AT" sz="1400" b="0" i="0" baseline="0">
                <a:solidFill>
                  <a:srgbClr val="831933"/>
                </a:solidFill>
                <a:effectLst/>
                <a:latin typeface="Arial" panose="020B0604020202020204" pitchFamily="34" charset="0"/>
                <a:ea typeface="+mn-ea"/>
                <a:cs typeface="Arial" panose="020B0604020202020204" pitchFamily="34" charset="0"/>
              </a:rPr>
              <a:t> PROJEKTLAUFZEIT:</a:t>
            </a:r>
            <a:endParaRPr lang="de-AT" sz="1400">
              <a:solidFill>
                <a:srgbClr val="831933"/>
              </a:solidFill>
              <a:effectLst/>
              <a:latin typeface="Arial" panose="020B0604020202020204" pitchFamily="34" charset="0"/>
              <a:cs typeface="Arial" panose="020B0604020202020204" pitchFamily="34" charset="0"/>
            </a:endParaRPr>
          </a:p>
        </xdr:txBody>
      </xdr:sp>
      <xdr:sp macro="" textlink="Arbeitsbereich!M114">
        <xdr:nvSpPr>
          <xdr:cNvPr id="46" name="Textfeld 45">
            <a:extLst>
              <a:ext uri="{FF2B5EF4-FFF2-40B4-BE49-F238E27FC236}">
                <a16:creationId xmlns:a16="http://schemas.microsoft.com/office/drawing/2014/main" id="{9B45BC5C-C42E-F943-D907-D49D6D549003}"/>
              </a:ext>
            </a:extLst>
          </xdr:cNvPr>
          <xdr:cNvSpPr txBox="1"/>
        </xdr:nvSpPr>
        <xdr:spPr>
          <a:xfrm>
            <a:off x="2190750" y="1377951"/>
            <a:ext cx="40005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525073-36EE-4D4C-9AC7-BD1BA6283F91}" type="TxLink">
              <a:rPr lang="en-US" sz="1400" b="0" i="0" u="none" strike="noStrike">
                <a:solidFill>
                  <a:srgbClr val="000000"/>
                </a:solidFill>
                <a:latin typeface="Arial" panose="020B0604020202020204" pitchFamily="34" charset="0"/>
                <a:cs typeface="Arial" panose="020B0604020202020204" pitchFamily="34" charset="0"/>
              </a:rPr>
              <a:pPr algn="ctr"/>
              <a:t>35</a:t>
            </a:fld>
            <a:endParaRPr lang="de-AT" sz="1800">
              <a:solidFill>
                <a:srgbClr val="831933"/>
              </a:solidFill>
              <a:latin typeface="Arial" panose="020B0604020202020204" pitchFamily="34" charset="0"/>
              <a:cs typeface="Arial" panose="020B0604020202020204" pitchFamily="34" charset="0"/>
            </a:endParaRPr>
          </a:p>
        </xdr:txBody>
      </xdr:sp>
      <xdr:sp macro="" textlink="">
        <xdr:nvSpPr>
          <xdr:cNvPr id="47" name="Textfeld 46">
            <a:extLst>
              <a:ext uri="{FF2B5EF4-FFF2-40B4-BE49-F238E27FC236}">
                <a16:creationId xmlns:a16="http://schemas.microsoft.com/office/drawing/2014/main" id="{D1BF90B6-948C-803A-48C7-9210E682BCF2}"/>
              </a:ext>
            </a:extLst>
          </xdr:cNvPr>
          <xdr:cNvSpPr txBox="1"/>
        </xdr:nvSpPr>
        <xdr:spPr>
          <a:xfrm>
            <a:off x="2546350" y="1371600"/>
            <a:ext cx="7810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latin typeface="Arial" panose="020B0604020202020204" pitchFamily="34" charset="0"/>
                <a:cs typeface="Arial" panose="020B0604020202020204" pitchFamily="34" charset="0"/>
              </a:rPr>
              <a:t>Monate</a:t>
            </a:r>
          </a:p>
        </xdr:txBody>
      </xdr:sp>
    </xdr:grpSp>
    <xdr:clientData/>
  </xdr:twoCellAnchor>
  <xdr:twoCellAnchor>
    <xdr:from>
      <xdr:col>18</xdr:col>
      <xdr:colOff>146050</xdr:colOff>
      <xdr:row>6</xdr:row>
      <xdr:rowOff>25400</xdr:rowOff>
    </xdr:from>
    <xdr:to>
      <xdr:col>21</xdr:col>
      <xdr:colOff>996950</xdr:colOff>
      <xdr:row>7</xdr:row>
      <xdr:rowOff>152400</xdr:rowOff>
    </xdr:to>
    <xdr:grpSp>
      <xdr:nvGrpSpPr>
        <xdr:cNvPr id="48" name="Gruppieren 47">
          <a:extLst>
            <a:ext uri="{FF2B5EF4-FFF2-40B4-BE49-F238E27FC236}">
              <a16:creationId xmlns:a16="http://schemas.microsoft.com/office/drawing/2014/main" id="{0F7B3B1F-C0FD-4364-B1C3-D210C930C117}"/>
            </a:ext>
          </a:extLst>
        </xdr:cNvPr>
        <xdr:cNvGrpSpPr/>
      </xdr:nvGrpSpPr>
      <xdr:grpSpPr>
        <a:xfrm>
          <a:off x="13203959" y="1376218"/>
          <a:ext cx="3136900" cy="311727"/>
          <a:chOff x="190500" y="1371600"/>
          <a:chExt cx="3136900" cy="311150"/>
        </a:xfrm>
      </xdr:grpSpPr>
      <xdr:sp macro="" textlink="">
        <xdr:nvSpPr>
          <xdr:cNvPr id="49" name="Textfeld 48">
            <a:extLst>
              <a:ext uri="{FF2B5EF4-FFF2-40B4-BE49-F238E27FC236}">
                <a16:creationId xmlns:a16="http://schemas.microsoft.com/office/drawing/2014/main" id="{D0EDE2ED-DE9C-39A7-737C-4B514F80AE3F}"/>
              </a:ext>
            </a:extLst>
          </xdr:cNvPr>
          <xdr:cNvSpPr txBox="1"/>
        </xdr:nvSpPr>
        <xdr:spPr>
          <a:xfrm>
            <a:off x="190500" y="1377950"/>
            <a:ext cx="30988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a:t>
            </a:r>
            <a:r>
              <a:rPr lang="de-AT" sz="1400" b="0" i="0" baseline="0">
                <a:solidFill>
                  <a:srgbClr val="831933"/>
                </a:solidFill>
                <a:effectLst/>
                <a:latin typeface="Arial" panose="020B0604020202020204" pitchFamily="34" charset="0"/>
                <a:ea typeface="+mn-ea"/>
                <a:cs typeface="Arial" panose="020B0604020202020204" pitchFamily="34" charset="0"/>
              </a:rPr>
              <a:t> PROJEKTLAUFZEIT:</a:t>
            </a:r>
            <a:endParaRPr lang="de-AT" sz="1400">
              <a:solidFill>
                <a:srgbClr val="831933"/>
              </a:solidFill>
              <a:effectLst/>
              <a:latin typeface="Arial" panose="020B0604020202020204" pitchFamily="34" charset="0"/>
              <a:cs typeface="Arial" panose="020B0604020202020204" pitchFamily="34" charset="0"/>
            </a:endParaRPr>
          </a:p>
        </xdr:txBody>
      </xdr:sp>
      <xdr:sp macro="" textlink="Arbeitsbereich!D114">
        <xdr:nvSpPr>
          <xdr:cNvPr id="50" name="Textfeld 49">
            <a:extLst>
              <a:ext uri="{FF2B5EF4-FFF2-40B4-BE49-F238E27FC236}">
                <a16:creationId xmlns:a16="http://schemas.microsoft.com/office/drawing/2014/main" id="{ED9C7593-3188-CD37-9608-D8EA687E4EBA}"/>
              </a:ext>
            </a:extLst>
          </xdr:cNvPr>
          <xdr:cNvSpPr txBox="1"/>
        </xdr:nvSpPr>
        <xdr:spPr>
          <a:xfrm>
            <a:off x="2190750" y="1377951"/>
            <a:ext cx="40005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13BEA8-B4A8-49A9-9C4B-FBBBBC9F3620}" type="TxLink">
              <a:rPr lang="en-US" sz="1400" b="0" i="0" u="none" strike="noStrike">
                <a:solidFill>
                  <a:srgbClr val="000000"/>
                </a:solidFill>
                <a:latin typeface="Arial" panose="020B0604020202020204" pitchFamily="34" charset="0"/>
                <a:cs typeface="Arial" panose="020B0604020202020204" pitchFamily="34" charset="0"/>
              </a:rPr>
              <a:pPr algn="ctr"/>
              <a:t>29</a:t>
            </a:fld>
            <a:endParaRPr lang="de-AT" sz="1800">
              <a:solidFill>
                <a:srgbClr val="831933"/>
              </a:solidFill>
              <a:latin typeface="Arial" panose="020B0604020202020204" pitchFamily="34" charset="0"/>
              <a:cs typeface="Arial" panose="020B0604020202020204" pitchFamily="34" charset="0"/>
            </a:endParaRPr>
          </a:p>
        </xdr:txBody>
      </xdr:sp>
      <xdr:sp macro="" textlink="">
        <xdr:nvSpPr>
          <xdr:cNvPr id="51" name="Textfeld 50">
            <a:extLst>
              <a:ext uri="{FF2B5EF4-FFF2-40B4-BE49-F238E27FC236}">
                <a16:creationId xmlns:a16="http://schemas.microsoft.com/office/drawing/2014/main" id="{12DA48E4-8052-F48E-13FC-F09EC108FA0B}"/>
              </a:ext>
            </a:extLst>
          </xdr:cNvPr>
          <xdr:cNvSpPr txBox="1"/>
        </xdr:nvSpPr>
        <xdr:spPr>
          <a:xfrm>
            <a:off x="2546350" y="1371600"/>
            <a:ext cx="7810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latin typeface="Arial" panose="020B0604020202020204" pitchFamily="34" charset="0"/>
                <a:cs typeface="Arial" panose="020B0604020202020204" pitchFamily="34" charset="0"/>
              </a:rPr>
              <a:t>Monate</a:t>
            </a:r>
          </a:p>
        </xdr:txBody>
      </xdr:sp>
    </xdr:grpSp>
    <xdr:clientData/>
  </xdr:twoCellAnchor>
  <xdr:twoCellAnchor>
    <xdr:from>
      <xdr:col>1</xdr:col>
      <xdr:colOff>88900</xdr:colOff>
      <xdr:row>12</xdr:row>
      <xdr:rowOff>25400</xdr:rowOff>
    </xdr:from>
    <xdr:to>
      <xdr:col>3</xdr:col>
      <xdr:colOff>546100</xdr:colOff>
      <xdr:row>13</xdr:row>
      <xdr:rowOff>152400</xdr:rowOff>
    </xdr:to>
    <xdr:sp macro="" textlink="">
      <xdr:nvSpPr>
        <xdr:cNvPr id="52" name="Textfeld 51">
          <a:extLst>
            <a:ext uri="{FF2B5EF4-FFF2-40B4-BE49-F238E27FC236}">
              <a16:creationId xmlns:a16="http://schemas.microsoft.com/office/drawing/2014/main" id="{74398967-F45C-4060-AE3E-10AC9ACA4D83}"/>
            </a:ext>
          </a:extLst>
        </xdr:cNvPr>
        <xdr:cNvSpPr txBox="1"/>
      </xdr:nvSpPr>
      <xdr:spPr>
        <a:xfrm>
          <a:off x="193675" y="2549525"/>
          <a:ext cx="19812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KOSTEN:</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495300</xdr:colOff>
      <xdr:row>13</xdr:row>
      <xdr:rowOff>158750</xdr:rowOff>
    </xdr:from>
    <xdr:to>
      <xdr:col>4</xdr:col>
      <xdr:colOff>317500</xdr:colOff>
      <xdr:row>20</xdr:row>
      <xdr:rowOff>177800</xdr:rowOff>
    </xdr:to>
    <xdr:graphicFrame macro="">
      <xdr:nvGraphicFramePr>
        <xdr:cNvPr id="53" name="Diagramm 52">
          <a:extLst>
            <a:ext uri="{FF2B5EF4-FFF2-40B4-BE49-F238E27FC236}">
              <a16:creationId xmlns:a16="http://schemas.microsoft.com/office/drawing/2014/main" id="{B755D813-969B-434E-A6C5-E08AFAE58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311150</xdr:colOff>
      <xdr:row>12</xdr:row>
      <xdr:rowOff>0</xdr:rowOff>
    </xdr:from>
    <xdr:to>
      <xdr:col>8</xdr:col>
      <xdr:colOff>6350</xdr:colOff>
      <xdr:row>13</xdr:row>
      <xdr:rowOff>127000</xdr:rowOff>
    </xdr:to>
    <xdr:sp macro="" textlink="">
      <xdr:nvSpPr>
        <xdr:cNvPr id="54" name="Textfeld 53">
          <a:extLst>
            <a:ext uri="{FF2B5EF4-FFF2-40B4-BE49-F238E27FC236}">
              <a16:creationId xmlns:a16="http://schemas.microsoft.com/office/drawing/2014/main" id="{DF7D0E0A-E93F-425A-ADD8-C402C42BC76D}"/>
            </a:ext>
          </a:extLst>
        </xdr:cNvPr>
        <xdr:cNvSpPr txBox="1"/>
      </xdr:nvSpPr>
      <xdr:spPr>
        <a:xfrm>
          <a:off x="3463925" y="2524125"/>
          <a:ext cx="19812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5</xdr:col>
      <xdr:colOff>711200</xdr:colOff>
      <xdr:row>13</xdr:row>
      <xdr:rowOff>114300</xdr:rowOff>
    </xdr:from>
    <xdr:to>
      <xdr:col>8</xdr:col>
      <xdr:colOff>533400</xdr:colOff>
      <xdr:row>20</xdr:row>
      <xdr:rowOff>133350</xdr:rowOff>
    </xdr:to>
    <xdr:graphicFrame macro="">
      <xdr:nvGraphicFramePr>
        <xdr:cNvPr id="55" name="Diagramm 54">
          <a:extLst>
            <a:ext uri="{FF2B5EF4-FFF2-40B4-BE49-F238E27FC236}">
              <a16:creationId xmlns:a16="http://schemas.microsoft.com/office/drawing/2014/main" id="{7F65E210-F399-430C-A60B-86A5A032E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25400</xdr:colOff>
      <xdr:row>13</xdr:row>
      <xdr:rowOff>107950</xdr:rowOff>
    </xdr:from>
    <xdr:to>
      <xdr:col>12</xdr:col>
      <xdr:colOff>609600</xdr:colOff>
      <xdr:row>20</xdr:row>
      <xdr:rowOff>127000</xdr:rowOff>
    </xdr:to>
    <xdr:graphicFrame macro="">
      <xdr:nvGraphicFramePr>
        <xdr:cNvPr id="56" name="Diagramm 55">
          <a:extLst>
            <a:ext uri="{FF2B5EF4-FFF2-40B4-BE49-F238E27FC236}">
              <a16:creationId xmlns:a16="http://schemas.microsoft.com/office/drawing/2014/main" id="{BD19B909-E642-4812-8225-4F107BBC5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546100</xdr:colOff>
      <xdr:row>12</xdr:row>
      <xdr:rowOff>12700</xdr:rowOff>
    </xdr:from>
    <xdr:to>
      <xdr:col>12</xdr:col>
      <xdr:colOff>241300</xdr:colOff>
      <xdr:row>13</xdr:row>
      <xdr:rowOff>139700</xdr:rowOff>
    </xdr:to>
    <xdr:sp macro="" textlink="">
      <xdr:nvSpPr>
        <xdr:cNvPr id="57" name="Textfeld 56">
          <a:extLst>
            <a:ext uri="{FF2B5EF4-FFF2-40B4-BE49-F238E27FC236}">
              <a16:creationId xmlns:a16="http://schemas.microsoft.com/office/drawing/2014/main" id="{1F9F40F0-8880-4631-86A5-20EE281B92D2}"/>
            </a:ext>
          </a:extLst>
        </xdr:cNvPr>
        <xdr:cNvSpPr txBox="1"/>
      </xdr:nvSpPr>
      <xdr:spPr>
        <a:xfrm>
          <a:off x="6746875" y="2536825"/>
          <a:ext cx="19812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222250</xdr:colOff>
      <xdr:row>13</xdr:row>
      <xdr:rowOff>82550</xdr:rowOff>
    </xdr:from>
    <xdr:to>
      <xdr:col>17</xdr:col>
      <xdr:colOff>44450</xdr:colOff>
      <xdr:row>20</xdr:row>
      <xdr:rowOff>101600</xdr:rowOff>
    </xdr:to>
    <xdr:graphicFrame macro="">
      <xdr:nvGraphicFramePr>
        <xdr:cNvPr id="58" name="Diagramm 57">
          <a:extLst>
            <a:ext uri="{FF2B5EF4-FFF2-40B4-BE49-F238E27FC236}">
              <a16:creationId xmlns:a16="http://schemas.microsoft.com/office/drawing/2014/main" id="{74413C28-1821-44F0-B232-181623425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742950</xdr:colOff>
      <xdr:row>11</xdr:row>
      <xdr:rowOff>171450</xdr:rowOff>
    </xdr:from>
    <xdr:to>
      <xdr:col>16</xdr:col>
      <xdr:colOff>438150</xdr:colOff>
      <xdr:row>13</xdr:row>
      <xdr:rowOff>114300</xdr:rowOff>
    </xdr:to>
    <xdr:sp macro="" textlink="">
      <xdr:nvSpPr>
        <xdr:cNvPr id="59" name="Textfeld 58">
          <a:extLst>
            <a:ext uri="{FF2B5EF4-FFF2-40B4-BE49-F238E27FC236}">
              <a16:creationId xmlns:a16="http://schemas.microsoft.com/office/drawing/2014/main" id="{74557F3E-0CF3-4C5D-8B68-4175C9EC231A}"/>
            </a:ext>
          </a:extLst>
        </xdr:cNvPr>
        <xdr:cNvSpPr txBox="1"/>
      </xdr:nvSpPr>
      <xdr:spPr>
        <a:xfrm>
          <a:off x="9991725" y="2505075"/>
          <a:ext cx="19812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18</xdr:col>
      <xdr:colOff>419100</xdr:colOff>
      <xdr:row>13</xdr:row>
      <xdr:rowOff>76200</xdr:rowOff>
    </xdr:from>
    <xdr:to>
      <xdr:col>21</xdr:col>
      <xdr:colOff>241300</xdr:colOff>
      <xdr:row>20</xdr:row>
      <xdr:rowOff>95250</xdr:rowOff>
    </xdr:to>
    <xdr:graphicFrame macro="">
      <xdr:nvGraphicFramePr>
        <xdr:cNvPr id="60" name="Diagramm 59">
          <a:extLst>
            <a:ext uri="{FF2B5EF4-FFF2-40B4-BE49-F238E27FC236}">
              <a16:creationId xmlns:a16="http://schemas.microsoft.com/office/drawing/2014/main" id="{9ABEDC8C-C7E1-4086-B070-C9E8C3C11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177800</xdr:colOff>
      <xdr:row>11</xdr:row>
      <xdr:rowOff>165100</xdr:rowOff>
    </xdr:from>
    <xdr:to>
      <xdr:col>20</xdr:col>
      <xdr:colOff>635000</xdr:colOff>
      <xdr:row>13</xdr:row>
      <xdr:rowOff>107950</xdr:rowOff>
    </xdr:to>
    <xdr:sp macro="" textlink="">
      <xdr:nvSpPr>
        <xdr:cNvPr id="61" name="Textfeld 60">
          <a:extLst>
            <a:ext uri="{FF2B5EF4-FFF2-40B4-BE49-F238E27FC236}">
              <a16:creationId xmlns:a16="http://schemas.microsoft.com/office/drawing/2014/main" id="{544936AA-EA7C-4E8E-8F50-8B1DBAFBA6F4}"/>
            </a:ext>
          </a:extLst>
        </xdr:cNvPr>
        <xdr:cNvSpPr txBox="1"/>
      </xdr:nvSpPr>
      <xdr:spPr>
        <a:xfrm>
          <a:off x="13236575" y="2498725"/>
          <a:ext cx="19812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127000</xdr:colOff>
      <xdr:row>21</xdr:row>
      <xdr:rowOff>57150</xdr:rowOff>
    </xdr:from>
    <xdr:to>
      <xdr:col>3</xdr:col>
      <xdr:colOff>584200</xdr:colOff>
      <xdr:row>23</xdr:row>
      <xdr:rowOff>0</xdr:rowOff>
    </xdr:to>
    <xdr:sp macro="" textlink="">
      <xdr:nvSpPr>
        <xdr:cNvPr id="62" name="Textfeld 61">
          <a:extLst>
            <a:ext uri="{FF2B5EF4-FFF2-40B4-BE49-F238E27FC236}">
              <a16:creationId xmlns:a16="http://schemas.microsoft.com/office/drawing/2014/main" id="{32719BF8-71A8-4802-8004-BB588054F5B3}"/>
            </a:ext>
          </a:extLst>
        </xdr:cNvPr>
        <xdr:cNvSpPr txBox="1"/>
      </xdr:nvSpPr>
      <xdr:spPr>
        <a:xfrm>
          <a:off x="231775" y="4295775"/>
          <a:ext cx="19812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RISIKO:</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107950</xdr:colOff>
      <xdr:row>22</xdr:row>
      <xdr:rowOff>127000</xdr:rowOff>
    </xdr:from>
    <xdr:to>
      <xdr:col>5</xdr:col>
      <xdr:colOff>44450</xdr:colOff>
      <xdr:row>31</xdr:row>
      <xdr:rowOff>146050</xdr:rowOff>
    </xdr:to>
    <xdr:graphicFrame macro="">
      <xdr:nvGraphicFramePr>
        <xdr:cNvPr id="63" name="Diagramm 62">
          <a:extLst>
            <a:ext uri="{FF2B5EF4-FFF2-40B4-BE49-F238E27FC236}">
              <a16:creationId xmlns:a16="http://schemas.microsoft.com/office/drawing/2014/main" id="{9EFAF321-5A50-4846-873B-F9C6F9188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431800</xdr:colOff>
      <xdr:row>22</xdr:row>
      <xdr:rowOff>165100</xdr:rowOff>
    </xdr:from>
    <xdr:to>
      <xdr:col>9</xdr:col>
      <xdr:colOff>368300</xdr:colOff>
      <xdr:row>32</xdr:row>
      <xdr:rowOff>0</xdr:rowOff>
    </xdr:to>
    <xdr:graphicFrame macro="">
      <xdr:nvGraphicFramePr>
        <xdr:cNvPr id="64" name="Diagramm 63">
          <a:extLst>
            <a:ext uri="{FF2B5EF4-FFF2-40B4-BE49-F238E27FC236}">
              <a16:creationId xmlns:a16="http://schemas.microsoft.com/office/drawing/2014/main" id="{7447CDDB-4D51-4BEA-B36F-0D1540C8D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336550</xdr:colOff>
      <xdr:row>21</xdr:row>
      <xdr:rowOff>19050</xdr:rowOff>
    </xdr:from>
    <xdr:to>
      <xdr:col>8</xdr:col>
      <xdr:colOff>31750</xdr:colOff>
      <xdr:row>22</xdr:row>
      <xdr:rowOff>146050</xdr:rowOff>
    </xdr:to>
    <xdr:sp macro="" textlink="">
      <xdr:nvSpPr>
        <xdr:cNvPr id="65" name="Textfeld 64">
          <a:extLst>
            <a:ext uri="{FF2B5EF4-FFF2-40B4-BE49-F238E27FC236}">
              <a16:creationId xmlns:a16="http://schemas.microsoft.com/office/drawing/2014/main" id="{538F0EB7-A2A6-4520-950E-F6BCF0F680AB}"/>
            </a:ext>
          </a:extLst>
        </xdr:cNvPr>
        <xdr:cNvSpPr txBox="1"/>
      </xdr:nvSpPr>
      <xdr:spPr>
        <a:xfrm>
          <a:off x="3489325" y="4257675"/>
          <a:ext cx="19812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RISIKO:</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5</xdr:col>
      <xdr:colOff>406400</xdr:colOff>
      <xdr:row>23</xdr:row>
      <xdr:rowOff>19050</xdr:rowOff>
    </xdr:from>
    <xdr:to>
      <xdr:col>9</xdr:col>
      <xdr:colOff>342900</xdr:colOff>
      <xdr:row>32</xdr:row>
      <xdr:rowOff>38100</xdr:rowOff>
    </xdr:to>
    <xdr:graphicFrame macro="">
      <xdr:nvGraphicFramePr>
        <xdr:cNvPr id="66" name="Diagramm 65">
          <a:extLst>
            <a:ext uri="{FF2B5EF4-FFF2-40B4-BE49-F238E27FC236}">
              <a16:creationId xmlns:a16="http://schemas.microsoft.com/office/drawing/2014/main" id="{9D3E9E9C-32F2-4CF8-AD50-581981405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311150</xdr:colOff>
      <xdr:row>21</xdr:row>
      <xdr:rowOff>57150</xdr:rowOff>
    </xdr:from>
    <xdr:to>
      <xdr:col>8</xdr:col>
      <xdr:colOff>6350</xdr:colOff>
      <xdr:row>23</xdr:row>
      <xdr:rowOff>0</xdr:rowOff>
    </xdr:to>
    <xdr:sp macro="" textlink="">
      <xdr:nvSpPr>
        <xdr:cNvPr id="67" name="Textfeld 66">
          <a:extLst>
            <a:ext uri="{FF2B5EF4-FFF2-40B4-BE49-F238E27FC236}">
              <a16:creationId xmlns:a16="http://schemas.microsoft.com/office/drawing/2014/main" id="{F7B7CC32-5BBB-4D39-AF42-BA5711CC5544}"/>
            </a:ext>
          </a:extLst>
        </xdr:cNvPr>
        <xdr:cNvSpPr txBox="1"/>
      </xdr:nvSpPr>
      <xdr:spPr>
        <a:xfrm>
          <a:off x="3463925" y="4295775"/>
          <a:ext cx="19812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RISIKO:</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9</xdr:col>
      <xdr:colOff>641350</xdr:colOff>
      <xdr:row>23</xdr:row>
      <xdr:rowOff>25400</xdr:rowOff>
    </xdr:from>
    <xdr:to>
      <xdr:col>13</xdr:col>
      <xdr:colOff>577850</xdr:colOff>
      <xdr:row>32</xdr:row>
      <xdr:rowOff>44450</xdr:rowOff>
    </xdr:to>
    <xdr:graphicFrame macro="">
      <xdr:nvGraphicFramePr>
        <xdr:cNvPr id="68" name="Diagramm 67">
          <a:extLst>
            <a:ext uri="{FF2B5EF4-FFF2-40B4-BE49-F238E27FC236}">
              <a16:creationId xmlns:a16="http://schemas.microsoft.com/office/drawing/2014/main" id="{09304977-93F8-4E75-AA87-A6FEFF184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546100</xdr:colOff>
      <xdr:row>21</xdr:row>
      <xdr:rowOff>63500</xdr:rowOff>
    </xdr:from>
    <xdr:to>
      <xdr:col>12</xdr:col>
      <xdr:colOff>241300</xdr:colOff>
      <xdr:row>23</xdr:row>
      <xdr:rowOff>6350</xdr:rowOff>
    </xdr:to>
    <xdr:sp macro="" textlink="">
      <xdr:nvSpPr>
        <xdr:cNvPr id="69" name="Textfeld 68">
          <a:extLst>
            <a:ext uri="{FF2B5EF4-FFF2-40B4-BE49-F238E27FC236}">
              <a16:creationId xmlns:a16="http://schemas.microsoft.com/office/drawing/2014/main" id="{F695662F-5FAB-45DE-85DE-3A7E02F622BB}"/>
            </a:ext>
          </a:extLst>
        </xdr:cNvPr>
        <xdr:cNvSpPr txBox="1"/>
      </xdr:nvSpPr>
      <xdr:spPr>
        <a:xfrm>
          <a:off x="6746875" y="4302125"/>
          <a:ext cx="19812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RISIKO:</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76200</xdr:colOff>
      <xdr:row>23</xdr:row>
      <xdr:rowOff>12700</xdr:rowOff>
    </xdr:from>
    <xdr:to>
      <xdr:col>18</xdr:col>
      <xdr:colOff>12700</xdr:colOff>
      <xdr:row>32</xdr:row>
      <xdr:rowOff>31750</xdr:rowOff>
    </xdr:to>
    <xdr:graphicFrame macro="">
      <xdr:nvGraphicFramePr>
        <xdr:cNvPr id="70" name="Diagramm 69">
          <a:extLst>
            <a:ext uri="{FF2B5EF4-FFF2-40B4-BE49-F238E27FC236}">
              <a16:creationId xmlns:a16="http://schemas.microsoft.com/office/drawing/2014/main" id="{BBB8CA7D-86F6-493D-8569-42B39046F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742950</xdr:colOff>
      <xdr:row>21</xdr:row>
      <xdr:rowOff>50800</xdr:rowOff>
    </xdr:from>
    <xdr:to>
      <xdr:col>16</xdr:col>
      <xdr:colOff>438150</xdr:colOff>
      <xdr:row>22</xdr:row>
      <xdr:rowOff>177800</xdr:rowOff>
    </xdr:to>
    <xdr:sp macro="" textlink="">
      <xdr:nvSpPr>
        <xdr:cNvPr id="71" name="Textfeld 70">
          <a:extLst>
            <a:ext uri="{FF2B5EF4-FFF2-40B4-BE49-F238E27FC236}">
              <a16:creationId xmlns:a16="http://schemas.microsoft.com/office/drawing/2014/main" id="{E722DD02-E9DC-4B9C-ABC4-652326831D11}"/>
            </a:ext>
          </a:extLst>
        </xdr:cNvPr>
        <xdr:cNvSpPr txBox="1"/>
      </xdr:nvSpPr>
      <xdr:spPr>
        <a:xfrm>
          <a:off x="9991725" y="4289425"/>
          <a:ext cx="19812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RISIKO:</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18</xdr:col>
      <xdr:colOff>330200</xdr:colOff>
      <xdr:row>22</xdr:row>
      <xdr:rowOff>177800</xdr:rowOff>
    </xdr:from>
    <xdr:to>
      <xdr:col>21</xdr:col>
      <xdr:colOff>1028700</xdr:colOff>
      <xdr:row>32</xdr:row>
      <xdr:rowOff>12700</xdr:rowOff>
    </xdr:to>
    <xdr:graphicFrame macro="">
      <xdr:nvGraphicFramePr>
        <xdr:cNvPr id="72" name="Diagramm 71">
          <a:extLst>
            <a:ext uri="{FF2B5EF4-FFF2-40B4-BE49-F238E27FC236}">
              <a16:creationId xmlns:a16="http://schemas.microsoft.com/office/drawing/2014/main" id="{A0CBABDB-4246-4D68-AD27-1C6EE5390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234950</xdr:colOff>
      <xdr:row>21</xdr:row>
      <xdr:rowOff>31750</xdr:rowOff>
    </xdr:from>
    <xdr:to>
      <xdr:col>20</xdr:col>
      <xdr:colOff>692150</xdr:colOff>
      <xdr:row>22</xdr:row>
      <xdr:rowOff>158750</xdr:rowOff>
    </xdr:to>
    <xdr:sp macro="" textlink="">
      <xdr:nvSpPr>
        <xdr:cNvPr id="73" name="Textfeld 72">
          <a:extLst>
            <a:ext uri="{FF2B5EF4-FFF2-40B4-BE49-F238E27FC236}">
              <a16:creationId xmlns:a16="http://schemas.microsoft.com/office/drawing/2014/main" id="{611EBB7D-2180-4E32-8CB8-D74D0ECECD6B}"/>
            </a:ext>
          </a:extLst>
        </xdr:cNvPr>
        <xdr:cNvSpPr txBox="1"/>
      </xdr:nvSpPr>
      <xdr:spPr>
        <a:xfrm>
          <a:off x="13293725" y="4270375"/>
          <a:ext cx="19812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RISIKO:</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63500</xdr:colOff>
      <xdr:row>20</xdr:row>
      <xdr:rowOff>66487</xdr:rowOff>
    </xdr:from>
    <xdr:to>
      <xdr:col>4</xdr:col>
      <xdr:colOff>285595</xdr:colOff>
      <xdr:row>21</xdr:row>
      <xdr:rowOff>108215</xdr:rowOff>
    </xdr:to>
    <xdr:sp macro="" textlink="">
      <xdr:nvSpPr>
        <xdr:cNvPr id="74" name="Textfeld 73">
          <a:extLst>
            <a:ext uri="{FF2B5EF4-FFF2-40B4-BE49-F238E27FC236}">
              <a16:creationId xmlns:a16="http://schemas.microsoft.com/office/drawing/2014/main" id="{76B9D25B-E11A-4DF2-96B0-CFC07F63427F}"/>
            </a:ext>
          </a:extLst>
        </xdr:cNvPr>
        <xdr:cNvSpPr txBox="1"/>
      </xdr:nvSpPr>
      <xdr:spPr>
        <a:xfrm>
          <a:off x="168088" y="4048311"/>
          <a:ext cx="2508095" cy="2284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900" b="0" i="0" u="none" strike="noStrike" kern="1200" spc="0" baseline="0">
              <a:solidFill>
                <a:srgbClr val="831933"/>
              </a:solidFill>
              <a:latin typeface="Arial" panose="020B0604020202020204" pitchFamily="34" charset="0"/>
              <a:ea typeface="+mn-ea"/>
              <a:cs typeface="Arial" panose="020B0604020202020204" pitchFamily="34" charset="0"/>
            </a:rPr>
            <a:t>*SAP Auszug vom 15.02.2026</a:t>
          </a:r>
          <a:endParaRPr lang="de-AT" sz="900" b="0">
            <a:solidFill>
              <a:srgbClr val="831933"/>
            </a:solidFill>
            <a:latin typeface="Arial" panose="020B0604020202020204" pitchFamily="34" charset="0"/>
            <a:cs typeface="Arial" panose="020B0604020202020204" pitchFamily="34" charset="0"/>
          </a:endParaRPr>
        </a:p>
      </xdr:txBody>
    </xdr:sp>
    <xdr:clientData/>
  </xdr:twoCellAnchor>
  <xdr:twoCellAnchor>
    <xdr:from>
      <xdr:col>5</xdr:col>
      <xdr:colOff>304800</xdr:colOff>
      <xdr:row>20</xdr:row>
      <xdr:rowOff>63500</xdr:rowOff>
    </xdr:from>
    <xdr:to>
      <xdr:col>8</xdr:col>
      <xdr:colOff>526895</xdr:colOff>
      <xdr:row>21</xdr:row>
      <xdr:rowOff>105228</xdr:rowOff>
    </xdr:to>
    <xdr:sp macro="" textlink="">
      <xdr:nvSpPr>
        <xdr:cNvPr id="75" name="Textfeld 74">
          <a:extLst>
            <a:ext uri="{FF2B5EF4-FFF2-40B4-BE49-F238E27FC236}">
              <a16:creationId xmlns:a16="http://schemas.microsoft.com/office/drawing/2014/main" id="{71F72D7C-3EE5-45C5-BB05-47D6AC3766C8}"/>
            </a:ext>
          </a:extLst>
        </xdr:cNvPr>
        <xdr:cNvSpPr txBox="1"/>
      </xdr:nvSpPr>
      <xdr:spPr>
        <a:xfrm>
          <a:off x="3467100" y="4114800"/>
          <a:ext cx="2508095" cy="2322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900" b="0" i="0" u="none" strike="noStrike" kern="1200" spc="0" baseline="0">
              <a:solidFill>
                <a:srgbClr val="831933"/>
              </a:solidFill>
              <a:latin typeface="Arial" panose="020B0604020202020204" pitchFamily="34" charset="0"/>
              <a:ea typeface="+mn-ea"/>
              <a:cs typeface="Arial" panose="020B0604020202020204" pitchFamily="34" charset="0"/>
            </a:rPr>
            <a:t>*SAP Auszug vom 15.02.2026</a:t>
          </a:r>
          <a:endParaRPr lang="de-AT" sz="900" b="0">
            <a:solidFill>
              <a:srgbClr val="831933"/>
            </a:solidFill>
            <a:latin typeface="Arial" panose="020B0604020202020204" pitchFamily="34" charset="0"/>
            <a:cs typeface="Arial" panose="020B0604020202020204" pitchFamily="34" charset="0"/>
          </a:endParaRPr>
        </a:p>
      </xdr:txBody>
    </xdr:sp>
    <xdr:clientData/>
  </xdr:twoCellAnchor>
  <xdr:twoCellAnchor>
    <xdr:from>
      <xdr:col>9</xdr:col>
      <xdr:colOff>499783</xdr:colOff>
      <xdr:row>20</xdr:row>
      <xdr:rowOff>69475</xdr:rowOff>
    </xdr:from>
    <xdr:to>
      <xdr:col>12</xdr:col>
      <xdr:colOff>721878</xdr:colOff>
      <xdr:row>21</xdr:row>
      <xdr:rowOff>111203</xdr:rowOff>
    </xdr:to>
    <xdr:sp macro="" textlink="">
      <xdr:nvSpPr>
        <xdr:cNvPr id="76" name="Textfeld 75">
          <a:extLst>
            <a:ext uri="{FF2B5EF4-FFF2-40B4-BE49-F238E27FC236}">
              <a16:creationId xmlns:a16="http://schemas.microsoft.com/office/drawing/2014/main" id="{FFA41DBB-018E-43C4-98B7-897BC79B3796}"/>
            </a:ext>
          </a:extLst>
        </xdr:cNvPr>
        <xdr:cNvSpPr txBox="1"/>
      </xdr:nvSpPr>
      <xdr:spPr>
        <a:xfrm>
          <a:off x="6700371" y="4051299"/>
          <a:ext cx="2508095" cy="2284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900" b="0" i="0" u="none" strike="noStrike" kern="1200" spc="0" baseline="0">
              <a:solidFill>
                <a:srgbClr val="831933"/>
              </a:solidFill>
              <a:latin typeface="Arial" panose="020B0604020202020204" pitchFamily="34" charset="0"/>
              <a:ea typeface="+mn-ea"/>
              <a:cs typeface="Arial" panose="020B0604020202020204" pitchFamily="34" charset="0"/>
            </a:rPr>
            <a:t>*SAP Auszug vom 15.02.2026</a:t>
          </a:r>
          <a:endParaRPr lang="de-AT" sz="900" b="0">
            <a:solidFill>
              <a:srgbClr val="831933"/>
            </a:solidFill>
            <a:latin typeface="Arial" panose="020B0604020202020204" pitchFamily="34" charset="0"/>
            <a:cs typeface="Arial" panose="020B0604020202020204" pitchFamily="34" charset="0"/>
          </a:endParaRPr>
        </a:p>
      </xdr:txBody>
    </xdr:sp>
    <xdr:clientData/>
  </xdr:twoCellAnchor>
  <xdr:twoCellAnchor>
    <xdr:from>
      <xdr:col>13</xdr:col>
      <xdr:colOff>726889</xdr:colOff>
      <xdr:row>20</xdr:row>
      <xdr:rowOff>50052</xdr:rowOff>
    </xdr:from>
    <xdr:to>
      <xdr:col>17</xdr:col>
      <xdr:colOff>186984</xdr:colOff>
      <xdr:row>21</xdr:row>
      <xdr:rowOff>91780</xdr:rowOff>
    </xdr:to>
    <xdr:sp macro="" textlink="">
      <xdr:nvSpPr>
        <xdr:cNvPr id="77" name="Textfeld 76">
          <a:extLst>
            <a:ext uri="{FF2B5EF4-FFF2-40B4-BE49-F238E27FC236}">
              <a16:creationId xmlns:a16="http://schemas.microsoft.com/office/drawing/2014/main" id="{550A873A-64A9-4230-95AE-F99675618796}"/>
            </a:ext>
          </a:extLst>
        </xdr:cNvPr>
        <xdr:cNvSpPr txBox="1"/>
      </xdr:nvSpPr>
      <xdr:spPr>
        <a:xfrm>
          <a:off x="9975477" y="4031876"/>
          <a:ext cx="2508095" cy="2284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900" b="0" i="0" u="none" strike="noStrike" kern="1200" spc="0" baseline="0">
              <a:solidFill>
                <a:srgbClr val="831933"/>
              </a:solidFill>
              <a:latin typeface="Arial" panose="020B0604020202020204" pitchFamily="34" charset="0"/>
              <a:ea typeface="+mn-ea"/>
              <a:cs typeface="Arial" panose="020B0604020202020204" pitchFamily="34" charset="0"/>
            </a:rPr>
            <a:t>*SAP Auszug vom 15.02.2026</a:t>
          </a:r>
          <a:endParaRPr lang="de-AT" sz="900" b="0">
            <a:solidFill>
              <a:srgbClr val="831933"/>
            </a:solidFill>
            <a:latin typeface="Arial" panose="020B0604020202020204" pitchFamily="34" charset="0"/>
            <a:cs typeface="Arial" panose="020B0604020202020204" pitchFamily="34" charset="0"/>
          </a:endParaRPr>
        </a:p>
      </xdr:txBody>
    </xdr:sp>
    <xdr:clientData/>
  </xdr:twoCellAnchor>
  <xdr:twoCellAnchor>
    <xdr:from>
      <xdr:col>18</xdr:col>
      <xdr:colOff>169583</xdr:colOff>
      <xdr:row>20</xdr:row>
      <xdr:rowOff>15687</xdr:rowOff>
    </xdr:from>
    <xdr:to>
      <xdr:col>21</xdr:col>
      <xdr:colOff>391678</xdr:colOff>
      <xdr:row>21</xdr:row>
      <xdr:rowOff>57415</xdr:rowOff>
    </xdr:to>
    <xdr:sp macro="" textlink="">
      <xdr:nvSpPr>
        <xdr:cNvPr id="78" name="Textfeld 77">
          <a:extLst>
            <a:ext uri="{FF2B5EF4-FFF2-40B4-BE49-F238E27FC236}">
              <a16:creationId xmlns:a16="http://schemas.microsoft.com/office/drawing/2014/main" id="{9F62D56F-C581-4C2C-AB54-786860812BF1}"/>
            </a:ext>
          </a:extLst>
        </xdr:cNvPr>
        <xdr:cNvSpPr txBox="1"/>
      </xdr:nvSpPr>
      <xdr:spPr>
        <a:xfrm>
          <a:off x="13228171" y="3997511"/>
          <a:ext cx="2508095" cy="2284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900" b="0" i="0" u="none" strike="noStrike" kern="1200" spc="0" baseline="0">
              <a:solidFill>
                <a:srgbClr val="831933"/>
              </a:solidFill>
              <a:latin typeface="Arial" panose="020B0604020202020204" pitchFamily="34" charset="0"/>
              <a:ea typeface="+mn-ea"/>
              <a:cs typeface="Arial" panose="020B0604020202020204" pitchFamily="34" charset="0"/>
            </a:rPr>
            <a:t>*SAP Auszug vom 15.02.2026</a:t>
          </a:r>
          <a:endParaRPr lang="de-AT" sz="900" b="0">
            <a:solidFill>
              <a:srgbClr val="831933"/>
            </a:solidFill>
            <a:latin typeface="Arial" panose="020B0604020202020204" pitchFamily="34" charset="0"/>
            <a:cs typeface="Arial" panose="020B0604020202020204" pitchFamily="34" charset="0"/>
          </a:endParaRPr>
        </a:p>
      </xdr:txBody>
    </xdr:sp>
    <xdr:clientData/>
  </xdr:twoCellAnchor>
</xdr:wsDr>
</file>

<file path=xl/drawings/drawing17.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J$105">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75834" y="691891"/>
          <a:ext cx="455096" cy="2637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91B4FE87-B37C-4760-98FE-567855E47118}" type="TxLink">
            <a:rPr lang="en-US" sz="1100" b="0" i="0" u="none" strike="noStrike">
              <a:solidFill>
                <a:srgbClr val="000000"/>
              </a:solidFill>
              <a:latin typeface="Aptos Narrow"/>
              <a:cs typeface="Arial" panose="020B0604020202020204" pitchFamily="34" charset="0"/>
            </a:rPr>
            <a:pPr algn="ctr"/>
            <a:t>33%</a:t>
          </a:fld>
          <a:endParaRPr lang="de-AT" sz="900">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K$105">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75834" y="691891"/>
          <a:ext cx="455096" cy="2637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F05BB2B-147B-4A24-BEFC-7AA0EBF99459}" type="TxLink">
            <a:rPr lang="en-US" sz="1100" b="0" i="0" u="none" strike="noStrike">
              <a:solidFill>
                <a:srgbClr val="000000"/>
              </a:solidFill>
              <a:latin typeface="Aptos Narrow"/>
              <a:cs typeface="Arial" panose="020B0604020202020204" pitchFamily="34" charset="0"/>
            </a:rPr>
            <a:pPr algn="ctr"/>
            <a:t>#DIV/0!</a:t>
          </a:fld>
          <a:endParaRPr lang="de-AT" sz="900">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L$105">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75834" y="691891"/>
          <a:ext cx="455096" cy="2637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747FAD35-0F98-4547-BD15-2918513FDEE0}" type="TxLink">
            <a:rPr lang="en-US" sz="1100" b="0" i="0" u="none" strike="noStrike">
              <a:solidFill>
                <a:srgbClr val="000000"/>
              </a:solidFill>
              <a:latin typeface="Aptos Narrow"/>
              <a:cs typeface="Arial" panose="020B0604020202020204" pitchFamily="34" charset="0"/>
            </a:rPr>
            <a:pPr algn="ctr"/>
            <a:t>0%</a:t>
          </a:fld>
          <a:endParaRPr lang="de-AT" sz="900">
            <a:latin typeface="Arial" panose="020B0604020202020204" pitchFamily="34" charset="0"/>
            <a:cs typeface="Arial" panose="020B0604020202020204" pitchFamily="34" charset="0"/>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M$105">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75834" y="691891"/>
          <a:ext cx="455096" cy="2637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128E0171-3589-4F32-873C-1564B5B98077}" type="TxLink">
            <a:rPr lang="en-US" sz="1100" b="0" i="0" u="none" strike="noStrike">
              <a:solidFill>
                <a:srgbClr val="000000"/>
              </a:solidFill>
              <a:latin typeface="Aptos Narrow"/>
              <a:cs typeface="Arial" panose="020B0604020202020204" pitchFamily="34" charset="0"/>
            </a:rPr>
            <a:pPr algn="ctr"/>
            <a:t>10%</a:t>
          </a:fld>
          <a:endParaRPr lang="de-AT" sz="900">
            <a:latin typeface="Arial" panose="020B0604020202020204" pitchFamily="34" charset="0"/>
            <a:cs typeface="Arial" panose="020B0604020202020204" pitchFamily="34" charset="0"/>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D$105">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75834" y="691891"/>
          <a:ext cx="455096" cy="2637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6274B370-0818-48DF-8B2F-1F8A690D23F0}" type="TxLink">
            <a:rPr lang="en-US" sz="1100" b="0" i="0" u="none" strike="noStrike">
              <a:solidFill>
                <a:srgbClr val="000000"/>
              </a:solidFill>
              <a:latin typeface="Aptos Narrow"/>
              <a:cs typeface="Arial" panose="020B0604020202020204" pitchFamily="34" charset="0"/>
            </a:rPr>
            <a:pPr algn="ctr"/>
            <a:t>11%</a:t>
          </a:fld>
          <a:endParaRPr lang="de-AT" sz="900">
            <a:latin typeface="Arial" panose="020B0604020202020204" pitchFamily="34" charset="0"/>
            <a:cs typeface="Arial" panose="020B0604020202020204" pitchFamily="34" charset="0"/>
          </a:endParaRPr>
        </a:p>
      </cdr:txBody>
    </cdr:sp>
  </cdr:relSizeAnchor>
</c:userShapes>
</file>

<file path=xl/drawings/drawing22.xml><?xml version="1.0" encoding="utf-8"?>
<xdr:wsDr xmlns:xdr="http://schemas.openxmlformats.org/drawingml/2006/spreadsheetDrawing" xmlns:a="http://schemas.openxmlformats.org/drawingml/2006/main">
  <xdr:twoCellAnchor>
    <xdr:from>
      <xdr:col>23</xdr:col>
      <xdr:colOff>112184</xdr:colOff>
      <xdr:row>24</xdr:row>
      <xdr:rowOff>50078</xdr:rowOff>
    </xdr:from>
    <xdr:to>
      <xdr:col>26</xdr:col>
      <xdr:colOff>685766</xdr:colOff>
      <xdr:row>27</xdr:row>
      <xdr:rowOff>39164</xdr:rowOff>
    </xdr:to>
    <xdr:sp macro="" textlink="">
      <xdr:nvSpPr>
        <xdr:cNvPr id="52" name="Textfeld 51">
          <a:extLst>
            <a:ext uri="{FF2B5EF4-FFF2-40B4-BE49-F238E27FC236}">
              <a16:creationId xmlns:a16="http://schemas.microsoft.com/office/drawing/2014/main" id="{EEC3C826-EB5A-435E-920D-939B50189A80}"/>
            </a:ext>
          </a:extLst>
        </xdr:cNvPr>
        <xdr:cNvSpPr txBox="1"/>
      </xdr:nvSpPr>
      <xdr:spPr>
        <a:xfrm>
          <a:off x="17966267" y="4622078"/>
          <a:ext cx="2732582" cy="5288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PROJEKTFORTSCHRITT: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23</xdr:col>
      <xdr:colOff>20767</xdr:colOff>
      <xdr:row>1</xdr:row>
      <xdr:rowOff>118742</xdr:rowOff>
    </xdr:from>
    <xdr:to>
      <xdr:col>27</xdr:col>
      <xdr:colOff>947295</xdr:colOff>
      <xdr:row>3</xdr:row>
      <xdr:rowOff>83279</xdr:rowOff>
    </xdr:to>
    <xdr:sp macro="" textlink="">
      <xdr:nvSpPr>
        <xdr:cNvPr id="54" name="Textfeld 53">
          <a:extLst>
            <a:ext uri="{FF2B5EF4-FFF2-40B4-BE49-F238E27FC236}">
              <a16:creationId xmlns:a16="http://schemas.microsoft.com/office/drawing/2014/main" id="{3C7EDF30-ACED-48EF-9233-E8FB4C26391B}"/>
            </a:ext>
          </a:extLst>
        </xdr:cNvPr>
        <xdr:cNvSpPr txBox="1"/>
      </xdr:nvSpPr>
      <xdr:spPr>
        <a:xfrm>
          <a:off x="15604292" y="545545"/>
          <a:ext cx="3841282" cy="339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AT" sz="1400" b="1" i="1">
              <a:solidFill>
                <a:srgbClr val="831933"/>
              </a:solidFill>
              <a:latin typeface="Arial" panose="020B0604020202020204" pitchFamily="34" charset="0"/>
              <a:cs typeface="Arial" panose="020B0604020202020204" pitchFamily="34" charset="0"/>
            </a:rPr>
            <a:t>GESAMT</a:t>
          </a:r>
        </a:p>
      </xdr:txBody>
    </xdr:sp>
    <xdr:clientData/>
  </xdr:twoCellAnchor>
  <xdr:twoCellAnchor>
    <xdr:from>
      <xdr:col>7</xdr:col>
      <xdr:colOff>80332</xdr:colOff>
      <xdr:row>1</xdr:row>
      <xdr:rowOff>150283</xdr:rowOff>
    </xdr:from>
    <xdr:to>
      <xdr:col>12</xdr:col>
      <xdr:colOff>184048</xdr:colOff>
      <xdr:row>3</xdr:row>
      <xdr:rowOff>112183</xdr:rowOff>
    </xdr:to>
    <xdr:sp macro="" textlink="">
      <xdr:nvSpPr>
        <xdr:cNvPr id="56" name="Textfeld 55">
          <a:extLst>
            <a:ext uri="{FF2B5EF4-FFF2-40B4-BE49-F238E27FC236}">
              <a16:creationId xmlns:a16="http://schemas.microsoft.com/office/drawing/2014/main" id="{B3A3944B-3A7D-48DC-B116-8E84F8DF1016}"/>
            </a:ext>
          </a:extLst>
        </xdr:cNvPr>
        <xdr:cNvSpPr txBox="1"/>
      </xdr:nvSpPr>
      <xdr:spPr>
        <a:xfrm>
          <a:off x="3979232" y="582083"/>
          <a:ext cx="3723216"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AT" sz="1400" b="1" i="1">
              <a:solidFill>
                <a:srgbClr val="831933"/>
              </a:solidFill>
              <a:latin typeface="Arial" panose="020B0604020202020204" pitchFamily="34" charset="0"/>
              <a:cs typeface="Arial" panose="020B0604020202020204" pitchFamily="34" charset="0"/>
            </a:rPr>
            <a:t>VRLK</a:t>
          </a:r>
        </a:p>
      </xdr:txBody>
    </xdr:sp>
    <xdr:clientData/>
  </xdr:twoCellAnchor>
  <xdr:twoCellAnchor>
    <xdr:from>
      <xdr:col>12</xdr:col>
      <xdr:colOff>295173</xdr:colOff>
      <xdr:row>1</xdr:row>
      <xdr:rowOff>148166</xdr:rowOff>
    </xdr:from>
    <xdr:to>
      <xdr:col>17</xdr:col>
      <xdr:colOff>410532</xdr:colOff>
      <xdr:row>3</xdr:row>
      <xdr:rowOff>110066</xdr:rowOff>
    </xdr:to>
    <xdr:sp macro="" textlink="">
      <xdr:nvSpPr>
        <xdr:cNvPr id="57" name="Textfeld 56">
          <a:extLst>
            <a:ext uri="{FF2B5EF4-FFF2-40B4-BE49-F238E27FC236}">
              <a16:creationId xmlns:a16="http://schemas.microsoft.com/office/drawing/2014/main" id="{73F3389A-EFD1-4051-8ECE-BDF1A9426B1C}"/>
            </a:ext>
          </a:extLst>
        </xdr:cNvPr>
        <xdr:cNvSpPr txBox="1"/>
      </xdr:nvSpPr>
      <xdr:spPr>
        <a:xfrm>
          <a:off x="7813573" y="579966"/>
          <a:ext cx="3734859"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AT" sz="1400" b="1" i="1">
              <a:solidFill>
                <a:srgbClr val="831933"/>
              </a:solidFill>
              <a:latin typeface="Arial" panose="020B0604020202020204" pitchFamily="34" charset="0"/>
              <a:cs typeface="Arial" panose="020B0604020202020204" pitchFamily="34" charset="0"/>
            </a:rPr>
            <a:t>VRFDI</a:t>
          </a:r>
        </a:p>
      </xdr:txBody>
    </xdr:sp>
    <xdr:clientData/>
  </xdr:twoCellAnchor>
  <xdr:twoCellAnchor>
    <xdr:from>
      <xdr:col>17</xdr:col>
      <xdr:colOff>469295</xdr:colOff>
      <xdr:row>1</xdr:row>
      <xdr:rowOff>130175</xdr:rowOff>
    </xdr:from>
    <xdr:to>
      <xdr:col>22</xdr:col>
      <xdr:colOff>610557</xdr:colOff>
      <xdr:row>3</xdr:row>
      <xdr:rowOff>92075</xdr:rowOff>
    </xdr:to>
    <xdr:sp macro="" textlink="">
      <xdr:nvSpPr>
        <xdr:cNvPr id="58" name="Textfeld 57">
          <a:extLst>
            <a:ext uri="{FF2B5EF4-FFF2-40B4-BE49-F238E27FC236}">
              <a16:creationId xmlns:a16="http://schemas.microsoft.com/office/drawing/2014/main" id="{1E0B25A1-FA4E-40EB-B6E2-04D173FA30A8}"/>
            </a:ext>
          </a:extLst>
        </xdr:cNvPr>
        <xdr:cNvSpPr txBox="1"/>
      </xdr:nvSpPr>
      <xdr:spPr>
        <a:xfrm>
          <a:off x="9494623" y="556978"/>
          <a:ext cx="3056016" cy="336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AT" sz="1400" b="1" i="1">
              <a:solidFill>
                <a:srgbClr val="831933"/>
              </a:solidFill>
              <a:latin typeface="Arial" panose="020B0604020202020204" pitchFamily="34" charset="0"/>
              <a:cs typeface="Arial" panose="020B0604020202020204" pitchFamily="34" charset="0"/>
            </a:rPr>
            <a:t>VRFIN</a:t>
          </a:r>
        </a:p>
      </xdr:txBody>
    </xdr:sp>
    <xdr:clientData/>
  </xdr:twoCellAnchor>
  <xdr:twoCellAnchor>
    <xdr:from>
      <xdr:col>1</xdr:col>
      <xdr:colOff>95756</xdr:colOff>
      <xdr:row>1</xdr:row>
      <xdr:rowOff>76200</xdr:rowOff>
    </xdr:from>
    <xdr:to>
      <xdr:col>6</xdr:col>
      <xdr:colOff>720121</xdr:colOff>
      <xdr:row>41</xdr:row>
      <xdr:rowOff>38100</xdr:rowOff>
    </xdr:to>
    <xdr:sp macro="" textlink="">
      <xdr:nvSpPr>
        <xdr:cNvPr id="60" name="Rechteck 59">
          <a:extLst>
            <a:ext uri="{FF2B5EF4-FFF2-40B4-BE49-F238E27FC236}">
              <a16:creationId xmlns:a16="http://schemas.microsoft.com/office/drawing/2014/main" id="{DB67CE6F-53E2-4D09-9795-E8197B1C256B}"/>
            </a:ext>
          </a:extLst>
        </xdr:cNvPr>
        <xdr:cNvSpPr/>
      </xdr:nvSpPr>
      <xdr:spPr>
        <a:xfrm>
          <a:off x="95756" y="508000"/>
          <a:ext cx="3799365" cy="7581900"/>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23</xdr:col>
      <xdr:colOff>92385</xdr:colOff>
      <xdr:row>3</xdr:row>
      <xdr:rowOff>184722</xdr:rowOff>
    </xdr:from>
    <xdr:to>
      <xdr:col>26</xdr:col>
      <xdr:colOff>53452</xdr:colOff>
      <xdr:row>5</xdr:row>
      <xdr:rowOff>181548</xdr:rowOff>
    </xdr:to>
    <xdr:sp macro="" textlink="">
      <xdr:nvSpPr>
        <xdr:cNvPr id="63" name="Textfeld 62">
          <a:extLst>
            <a:ext uri="{FF2B5EF4-FFF2-40B4-BE49-F238E27FC236}">
              <a16:creationId xmlns:a16="http://schemas.microsoft.com/office/drawing/2014/main" id="{1AAC3CA7-F2C3-47F9-A5DC-BE8E0F5ABE39}"/>
            </a:ext>
          </a:extLst>
        </xdr:cNvPr>
        <xdr:cNvSpPr txBox="1"/>
      </xdr:nvSpPr>
      <xdr:spPr>
        <a:xfrm>
          <a:off x="15675910" y="986279"/>
          <a:ext cx="2147132" cy="371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ANZAHL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PROJEKTE</a:t>
          </a:r>
          <a:r>
            <a:rPr lang="de-AT" sz="1400" baseline="0">
              <a:solidFill>
                <a:srgbClr val="831933"/>
              </a:solidFill>
              <a:latin typeface="Arial" panose="020B0604020202020204" pitchFamily="34" charset="0"/>
              <a:cs typeface="Arial" panose="020B0604020202020204" pitchFamily="34" charset="0"/>
            </a:rPr>
            <a: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25</xdr:col>
      <xdr:colOff>678478</xdr:colOff>
      <xdr:row>4</xdr:row>
      <xdr:rowOff>1406</xdr:rowOff>
    </xdr:from>
    <xdr:to>
      <xdr:col>26</xdr:col>
      <xdr:colOff>496445</xdr:colOff>
      <xdr:row>5</xdr:row>
      <xdr:rowOff>103007</xdr:rowOff>
    </xdr:to>
    <xdr:sp macro="" textlink="Arbeitsbereich!D4">
      <xdr:nvSpPr>
        <xdr:cNvPr id="64" name="Textfeld 63">
          <a:extLst>
            <a:ext uri="{FF2B5EF4-FFF2-40B4-BE49-F238E27FC236}">
              <a16:creationId xmlns:a16="http://schemas.microsoft.com/office/drawing/2014/main" id="{B23C587F-2B2D-4ADA-AFCB-A7690B6E8654}"/>
            </a:ext>
          </a:extLst>
        </xdr:cNvPr>
        <xdr:cNvSpPr txBox="1"/>
      </xdr:nvSpPr>
      <xdr:spPr>
        <a:xfrm>
          <a:off x="17719380" y="990340"/>
          <a:ext cx="546655" cy="2889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FB228F-BC46-4D77-8FF4-8897C502F3AE}" type="TxLink">
            <a:rPr lang="en-US" sz="1400" b="0" i="0" u="none" strike="noStrike">
              <a:solidFill>
                <a:srgbClr val="000000"/>
              </a:solidFill>
              <a:latin typeface="Arial" panose="020B0604020202020204" pitchFamily="34" charset="0"/>
              <a:cs typeface="Arial" panose="020B0604020202020204" pitchFamily="34" charset="0"/>
            </a:rPr>
            <a:pPr algn="ctr"/>
            <a:t>4</a:t>
          </a:fld>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25</xdr:col>
      <xdr:colOff>72990</xdr:colOff>
      <xdr:row>20</xdr:row>
      <xdr:rowOff>115747</xdr:rowOff>
    </xdr:from>
    <xdr:to>
      <xdr:col>28</xdr:col>
      <xdr:colOff>453375</xdr:colOff>
      <xdr:row>27</xdr:row>
      <xdr:rowOff>158914</xdr:rowOff>
    </xdr:to>
    <xdr:graphicFrame macro="">
      <xdr:nvGraphicFramePr>
        <xdr:cNvPr id="73" name="Diagramm 72">
          <a:extLst>
            <a:ext uri="{FF2B5EF4-FFF2-40B4-BE49-F238E27FC236}">
              <a16:creationId xmlns:a16="http://schemas.microsoft.com/office/drawing/2014/main" id="{85401AB7-3D6B-4FDA-801D-35DB20F99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196630</xdr:colOff>
      <xdr:row>20</xdr:row>
      <xdr:rowOff>171452</xdr:rowOff>
    </xdr:from>
    <xdr:to>
      <xdr:col>27</xdr:col>
      <xdr:colOff>747184</xdr:colOff>
      <xdr:row>22</xdr:row>
      <xdr:rowOff>170831</xdr:rowOff>
    </xdr:to>
    <xdr:grpSp>
      <xdr:nvGrpSpPr>
        <xdr:cNvPr id="82" name="Gruppieren 81">
          <a:extLst>
            <a:ext uri="{FF2B5EF4-FFF2-40B4-BE49-F238E27FC236}">
              <a16:creationId xmlns:a16="http://schemas.microsoft.com/office/drawing/2014/main" id="{3DE96DD1-35D3-4EFB-A103-42A045DED0A6}"/>
            </a:ext>
          </a:extLst>
        </xdr:cNvPr>
        <xdr:cNvGrpSpPr/>
      </xdr:nvGrpSpPr>
      <xdr:grpSpPr>
        <a:xfrm>
          <a:off x="19072005" y="3917952"/>
          <a:ext cx="3598554" cy="348629"/>
          <a:chOff x="190500" y="1368771"/>
          <a:chExt cx="3098800" cy="316995"/>
        </a:xfrm>
      </xdr:grpSpPr>
      <xdr:sp macro="" textlink="">
        <xdr:nvSpPr>
          <xdr:cNvPr id="83" name="Textfeld 82">
            <a:extLst>
              <a:ext uri="{FF2B5EF4-FFF2-40B4-BE49-F238E27FC236}">
                <a16:creationId xmlns:a16="http://schemas.microsoft.com/office/drawing/2014/main" id="{A83A24B4-114C-D0EE-2EE7-08C1ABED025C}"/>
              </a:ext>
            </a:extLst>
          </xdr:cNvPr>
          <xdr:cNvSpPr txBox="1"/>
        </xdr:nvSpPr>
        <xdr:spPr>
          <a:xfrm>
            <a:off x="190500" y="1377950"/>
            <a:ext cx="30988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a:t>
            </a:r>
            <a:r>
              <a:rPr lang="de-AT" sz="1400" b="0" i="0" baseline="0">
                <a:solidFill>
                  <a:srgbClr val="831933"/>
                </a:solidFill>
                <a:effectLst/>
                <a:latin typeface="Arial" panose="020B0604020202020204" pitchFamily="34" charset="0"/>
                <a:ea typeface="+mn-ea"/>
                <a:cs typeface="Arial" panose="020B0604020202020204" pitchFamily="34" charset="0"/>
              </a:rPr>
              <a:t> PROJEKTLAUFZEIT:</a:t>
            </a:r>
            <a:endParaRPr lang="de-AT" sz="1400">
              <a:solidFill>
                <a:srgbClr val="831933"/>
              </a:solidFill>
              <a:effectLst/>
              <a:latin typeface="Arial" panose="020B0604020202020204" pitchFamily="34" charset="0"/>
              <a:cs typeface="Arial" panose="020B0604020202020204" pitchFamily="34" charset="0"/>
            </a:endParaRPr>
          </a:p>
        </xdr:txBody>
      </xdr:sp>
      <xdr:sp macro="" textlink="Arbeitsbereich!D114">
        <xdr:nvSpPr>
          <xdr:cNvPr id="84" name="Textfeld 83">
            <a:extLst>
              <a:ext uri="{FF2B5EF4-FFF2-40B4-BE49-F238E27FC236}">
                <a16:creationId xmlns:a16="http://schemas.microsoft.com/office/drawing/2014/main" id="{7F3724A7-E886-25EA-CE72-22057EE8ADBF}"/>
              </a:ext>
            </a:extLst>
          </xdr:cNvPr>
          <xdr:cNvSpPr txBox="1"/>
        </xdr:nvSpPr>
        <xdr:spPr>
          <a:xfrm>
            <a:off x="2153056" y="1368771"/>
            <a:ext cx="40005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667AB7-EC15-46C9-9369-C2FD0DB841F7}" type="TxLink">
              <a:rPr lang="en-US" sz="1400" b="0" i="0" u="none" strike="noStrike">
                <a:solidFill>
                  <a:srgbClr val="000000"/>
                </a:solidFill>
                <a:latin typeface="Arial" panose="020B0604020202020204" pitchFamily="34" charset="0"/>
                <a:cs typeface="Arial" panose="020B0604020202020204" pitchFamily="34" charset="0"/>
              </a:rPr>
              <a:pPr algn="ctr"/>
              <a:t>29</a:t>
            </a:fld>
            <a:endParaRPr lang="de-AT" sz="1400">
              <a:solidFill>
                <a:srgbClr val="831933"/>
              </a:solidFill>
              <a:latin typeface="Arial" panose="020B0604020202020204" pitchFamily="34" charset="0"/>
              <a:cs typeface="Arial" panose="020B0604020202020204" pitchFamily="34" charset="0"/>
            </a:endParaRPr>
          </a:p>
        </xdr:txBody>
      </xdr:sp>
      <xdr:sp macro="" textlink="">
        <xdr:nvSpPr>
          <xdr:cNvPr id="85" name="Textfeld 84">
            <a:extLst>
              <a:ext uri="{FF2B5EF4-FFF2-40B4-BE49-F238E27FC236}">
                <a16:creationId xmlns:a16="http://schemas.microsoft.com/office/drawing/2014/main" id="{0B54AD23-0280-04BF-1407-6665DC38E54C}"/>
              </a:ext>
            </a:extLst>
          </xdr:cNvPr>
          <xdr:cNvSpPr txBox="1"/>
        </xdr:nvSpPr>
        <xdr:spPr>
          <a:xfrm>
            <a:off x="2452212" y="1380966"/>
            <a:ext cx="7810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latin typeface="Arial" panose="020B0604020202020204" pitchFamily="34" charset="0"/>
                <a:cs typeface="Arial" panose="020B0604020202020204" pitchFamily="34" charset="0"/>
              </a:rPr>
              <a:t>Monate</a:t>
            </a:r>
          </a:p>
        </xdr:txBody>
      </xdr:sp>
    </xdr:grpSp>
    <xdr:clientData/>
  </xdr:twoCellAnchor>
  <xdr:twoCellAnchor>
    <xdr:from>
      <xdr:col>23</xdr:col>
      <xdr:colOff>118454</xdr:colOff>
      <xdr:row>26</xdr:row>
      <xdr:rowOff>166534</xdr:rowOff>
    </xdr:from>
    <xdr:to>
      <xdr:col>25</xdr:col>
      <xdr:colOff>569356</xdr:colOff>
      <xdr:row>28</xdr:row>
      <xdr:rowOff>100863</xdr:rowOff>
    </xdr:to>
    <xdr:sp macro="" textlink="">
      <xdr:nvSpPr>
        <xdr:cNvPr id="102" name="Textfeld 101">
          <a:extLst>
            <a:ext uri="{FF2B5EF4-FFF2-40B4-BE49-F238E27FC236}">
              <a16:creationId xmlns:a16="http://schemas.microsoft.com/office/drawing/2014/main" id="{AAC1E388-D00D-478C-BCC2-A04D9AB1FD3F}"/>
            </a:ext>
          </a:extLst>
        </xdr:cNvPr>
        <xdr:cNvSpPr txBox="1"/>
      </xdr:nvSpPr>
      <xdr:spPr>
        <a:xfrm>
          <a:off x="17972537" y="5098367"/>
          <a:ext cx="1890236" cy="294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23</xdr:col>
      <xdr:colOff>95250</xdr:colOff>
      <xdr:row>28</xdr:row>
      <xdr:rowOff>47951</xdr:rowOff>
    </xdr:from>
    <xdr:to>
      <xdr:col>27</xdr:col>
      <xdr:colOff>874183</xdr:colOff>
      <xdr:row>39</xdr:row>
      <xdr:rowOff>47953</xdr:rowOff>
    </xdr:to>
    <xdr:graphicFrame macro="">
      <xdr:nvGraphicFramePr>
        <xdr:cNvPr id="103" name="Diagramm 102">
          <a:extLst>
            <a:ext uri="{FF2B5EF4-FFF2-40B4-BE49-F238E27FC236}">
              <a16:creationId xmlns:a16="http://schemas.microsoft.com/office/drawing/2014/main" id="{739269CA-31CC-4BBC-9C8B-2FA5858F6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117390</xdr:colOff>
      <xdr:row>11</xdr:row>
      <xdr:rowOff>38430</xdr:rowOff>
    </xdr:from>
    <xdr:to>
      <xdr:col>26</xdr:col>
      <xdr:colOff>31717</xdr:colOff>
      <xdr:row>12</xdr:row>
      <xdr:rowOff>166541</xdr:rowOff>
    </xdr:to>
    <xdr:sp macro="" textlink="">
      <xdr:nvSpPr>
        <xdr:cNvPr id="128" name="Textfeld 127">
          <a:extLst>
            <a:ext uri="{FF2B5EF4-FFF2-40B4-BE49-F238E27FC236}">
              <a16:creationId xmlns:a16="http://schemas.microsoft.com/office/drawing/2014/main" id="{8CF64B35-F28D-4FFF-80B3-B7FEEA21FA49}"/>
            </a:ext>
          </a:extLst>
        </xdr:cNvPr>
        <xdr:cNvSpPr txBox="1"/>
      </xdr:nvSpPr>
      <xdr:spPr>
        <a:xfrm>
          <a:off x="17971473" y="2271513"/>
          <a:ext cx="2073327" cy="3080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BUDGETEINBEHALT: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24</xdr:col>
      <xdr:colOff>558766</xdr:colOff>
      <xdr:row>7</xdr:row>
      <xdr:rowOff>168605</xdr:rowOff>
    </xdr:from>
    <xdr:to>
      <xdr:col>28</xdr:col>
      <xdr:colOff>219484</xdr:colOff>
      <xdr:row>15</xdr:row>
      <xdr:rowOff>44608</xdr:rowOff>
    </xdr:to>
    <xdr:graphicFrame macro="">
      <xdr:nvGraphicFramePr>
        <xdr:cNvPr id="129" name="Diagramm 128">
          <a:extLst>
            <a:ext uri="{FF2B5EF4-FFF2-40B4-BE49-F238E27FC236}">
              <a16:creationId xmlns:a16="http://schemas.microsoft.com/office/drawing/2014/main" id="{CD0D42A0-0AE2-4CE9-8162-690DD4C16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141264</xdr:colOff>
      <xdr:row>1</xdr:row>
      <xdr:rowOff>149225</xdr:rowOff>
    </xdr:from>
    <xdr:to>
      <xdr:col>6</xdr:col>
      <xdr:colOff>692603</xdr:colOff>
      <xdr:row>3</xdr:row>
      <xdr:rowOff>111125</xdr:rowOff>
    </xdr:to>
    <xdr:sp macro="" textlink="">
      <xdr:nvSpPr>
        <xdr:cNvPr id="131" name="Textfeld 130">
          <a:extLst>
            <a:ext uri="{FF2B5EF4-FFF2-40B4-BE49-F238E27FC236}">
              <a16:creationId xmlns:a16="http://schemas.microsoft.com/office/drawing/2014/main" id="{722D138B-6986-4DEA-A39E-85DB6536FAA9}"/>
            </a:ext>
          </a:extLst>
        </xdr:cNvPr>
        <xdr:cNvSpPr txBox="1"/>
      </xdr:nvSpPr>
      <xdr:spPr>
        <a:xfrm>
          <a:off x="141264" y="581025"/>
          <a:ext cx="3726339"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AT" sz="1400" b="1" i="1">
              <a:solidFill>
                <a:srgbClr val="831933"/>
              </a:solidFill>
              <a:latin typeface="Arial" panose="020B0604020202020204" pitchFamily="34" charset="0"/>
              <a:cs typeface="Arial" panose="020B0604020202020204" pitchFamily="34" charset="0"/>
            </a:rPr>
            <a:t>REKTOR</a:t>
          </a:r>
        </a:p>
      </xdr:txBody>
    </xdr:sp>
    <xdr:clientData/>
  </xdr:twoCellAnchor>
  <xdr:twoCellAnchor>
    <xdr:from>
      <xdr:col>1</xdr:col>
      <xdr:colOff>196837</xdr:colOff>
      <xdr:row>24</xdr:row>
      <xdr:rowOff>33868</xdr:rowOff>
    </xdr:from>
    <xdr:to>
      <xdr:col>6</xdr:col>
      <xdr:colOff>233271</xdr:colOff>
      <xdr:row>25</xdr:row>
      <xdr:rowOff>168276</xdr:rowOff>
    </xdr:to>
    <xdr:sp macro="" textlink="">
      <xdr:nvSpPr>
        <xdr:cNvPr id="140" name="Textfeld 139">
          <a:extLst>
            <a:ext uri="{FF2B5EF4-FFF2-40B4-BE49-F238E27FC236}">
              <a16:creationId xmlns:a16="http://schemas.microsoft.com/office/drawing/2014/main" id="{89F35792-B2A4-00F2-7394-AE8D3566723C}"/>
            </a:ext>
          </a:extLst>
        </xdr:cNvPr>
        <xdr:cNvSpPr txBox="1"/>
      </xdr:nvSpPr>
      <xdr:spPr>
        <a:xfrm>
          <a:off x="2662754" y="4605868"/>
          <a:ext cx="3190267"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PROJEKTFORTSCHRITT: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196489</xdr:colOff>
      <xdr:row>4</xdr:row>
      <xdr:rowOff>15875</xdr:rowOff>
    </xdr:from>
    <xdr:to>
      <xdr:col>5</xdr:col>
      <xdr:colOff>373682</xdr:colOff>
      <xdr:row>5</xdr:row>
      <xdr:rowOff>134409</xdr:rowOff>
    </xdr:to>
    <xdr:sp macro="" textlink="">
      <xdr:nvSpPr>
        <xdr:cNvPr id="141" name="Textfeld 140">
          <a:extLst>
            <a:ext uri="{FF2B5EF4-FFF2-40B4-BE49-F238E27FC236}">
              <a16:creationId xmlns:a16="http://schemas.microsoft.com/office/drawing/2014/main" id="{7948B6A7-A89C-A35A-74EC-A786A82CD035}"/>
            </a:ext>
          </a:extLst>
        </xdr:cNvPr>
        <xdr:cNvSpPr txBox="1"/>
      </xdr:nvSpPr>
      <xdr:spPr>
        <a:xfrm>
          <a:off x="196489" y="1004809"/>
          <a:ext cx="2644324" cy="3059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ANZAHL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PROJEKTE</a:t>
          </a:r>
          <a:r>
            <a:rPr lang="de-AT" sz="1400" baseline="0">
              <a:solidFill>
                <a:srgbClr val="831933"/>
              </a:solidFill>
              <a:latin typeface="Arial" panose="020B0604020202020204" pitchFamily="34" charset="0"/>
              <a:cs typeface="Arial" panose="020B0604020202020204" pitchFamily="34" charset="0"/>
            </a:rPr>
            <a: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5</xdr:col>
      <xdr:colOff>373682</xdr:colOff>
      <xdr:row>4</xdr:row>
      <xdr:rowOff>15875</xdr:rowOff>
    </xdr:from>
    <xdr:to>
      <xdr:col>6</xdr:col>
      <xdr:colOff>175773</xdr:colOff>
      <xdr:row>5</xdr:row>
      <xdr:rowOff>111126</xdr:rowOff>
    </xdr:to>
    <xdr:sp macro="" textlink="Arbeitsbereich!H4">
      <xdr:nvSpPr>
        <xdr:cNvPr id="142" name="Textfeld 141">
          <a:extLst>
            <a:ext uri="{FF2B5EF4-FFF2-40B4-BE49-F238E27FC236}">
              <a16:creationId xmlns:a16="http://schemas.microsoft.com/office/drawing/2014/main" id="{CFF08C58-DB95-793C-5E0E-08DF885C9634}"/>
            </a:ext>
          </a:extLst>
        </xdr:cNvPr>
        <xdr:cNvSpPr txBox="1"/>
      </xdr:nvSpPr>
      <xdr:spPr>
        <a:xfrm>
          <a:off x="2840813" y="1004809"/>
          <a:ext cx="530780" cy="2826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25358E-A6E8-46E4-AE22-34E480C0FB53}" type="TxLink">
            <a:rPr lang="en-US" sz="1400" b="0" i="0" u="none" strike="noStrike">
              <a:solidFill>
                <a:srgbClr val="000000"/>
              </a:solidFill>
              <a:latin typeface="Arial" panose="020B0604020202020204" pitchFamily="34" charset="0"/>
              <a:cs typeface="Arial" panose="020B0604020202020204" pitchFamily="34" charset="0"/>
            </a:rPr>
            <a:pPr algn="ctr"/>
            <a:t>1</a:t>
          </a:fld>
          <a:endParaRPr lang="de-AT" sz="3200">
            <a:solidFill>
              <a:srgbClr val="831933"/>
            </a:solidFill>
            <a:latin typeface="Arial" panose="020B0604020202020204" pitchFamily="34" charset="0"/>
            <a:cs typeface="Arial" panose="020B0604020202020204" pitchFamily="34" charset="0"/>
          </a:endParaRPr>
        </a:p>
      </xdr:txBody>
    </xdr:sp>
    <xdr:clientData/>
  </xdr:twoCellAnchor>
  <xdr:twoCellAnchor>
    <xdr:from>
      <xdr:col>3</xdr:col>
      <xdr:colOff>254436</xdr:colOff>
      <xdr:row>20</xdr:row>
      <xdr:rowOff>112185</xdr:rowOff>
    </xdr:from>
    <xdr:to>
      <xdr:col>8</xdr:col>
      <xdr:colOff>332137</xdr:colOff>
      <xdr:row>27</xdr:row>
      <xdr:rowOff>149002</xdr:rowOff>
    </xdr:to>
    <xdr:graphicFrame macro="">
      <xdr:nvGraphicFramePr>
        <xdr:cNvPr id="143" name="Diagramm 142">
          <a:extLst>
            <a:ext uri="{FF2B5EF4-FFF2-40B4-BE49-F238E27FC236}">
              <a16:creationId xmlns:a16="http://schemas.microsoft.com/office/drawing/2014/main" id="{F759AA2D-4DB2-B2D6-BCD3-B6FC05931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205832</xdr:colOff>
      <xdr:row>20</xdr:row>
      <xdr:rowOff>175603</xdr:rowOff>
    </xdr:from>
    <xdr:to>
      <xdr:col>6</xdr:col>
      <xdr:colOff>721797</xdr:colOff>
      <xdr:row>22</xdr:row>
      <xdr:rowOff>137921</xdr:rowOff>
    </xdr:to>
    <xdr:grpSp>
      <xdr:nvGrpSpPr>
        <xdr:cNvPr id="144" name="Gruppieren 143">
          <a:extLst>
            <a:ext uri="{FF2B5EF4-FFF2-40B4-BE49-F238E27FC236}">
              <a16:creationId xmlns:a16="http://schemas.microsoft.com/office/drawing/2014/main" id="{38CD417D-ED0D-6EE7-4F23-9E3A0531F6E6}"/>
            </a:ext>
          </a:extLst>
        </xdr:cNvPr>
        <xdr:cNvGrpSpPr/>
      </xdr:nvGrpSpPr>
      <xdr:grpSpPr>
        <a:xfrm>
          <a:off x="2793457" y="3922103"/>
          <a:ext cx="3849715" cy="311568"/>
          <a:chOff x="187859" y="1368771"/>
          <a:chExt cx="3098800" cy="316995"/>
        </a:xfrm>
      </xdr:grpSpPr>
      <xdr:sp macro="" textlink="">
        <xdr:nvSpPr>
          <xdr:cNvPr id="145" name="Textfeld 144">
            <a:extLst>
              <a:ext uri="{FF2B5EF4-FFF2-40B4-BE49-F238E27FC236}">
                <a16:creationId xmlns:a16="http://schemas.microsoft.com/office/drawing/2014/main" id="{6E1387CC-589B-60B8-DE64-B342CACDB9CE}"/>
              </a:ext>
            </a:extLst>
          </xdr:cNvPr>
          <xdr:cNvSpPr txBox="1"/>
        </xdr:nvSpPr>
        <xdr:spPr>
          <a:xfrm>
            <a:off x="187859" y="1377905"/>
            <a:ext cx="3098800" cy="3033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a:t>
            </a:r>
            <a:r>
              <a:rPr lang="de-AT" sz="1400" b="0" i="0" baseline="0">
                <a:solidFill>
                  <a:srgbClr val="831933"/>
                </a:solidFill>
                <a:effectLst/>
                <a:latin typeface="Arial" panose="020B0604020202020204" pitchFamily="34" charset="0"/>
                <a:ea typeface="+mn-ea"/>
                <a:cs typeface="Arial" panose="020B0604020202020204" pitchFamily="34" charset="0"/>
              </a:rPr>
              <a:t> PROJEKTLAUFZEIT:</a:t>
            </a:r>
            <a:endParaRPr lang="de-AT" sz="1400">
              <a:solidFill>
                <a:srgbClr val="831933"/>
              </a:solidFill>
              <a:effectLst/>
              <a:latin typeface="Arial" panose="020B0604020202020204" pitchFamily="34" charset="0"/>
              <a:cs typeface="Arial" panose="020B0604020202020204" pitchFamily="34" charset="0"/>
            </a:endParaRPr>
          </a:p>
        </xdr:txBody>
      </xdr:sp>
      <xdr:sp macro="" textlink="Arbeitsbereich!F114">
        <xdr:nvSpPr>
          <xdr:cNvPr id="146" name="Textfeld 145">
            <a:extLst>
              <a:ext uri="{FF2B5EF4-FFF2-40B4-BE49-F238E27FC236}">
                <a16:creationId xmlns:a16="http://schemas.microsoft.com/office/drawing/2014/main" id="{EC2B0017-5F1C-7CF4-C0A0-19C9ECE82B70}"/>
              </a:ext>
            </a:extLst>
          </xdr:cNvPr>
          <xdr:cNvSpPr txBox="1"/>
        </xdr:nvSpPr>
        <xdr:spPr>
          <a:xfrm>
            <a:off x="2153037" y="1368771"/>
            <a:ext cx="40005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459BF9-C530-4CC5-B207-21131F2C8A4E}" type="TxLink">
              <a:rPr lang="en-US" sz="1400" b="0" i="0" u="none" strike="noStrike">
                <a:solidFill>
                  <a:srgbClr val="000000"/>
                </a:solidFill>
                <a:latin typeface="Arial" panose="020B0604020202020204" pitchFamily="34" charset="0"/>
                <a:cs typeface="Arial" panose="020B0604020202020204" pitchFamily="34" charset="0"/>
              </a:rPr>
              <a:pPr algn="ctr"/>
              <a:t>35</a:t>
            </a:fld>
            <a:endParaRPr lang="de-AT" sz="1400">
              <a:solidFill>
                <a:srgbClr val="831933"/>
              </a:solidFill>
              <a:latin typeface="Arial" panose="020B0604020202020204" pitchFamily="34" charset="0"/>
              <a:cs typeface="Arial" panose="020B0604020202020204" pitchFamily="34" charset="0"/>
            </a:endParaRPr>
          </a:p>
        </xdr:txBody>
      </xdr:sp>
      <xdr:sp macro="" textlink="">
        <xdr:nvSpPr>
          <xdr:cNvPr id="147" name="Textfeld 146">
            <a:extLst>
              <a:ext uri="{FF2B5EF4-FFF2-40B4-BE49-F238E27FC236}">
                <a16:creationId xmlns:a16="http://schemas.microsoft.com/office/drawing/2014/main" id="{A5B96AEB-B4AA-F4B2-07D1-BBDE1D954BA6}"/>
              </a:ext>
            </a:extLst>
          </xdr:cNvPr>
          <xdr:cNvSpPr txBox="1"/>
        </xdr:nvSpPr>
        <xdr:spPr>
          <a:xfrm>
            <a:off x="2452212" y="1380966"/>
            <a:ext cx="7810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latin typeface="Arial" panose="020B0604020202020204" pitchFamily="34" charset="0"/>
                <a:cs typeface="Arial" panose="020B0604020202020204" pitchFamily="34" charset="0"/>
              </a:rPr>
              <a:t>Monate</a:t>
            </a:r>
          </a:p>
        </xdr:txBody>
      </xdr:sp>
    </xdr:grpSp>
    <xdr:clientData/>
  </xdr:twoCellAnchor>
  <xdr:twoCellAnchor>
    <xdr:from>
      <xdr:col>1</xdr:col>
      <xdr:colOff>197357</xdr:colOff>
      <xdr:row>26</xdr:row>
      <xdr:rowOff>161925</xdr:rowOff>
    </xdr:from>
    <xdr:to>
      <xdr:col>5</xdr:col>
      <xdr:colOff>368200</xdr:colOff>
      <xdr:row>28</xdr:row>
      <xdr:rowOff>74083</xdr:rowOff>
    </xdr:to>
    <xdr:sp macro="" textlink="">
      <xdr:nvSpPr>
        <xdr:cNvPr id="148" name="Textfeld 147">
          <a:extLst>
            <a:ext uri="{FF2B5EF4-FFF2-40B4-BE49-F238E27FC236}">
              <a16:creationId xmlns:a16="http://schemas.microsoft.com/office/drawing/2014/main" id="{E1CB748A-CC0D-B512-A05F-ED61B21EAE36}"/>
            </a:ext>
          </a:extLst>
        </xdr:cNvPr>
        <xdr:cNvSpPr txBox="1"/>
      </xdr:nvSpPr>
      <xdr:spPr>
        <a:xfrm>
          <a:off x="2663274" y="5093758"/>
          <a:ext cx="2605009" cy="2719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189442</xdr:colOff>
      <xdr:row>31</xdr:row>
      <xdr:rowOff>159809</xdr:rowOff>
    </xdr:from>
    <xdr:to>
      <xdr:col>6</xdr:col>
      <xdr:colOff>645583</xdr:colOff>
      <xdr:row>39</xdr:row>
      <xdr:rowOff>57152</xdr:rowOff>
    </xdr:to>
    <xdr:graphicFrame macro="">
      <xdr:nvGraphicFramePr>
        <xdr:cNvPr id="149" name="Diagramm 148">
          <a:extLst>
            <a:ext uri="{FF2B5EF4-FFF2-40B4-BE49-F238E27FC236}">
              <a16:creationId xmlns:a16="http://schemas.microsoft.com/office/drawing/2014/main" id="{D2EC246D-BD6E-732C-3D7A-C10F290A2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226989</xdr:colOff>
      <xdr:row>11</xdr:row>
      <xdr:rowOff>47625</xdr:rowOff>
    </xdr:from>
    <xdr:to>
      <xdr:col>5</xdr:col>
      <xdr:colOff>573011</xdr:colOff>
      <xdr:row>12</xdr:row>
      <xdr:rowOff>178859</xdr:rowOff>
    </xdr:to>
    <xdr:sp macro="" textlink="">
      <xdr:nvSpPr>
        <xdr:cNvPr id="152" name="Textfeld 151">
          <a:extLst>
            <a:ext uri="{FF2B5EF4-FFF2-40B4-BE49-F238E27FC236}">
              <a16:creationId xmlns:a16="http://schemas.microsoft.com/office/drawing/2014/main" id="{92184783-5394-CE76-B383-34ADC2FDF640}"/>
            </a:ext>
          </a:extLst>
        </xdr:cNvPr>
        <xdr:cNvSpPr txBox="1"/>
      </xdr:nvSpPr>
      <xdr:spPr>
        <a:xfrm>
          <a:off x="226989" y="2384425"/>
          <a:ext cx="2797122" cy="3217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BUDGETEINBEHALT: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7</xdr:col>
      <xdr:colOff>154952</xdr:colOff>
      <xdr:row>24</xdr:row>
      <xdr:rowOff>76161</xdr:rowOff>
    </xdr:from>
    <xdr:to>
      <xdr:col>11</xdr:col>
      <xdr:colOff>494677</xdr:colOff>
      <xdr:row>26</xdr:row>
      <xdr:rowOff>18005</xdr:rowOff>
    </xdr:to>
    <xdr:sp macro="" textlink="">
      <xdr:nvSpPr>
        <xdr:cNvPr id="154" name="Textfeld 153">
          <a:extLst>
            <a:ext uri="{FF2B5EF4-FFF2-40B4-BE49-F238E27FC236}">
              <a16:creationId xmlns:a16="http://schemas.microsoft.com/office/drawing/2014/main" id="{E13BCFF6-A3E4-445C-AC7D-02A741778600}"/>
            </a:ext>
          </a:extLst>
        </xdr:cNvPr>
        <xdr:cNvSpPr txBox="1"/>
      </xdr:nvSpPr>
      <xdr:spPr>
        <a:xfrm>
          <a:off x="4028452" y="4648161"/>
          <a:ext cx="3218392" cy="301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PROJEKTFORTSCHRITT: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7</xdr:col>
      <xdr:colOff>151258</xdr:colOff>
      <xdr:row>4</xdr:row>
      <xdr:rowOff>53975</xdr:rowOff>
    </xdr:from>
    <xdr:to>
      <xdr:col>11</xdr:col>
      <xdr:colOff>75319</xdr:colOff>
      <xdr:row>6</xdr:row>
      <xdr:rowOff>72868</xdr:rowOff>
    </xdr:to>
    <xdr:sp macro="" textlink="">
      <xdr:nvSpPr>
        <xdr:cNvPr id="155" name="Textfeld 154">
          <a:extLst>
            <a:ext uri="{FF2B5EF4-FFF2-40B4-BE49-F238E27FC236}">
              <a16:creationId xmlns:a16="http://schemas.microsoft.com/office/drawing/2014/main" id="{9D6D9395-4C6C-4443-B637-C33D591F4EF1}"/>
            </a:ext>
          </a:extLst>
        </xdr:cNvPr>
        <xdr:cNvSpPr txBox="1"/>
      </xdr:nvSpPr>
      <xdr:spPr>
        <a:xfrm>
          <a:off x="4075766" y="1042909"/>
          <a:ext cx="2838815" cy="3936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ANZAHL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PROJEKTE</a:t>
          </a:r>
          <a:r>
            <a:rPr lang="de-AT" sz="1400" baseline="0">
              <a:solidFill>
                <a:srgbClr val="831933"/>
              </a:solidFill>
              <a:latin typeface="Arial" panose="020B0604020202020204" pitchFamily="34" charset="0"/>
              <a:cs typeface="Arial" panose="020B0604020202020204" pitchFamily="34" charset="0"/>
            </a:rPr>
            <a: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10</xdr:col>
      <xdr:colOff>588905</xdr:colOff>
      <xdr:row>4</xdr:row>
      <xdr:rowOff>57150</xdr:rowOff>
    </xdr:from>
    <xdr:to>
      <xdr:col>11</xdr:col>
      <xdr:colOff>437008</xdr:colOff>
      <xdr:row>5</xdr:row>
      <xdr:rowOff>168276</xdr:rowOff>
    </xdr:to>
    <xdr:sp macro="" textlink="Arbeitsbereich!J4">
      <xdr:nvSpPr>
        <xdr:cNvPr id="156" name="Textfeld 155">
          <a:extLst>
            <a:ext uri="{FF2B5EF4-FFF2-40B4-BE49-F238E27FC236}">
              <a16:creationId xmlns:a16="http://schemas.microsoft.com/office/drawing/2014/main" id="{3105BF0F-F035-4B62-A119-FC6C660ED331}"/>
            </a:ext>
          </a:extLst>
        </xdr:cNvPr>
        <xdr:cNvSpPr txBox="1"/>
      </xdr:nvSpPr>
      <xdr:spPr>
        <a:xfrm>
          <a:off x="6699479" y="1046084"/>
          <a:ext cx="576791" cy="2985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0BE84C-4747-4509-9B0D-2838B232BC86}" type="TxLink">
            <a:rPr lang="en-US" sz="1400" b="0" i="0" u="none" strike="noStrike">
              <a:solidFill>
                <a:srgbClr val="000000"/>
              </a:solidFill>
              <a:latin typeface="Arial" panose="020B0604020202020204" pitchFamily="34" charset="0"/>
              <a:cs typeface="Arial" panose="020B0604020202020204" pitchFamily="34" charset="0"/>
            </a:rPr>
            <a:pPr algn="ctr"/>
            <a:t>2</a:t>
          </a:fld>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8</xdr:col>
      <xdr:colOff>527486</xdr:colOff>
      <xdr:row>20</xdr:row>
      <xdr:rowOff>98439</xdr:rowOff>
    </xdr:from>
    <xdr:to>
      <xdr:col>13</xdr:col>
      <xdr:colOff>622676</xdr:colOff>
      <xdr:row>27</xdr:row>
      <xdr:rowOff>144781</xdr:rowOff>
    </xdr:to>
    <xdr:graphicFrame macro="">
      <xdr:nvGraphicFramePr>
        <xdr:cNvPr id="157" name="Diagramm 156">
          <a:extLst>
            <a:ext uri="{FF2B5EF4-FFF2-40B4-BE49-F238E27FC236}">
              <a16:creationId xmlns:a16="http://schemas.microsoft.com/office/drawing/2014/main" id="{34B39C27-0D2A-4DE4-BA85-C00B5EF3C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153015</xdr:colOff>
      <xdr:row>21</xdr:row>
      <xdr:rowOff>1</xdr:rowOff>
    </xdr:from>
    <xdr:to>
      <xdr:col>12</xdr:col>
      <xdr:colOff>222250</xdr:colOff>
      <xdr:row>22</xdr:row>
      <xdr:rowOff>152980</xdr:rowOff>
    </xdr:to>
    <xdr:grpSp>
      <xdr:nvGrpSpPr>
        <xdr:cNvPr id="158" name="Gruppieren 157">
          <a:extLst>
            <a:ext uri="{FF2B5EF4-FFF2-40B4-BE49-F238E27FC236}">
              <a16:creationId xmlns:a16="http://schemas.microsoft.com/office/drawing/2014/main" id="{1B16BEA4-C224-4665-AC5B-6038D4913977}"/>
            </a:ext>
          </a:extLst>
        </xdr:cNvPr>
        <xdr:cNvGrpSpPr/>
      </xdr:nvGrpSpPr>
      <xdr:grpSpPr>
        <a:xfrm>
          <a:off x="6836390" y="3921126"/>
          <a:ext cx="3879235" cy="327604"/>
          <a:chOff x="187854" y="1368771"/>
          <a:chExt cx="3098800" cy="316995"/>
        </a:xfrm>
      </xdr:grpSpPr>
      <xdr:sp macro="" textlink="">
        <xdr:nvSpPr>
          <xdr:cNvPr id="159" name="Textfeld 158">
            <a:extLst>
              <a:ext uri="{FF2B5EF4-FFF2-40B4-BE49-F238E27FC236}">
                <a16:creationId xmlns:a16="http://schemas.microsoft.com/office/drawing/2014/main" id="{A8250716-B491-FB19-B710-68208F3B2D02}"/>
              </a:ext>
            </a:extLst>
          </xdr:cNvPr>
          <xdr:cNvSpPr txBox="1"/>
        </xdr:nvSpPr>
        <xdr:spPr>
          <a:xfrm>
            <a:off x="187854" y="1377924"/>
            <a:ext cx="3098800" cy="3039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a:t>
            </a:r>
            <a:r>
              <a:rPr lang="de-AT" sz="1400" b="0" i="0" baseline="0">
                <a:solidFill>
                  <a:srgbClr val="831933"/>
                </a:solidFill>
                <a:effectLst/>
                <a:latin typeface="Arial" panose="020B0604020202020204" pitchFamily="34" charset="0"/>
                <a:ea typeface="+mn-ea"/>
                <a:cs typeface="Arial" panose="020B0604020202020204" pitchFamily="34" charset="0"/>
              </a:rPr>
              <a:t> PROJEKTLAUFZEIT:</a:t>
            </a:r>
            <a:endParaRPr lang="de-AT" sz="1400">
              <a:solidFill>
                <a:srgbClr val="831933"/>
              </a:solidFill>
              <a:effectLst/>
              <a:latin typeface="Arial" panose="020B0604020202020204" pitchFamily="34" charset="0"/>
              <a:cs typeface="Arial" panose="020B0604020202020204" pitchFamily="34" charset="0"/>
            </a:endParaRPr>
          </a:p>
        </xdr:txBody>
      </xdr:sp>
      <xdr:sp macro="" textlink="Arbeitsbereich!G114">
        <xdr:nvSpPr>
          <xdr:cNvPr id="160" name="Textfeld 159">
            <a:extLst>
              <a:ext uri="{FF2B5EF4-FFF2-40B4-BE49-F238E27FC236}">
                <a16:creationId xmlns:a16="http://schemas.microsoft.com/office/drawing/2014/main" id="{4DE041E4-1726-9A70-6485-F26551B2226C}"/>
              </a:ext>
            </a:extLst>
          </xdr:cNvPr>
          <xdr:cNvSpPr txBox="1"/>
        </xdr:nvSpPr>
        <xdr:spPr>
          <a:xfrm>
            <a:off x="2153037" y="1368771"/>
            <a:ext cx="40005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CE654A-9E49-4C0D-8316-DF53390B8C27}" type="TxLink">
              <a:rPr lang="en-US" sz="1400" b="0" i="0" u="none" strike="noStrike">
                <a:solidFill>
                  <a:srgbClr val="000000"/>
                </a:solidFill>
                <a:latin typeface="Arial" panose="020B0604020202020204" pitchFamily="34" charset="0"/>
                <a:cs typeface="Arial" panose="020B0604020202020204" pitchFamily="34" charset="0"/>
              </a:rPr>
              <a:pPr algn="ctr"/>
              <a:t>24</a:t>
            </a:fld>
            <a:endParaRPr lang="de-AT" sz="1400">
              <a:solidFill>
                <a:srgbClr val="831933"/>
              </a:solidFill>
              <a:latin typeface="Arial" panose="020B0604020202020204" pitchFamily="34" charset="0"/>
              <a:cs typeface="Arial" panose="020B0604020202020204" pitchFamily="34" charset="0"/>
            </a:endParaRPr>
          </a:p>
        </xdr:txBody>
      </xdr:sp>
      <xdr:sp macro="" textlink="">
        <xdr:nvSpPr>
          <xdr:cNvPr id="161" name="Textfeld 160">
            <a:extLst>
              <a:ext uri="{FF2B5EF4-FFF2-40B4-BE49-F238E27FC236}">
                <a16:creationId xmlns:a16="http://schemas.microsoft.com/office/drawing/2014/main" id="{04018362-B88A-69A7-F148-B02820A3B253}"/>
              </a:ext>
            </a:extLst>
          </xdr:cNvPr>
          <xdr:cNvSpPr txBox="1"/>
        </xdr:nvSpPr>
        <xdr:spPr>
          <a:xfrm>
            <a:off x="2452212" y="1377090"/>
            <a:ext cx="665387" cy="308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latin typeface="Arial" panose="020B0604020202020204" pitchFamily="34" charset="0"/>
                <a:cs typeface="Arial" panose="020B0604020202020204" pitchFamily="34" charset="0"/>
              </a:rPr>
              <a:t>Monate</a:t>
            </a:r>
          </a:p>
        </xdr:txBody>
      </xdr:sp>
    </xdr:grpSp>
    <xdr:clientData/>
  </xdr:twoCellAnchor>
  <xdr:twoCellAnchor>
    <xdr:from>
      <xdr:col>7</xdr:col>
      <xdr:colOff>155471</xdr:colOff>
      <xdr:row>26</xdr:row>
      <xdr:rowOff>160863</xdr:rowOff>
    </xdr:from>
    <xdr:to>
      <xdr:col>10</xdr:col>
      <xdr:colOff>589943</xdr:colOff>
      <xdr:row>28</xdr:row>
      <xdr:rowOff>99479</xdr:rowOff>
    </xdr:to>
    <xdr:sp macro="" textlink="">
      <xdr:nvSpPr>
        <xdr:cNvPr id="162" name="Textfeld 161">
          <a:extLst>
            <a:ext uri="{FF2B5EF4-FFF2-40B4-BE49-F238E27FC236}">
              <a16:creationId xmlns:a16="http://schemas.microsoft.com/office/drawing/2014/main" id="{11BD2E98-BCC3-4615-A6E8-03AFB169A0A1}"/>
            </a:ext>
          </a:extLst>
        </xdr:cNvPr>
        <xdr:cNvSpPr txBox="1"/>
      </xdr:nvSpPr>
      <xdr:spPr>
        <a:xfrm>
          <a:off x="6494888" y="5092696"/>
          <a:ext cx="2593472"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7</xdr:col>
      <xdr:colOff>150284</xdr:colOff>
      <xdr:row>31</xdr:row>
      <xdr:rowOff>154506</xdr:rowOff>
    </xdr:from>
    <xdr:to>
      <xdr:col>12</xdr:col>
      <xdr:colOff>112184</xdr:colOff>
      <xdr:row>39</xdr:row>
      <xdr:rowOff>48673</xdr:rowOff>
    </xdr:to>
    <xdr:graphicFrame macro="">
      <xdr:nvGraphicFramePr>
        <xdr:cNvPr id="163" name="Diagramm 162">
          <a:extLst>
            <a:ext uri="{FF2B5EF4-FFF2-40B4-BE49-F238E27FC236}">
              <a16:creationId xmlns:a16="http://schemas.microsoft.com/office/drawing/2014/main" id="{86E66F84-F590-45AA-8D15-90272E12C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156529</xdr:colOff>
      <xdr:row>11</xdr:row>
      <xdr:rowOff>48692</xdr:rowOff>
    </xdr:from>
    <xdr:to>
      <xdr:col>11</xdr:col>
      <xdr:colOff>73475</xdr:colOff>
      <xdr:row>12</xdr:row>
      <xdr:rowOff>169342</xdr:rowOff>
    </xdr:to>
    <xdr:sp macro="" textlink="">
      <xdr:nvSpPr>
        <xdr:cNvPr id="166" name="Textfeld 165">
          <a:extLst>
            <a:ext uri="{FF2B5EF4-FFF2-40B4-BE49-F238E27FC236}">
              <a16:creationId xmlns:a16="http://schemas.microsoft.com/office/drawing/2014/main" id="{0EAAAA06-89AD-4EB4-BB2F-0D466923754F}"/>
            </a:ext>
          </a:extLst>
        </xdr:cNvPr>
        <xdr:cNvSpPr txBox="1"/>
      </xdr:nvSpPr>
      <xdr:spPr>
        <a:xfrm>
          <a:off x="6495946" y="2281775"/>
          <a:ext cx="2795612" cy="3005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BUDGETEINBEHALT: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12</xdr:col>
      <xdr:colOff>367330</xdr:colOff>
      <xdr:row>24</xdr:row>
      <xdr:rowOff>88015</xdr:rowOff>
    </xdr:from>
    <xdr:to>
      <xdr:col>16</xdr:col>
      <xdr:colOff>661044</xdr:colOff>
      <xdr:row>26</xdr:row>
      <xdr:rowOff>35098</xdr:rowOff>
    </xdr:to>
    <xdr:sp macro="" textlink="">
      <xdr:nvSpPr>
        <xdr:cNvPr id="168" name="Textfeld 167">
          <a:extLst>
            <a:ext uri="{FF2B5EF4-FFF2-40B4-BE49-F238E27FC236}">
              <a16:creationId xmlns:a16="http://schemas.microsoft.com/office/drawing/2014/main" id="{95A6809D-D9B1-4634-B3C0-3998544D1707}"/>
            </a:ext>
          </a:extLst>
        </xdr:cNvPr>
        <xdr:cNvSpPr txBox="1"/>
      </xdr:nvSpPr>
      <xdr:spPr>
        <a:xfrm>
          <a:off x="10305080" y="4660015"/>
          <a:ext cx="3172381" cy="3069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PROJEKTFORTSCHRITT: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12</xdr:col>
      <xdr:colOff>372623</xdr:colOff>
      <xdr:row>4</xdr:row>
      <xdr:rowOff>53975</xdr:rowOff>
    </xdr:from>
    <xdr:to>
      <xdr:col>16</xdr:col>
      <xdr:colOff>293925</xdr:colOff>
      <xdr:row>6</xdr:row>
      <xdr:rowOff>16759</xdr:rowOff>
    </xdr:to>
    <xdr:sp macro="" textlink="">
      <xdr:nvSpPr>
        <xdr:cNvPr id="169" name="Textfeld 168">
          <a:extLst>
            <a:ext uri="{FF2B5EF4-FFF2-40B4-BE49-F238E27FC236}">
              <a16:creationId xmlns:a16="http://schemas.microsoft.com/office/drawing/2014/main" id="{6D98F6E0-1A03-4F8E-A799-B95A8A8836D8}"/>
            </a:ext>
          </a:extLst>
        </xdr:cNvPr>
        <xdr:cNvSpPr txBox="1"/>
      </xdr:nvSpPr>
      <xdr:spPr>
        <a:xfrm>
          <a:off x="7940574" y="1042909"/>
          <a:ext cx="2836056" cy="337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ANZAHL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PROJEKTE</a:t>
          </a:r>
          <a:r>
            <a:rPr lang="de-AT" sz="1400" baseline="0">
              <a:solidFill>
                <a:srgbClr val="831933"/>
              </a:solidFill>
              <a:latin typeface="Arial" panose="020B0604020202020204" pitchFamily="34" charset="0"/>
              <a:cs typeface="Arial" panose="020B0604020202020204" pitchFamily="34" charset="0"/>
            </a:rPr>
            <a: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16</xdr:col>
      <xdr:colOff>65707</xdr:colOff>
      <xdr:row>4</xdr:row>
      <xdr:rowOff>38100</xdr:rowOff>
    </xdr:from>
    <xdr:to>
      <xdr:col>16</xdr:col>
      <xdr:colOff>615537</xdr:colOff>
      <xdr:row>5</xdr:row>
      <xdr:rowOff>149226</xdr:rowOff>
    </xdr:to>
    <xdr:sp macro="" textlink="Arbeitsbereich!L4">
      <xdr:nvSpPr>
        <xdr:cNvPr id="170" name="Textfeld 169">
          <a:extLst>
            <a:ext uri="{FF2B5EF4-FFF2-40B4-BE49-F238E27FC236}">
              <a16:creationId xmlns:a16="http://schemas.microsoft.com/office/drawing/2014/main" id="{CCCB10B3-910C-4891-BFB1-A55DA160350A}"/>
            </a:ext>
          </a:extLst>
        </xdr:cNvPr>
        <xdr:cNvSpPr txBox="1"/>
      </xdr:nvSpPr>
      <xdr:spPr>
        <a:xfrm>
          <a:off x="10548412" y="1027034"/>
          <a:ext cx="549830" cy="2985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670E54-722A-4A30-A293-6015856719EA}" type="TxLink">
            <a:rPr lang="en-US" sz="1400" b="0" i="0" u="none" strike="noStrike">
              <a:solidFill>
                <a:srgbClr val="000000"/>
              </a:solidFill>
              <a:latin typeface="Arial" panose="020B0604020202020204" pitchFamily="34" charset="0"/>
              <a:cs typeface="Arial" panose="020B0604020202020204" pitchFamily="34" charset="0"/>
            </a:rPr>
            <a:pPr algn="ctr"/>
            <a:t>1</a:t>
          </a:fld>
          <a:endParaRPr lang="de-AT" sz="3200">
            <a:solidFill>
              <a:srgbClr val="831933"/>
            </a:solidFill>
            <a:latin typeface="Arial" panose="020B0604020202020204" pitchFamily="34" charset="0"/>
            <a:cs typeface="Arial" panose="020B0604020202020204" pitchFamily="34" charset="0"/>
          </a:endParaRPr>
        </a:p>
      </xdr:txBody>
    </xdr:sp>
    <xdr:clientData/>
  </xdr:twoCellAnchor>
  <xdr:twoCellAnchor>
    <xdr:from>
      <xdr:col>13</xdr:col>
      <xdr:colOff>324078</xdr:colOff>
      <xdr:row>20</xdr:row>
      <xdr:rowOff>98426</xdr:rowOff>
    </xdr:from>
    <xdr:to>
      <xdr:col>19</xdr:col>
      <xdr:colOff>408129</xdr:colOff>
      <xdr:row>27</xdr:row>
      <xdr:rowOff>147943</xdr:rowOff>
    </xdr:to>
    <xdr:graphicFrame macro="">
      <xdr:nvGraphicFramePr>
        <xdr:cNvPr id="171" name="Diagramm 170">
          <a:extLst>
            <a:ext uri="{FF2B5EF4-FFF2-40B4-BE49-F238E27FC236}">
              <a16:creationId xmlns:a16="http://schemas.microsoft.com/office/drawing/2014/main" id="{F0031011-E5EC-401D-8535-8CC9200BA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450215</xdr:colOff>
      <xdr:row>20</xdr:row>
      <xdr:rowOff>169822</xdr:rowOff>
    </xdr:from>
    <xdr:to>
      <xdr:col>17</xdr:col>
      <xdr:colOff>543957</xdr:colOff>
      <xdr:row>22</xdr:row>
      <xdr:rowOff>149496</xdr:rowOff>
    </xdr:to>
    <xdr:grpSp>
      <xdr:nvGrpSpPr>
        <xdr:cNvPr id="172" name="Gruppieren 171">
          <a:extLst>
            <a:ext uri="{FF2B5EF4-FFF2-40B4-BE49-F238E27FC236}">
              <a16:creationId xmlns:a16="http://schemas.microsoft.com/office/drawing/2014/main" id="{05CAA39F-C7CB-4FEF-8850-422D9EB39D51}"/>
            </a:ext>
          </a:extLst>
        </xdr:cNvPr>
        <xdr:cNvGrpSpPr/>
      </xdr:nvGrpSpPr>
      <xdr:grpSpPr>
        <a:xfrm>
          <a:off x="10943590" y="3916322"/>
          <a:ext cx="3903742" cy="328924"/>
          <a:chOff x="190500" y="1368771"/>
          <a:chExt cx="3098800" cy="316995"/>
        </a:xfrm>
      </xdr:grpSpPr>
      <xdr:sp macro="" textlink="">
        <xdr:nvSpPr>
          <xdr:cNvPr id="173" name="Textfeld 172">
            <a:extLst>
              <a:ext uri="{FF2B5EF4-FFF2-40B4-BE49-F238E27FC236}">
                <a16:creationId xmlns:a16="http://schemas.microsoft.com/office/drawing/2014/main" id="{485476EB-F2E3-A09A-768B-BF1DE1D975BE}"/>
              </a:ext>
            </a:extLst>
          </xdr:cNvPr>
          <xdr:cNvSpPr txBox="1"/>
        </xdr:nvSpPr>
        <xdr:spPr>
          <a:xfrm>
            <a:off x="190500" y="1377950"/>
            <a:ext cx="30988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a:t>
            </a:r>
            <a:r>
              <a:rPr lang="de-AT" sz="1400" b="0" i="0" baseline="0">
                <a:solidFill>
                  <a:srgbClr val="831933"/>
                </a:solidFill>
                <a:effectLst/>
                <a:latin typeface="Arial" panose="020B0604020202020204" pitchFamily="34" charset="0"/>
                <a:ea typeface="+mn-ea"/>
                <a:cs typeface="Arial" panose="020B0604020202020204" pitchFamily="34" charset="0"/>
              </a:rPr>
              <a:t> PROJEKTLAUFZEIT:</a:t>
            </a:r>
            <a:endParaRPr lang="de-AT" sz="1400">
              <a:solidFill>
                <a:srgbClr val="831933"/>
              </a:solidFill>
              <a:effectLst/>
              <a:latin typeface="Arial" panose="020B0604020202020204" pitchFamily="34" charset="0"/>
              <a:cs typeface="Arial" panose="020B0604020202020204" pitchFamily="34" charset="0"/>
            </a:endParaRPr>
          </a:p>
        </xdr:txBody>
      </xdr:sp>
      <xdr:sp macro="" textlink="Arbeitsbereich!H114">
        <xdr:nvSpPr>
          <xdr:cNvPr id="174" name="Textfeld 173">
            <a:extLst>
              <a:ext uri="{FF2B5EF4-FFF2-40B4-BE49-F238E27FC236}">
                <a16:creationId xmlns:a16="http://schemas.microsoft.com/office/drawing/2014/main" id="{E0CC3461-0812-7E95-CA8A-95171E6469E9}"/>
              </a:ext>
            </a:extLst>
          </xdr:cNvPr>
          <xdr:cNvSpPr txBox="1"/>
        </xdr:nvSpPr>
        <xdr:spPr>
          <a:xfrm>
            <a:off x="2153076" y="1368771"/>
            <a:ext cx="40005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6D582C-1EEB-470B-8C92-05BB2C13C177}" type="TxLink">
              <a:rPr lang="en-US" sz="1400" b="0" i="0" u="none" strike="noStrike">
                <a:solidFill>
                  <a:srgbClr val="000000"/>
                </a:solidFill>
                <a:latin typeface="Arial" panose="020B0604020202020204" pitchFamily="34" charset="0"/>
                <a:cs typeface="Arial" panose="020B0604020202020204" pitchFamily="34" charset="0"/>
              </a:rPr>
              <a:pPr algn="ctr"/>
              <a:t>28</a:t>
            </a:fld>
            <a:endParaRPr lang="de-AT" sz="1400">
              <a:solidFill>
                <a:srgbClr val="831933"/>
              </a:solidFill>
              <a:latin typeface="Arial" panose="020B0604020202020204" pitchFamily="34" charset="0"/>
              <a:cs typeface="Arial" panose="020B0604020202020204" pitchFamily="34" charset="0"/>
            </a:endParaRPr>
          </a:p>
        </xdr:txBody>
      </xdr:sp>
      <xdr:sp macro="" textlink="">
        <xdr:nvSpPr>
          <xdr:cNvPr id="175" name="Textfeld 174">
            <a:extLst>
              <a:ext uri="{FF2B5EF4-FFF2-40B4-BE49-F238E27FC236}">
                <a16:creationId xmlns:a16="http://schemas.microsoft.com/office/drawing/2014/main" id="{6CDAC264-3C64-FE7F-C9AF-EDB92CE5791A}"/>
              </a:ext>
            </a:extLst>
          </xdr:cNvPr>
          <xdr:cNvSpPr txBox="1"/>
        </xdr:nvSpPr>
        <xdr:spPr>
          <a:xfrm>
            <a:off x="2452212" y="1380966"/>
            <a:ext cx="7810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latin typeface="Arial" panose="020B0604020202020204" pitchFamily="34" charset="0"/>
                <a:cs typeface="Arial" panose="020B0604020202020204" pitchFamily="34" charset="0"/>
              </a:rPr>
              <a:t>Monate</a:t>
            </a:r>
          </a:p>
        </xdr:txBody>
      </xdr:sp>
    </xdr:grpSp>
    <xdr:clientData/>
  </xdr:twoCellAnchor>
  <xdr:twoCellAnchor>
    <xdr:from>
      <xdr:col>12</xdr:col>
      <xdr:colOff>366080</xdr:colOff>
      <xdr:row>26</xdr:row>
      <xdr:rowOff>162977</xdr:rowOff>
    </xdr:from>
    <xdr:to>
      <xdr:col>16</xdr:col>
      <xdr:colOff>71864</xdr:colOff>
      <xdr:row>28</xdr:row>
      <xdr:rowOff>98418</xdr:rowOff>
    </xdr:to>
    <xdr:sp macro="" textlink="">
      <xdr:nvSpPr>
        <xdr:cNvPr id="176" name="Textfeld 175">
          <a:extLst>
            <a:ext uri="{FF2B5EF4-FFF2-40B4-BE49-F238E27FC236}">
              <a16:creationId xmlns:a16="http://schemas.microsoft.com/office/drawing/2014/main" id="{F24FE942-9564-400F-9BF2-9CB9C25FC2CA}"/>
            </a:ext>
          </a:extLst>
        </xdr:cNvPr>
        <xdr:cNvSpPr txBox="1"/>
      </xdr:nvSpPr>
      <xdr:spPr>
        <a:xfrm>
          <a:off x="10303830" y="5094810"/>
          <a:ext cx="2584451"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12</xdr:col>
      <xdr:colOff>358775</xdr:colOff>
      <xdr:row>32</xdr:row>
      <xdr:rowOff>26447</xdr:rowOff>
    </xdr:from>
    <xdr:to>
      <xdr:col>17</xdr:col>
      <xdr:colOff>328084</xdr:colOff>
      <xdr:row>39</xdr:row>
      <xdr:rowOff>49730</xdr:rowOff>
    </xdr:to>
    <xdr:graphicFrame macro="">
      <xdr:nvGraphicFramePr>
        <xdr:cNvPr id="177" name="Diagramm 176">
          <a:extLst>
            <a:ext uri="{FF2B5EF4-FFF2-40B4-BE49-F238E27FC236}">
              <a16:creationId xmlns:a16="http://schemas.microsoft.com/office/drawing/2014/main" id="{88812F75-CE31-40AD-AAE0-C3507AF3A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367138</xdr:colOff>
      <xdr:row>11</xdr:row>
      <xdr:rowOff>41275</xdr:rowOff>
    </xdr:from>
    <xdr:to>
      <xdr:col>16</xdr:col>
      <xdr:colOff>259188</xdr:colOff>
      <xdr:row>12</xdr:row>
      <xdr:rowOff>174625</xdr:rowOff>
    </xdr:to>
    <xdr:sp macro="" textlink="">
      <xdr:nvSpPr>
        <xdr:cNvPr id="180" name="Textfeld 179">
          <a:extLst>
            <a:ext uri="{FF2B5EF4-FFF2-40B4-BE49-F238E27FC236}">
              <a16:creationId xmlns:a16="http://schemas.microsoft.com/office/drawing/2014/main" id="{E82DAA1A-B964-4B49-8221-DE9FD112257B}"/>
            </a:ext>
          </a:extLst>
        </xdr:cNvPr>
        <xdr:cNvSpPr txBox="1"/>
      </xdr:nvSpPr>
      <xdr:spPr>
        <a:xfrm>
          <a:off x="10304888" y="2274358"/>
          <a:ext cx="2770717" cy="3132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BUDGETEINBEHALT: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17</xdr:col>
      <xdr:colOff>583437</xdr:colOff>
      <xdr:row>24</xdr:row>
      <xdr:rowOff>17298</xdr:rowOff>
    </xdr:from>
    <xdr:to>
      <xdr:col>22</xdr:col>
      <xdr:colOff>175424</xdr:colOff>
      <xdr:row>25</xdr:row>
      <xdr:rowOff>150647</xdr:rowOff>
    </xdr:to>
    <xdr:sp macro="" textlink="">
      <xdr:nvSpPr>
        <xdr:cNvPr id="182" name="Textfeld 181">
          <a:extLst>
            <a:ext uri="{FF2B5EF4-FFF2-40B4-BE49-F238E27FC236}">
              <a16:creationId xmlns:a16="http://schemas.microsoft.com/office/drawing/2014/main" id="{CE67FCCF-5CD7-4903-A7F2-A69AB633FDB1}"/>
            </a:ext>
          </a:extLst>
        </xdr:cNvPr>
        <xdr:cNvSpPr txBox="1"/>
      </xdr:nvSpPr>
      <xdr:spPr>
        <a:xfrm>
          <a:off x="14119520" y="4589298"/>
          <a:ext cx="3190321" cy="3132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PROJEKTFORTSCHRITT: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17</xdr:col>
      <xdr:colOff>571086</xdr:colOff>
      <xdr:row>4</xdr:row>
      <xdr:rowOff>19050</xdr:rowOff>
    </xdr:from>
    <xdr:to>
      <xdr:col>21</xdr:col>
      <xdr:colOff>294308</xdr:colOff>
      <xdr:row>5</xdr:row>
      <xdr:rowOff>134409</xdr:rowOff>
    </xdr:to>
    <xdr:sp macro="" textlink="">
      <xdr:nvSpPr>
        <xdr:cNvPr id="183" name="Textfeld 182">
          <a:extLst>
            <a:ext uri="{FF2B5EF4-FFF2-40B4-BE49-F238E27FC236}">
              <a16:creationId xmlns:a16="http://schemas.microsoft.com/office/drawing/2014/main" id="{5418C9FA-4EEB-4D4C-9392-8C73280A4203}"/>
            </a:ext>
          </a:extLst>
        </xdr:cNvPr>
        <xdr:cNvSpPr txBox="1"/>
      </xdr:nvSpPr>
      <xdr:spPr>
        <a:xfrm>
          <a:off x="11782479" y="1007984"/>
          <a:ext cx="2637977" cy="3027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ANZAHL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PROJEKTE</a:t>
          </a:r>
          <a:r>
            <a:rPr lang="de-AT" sz="1400" baseline="0">
              <a:solidFill>
                <a:srgbClr val="831933"/>
              </a:solidFill>
              <a:latin typeface="Arial" panose="020B0604020202020204" pitchFamily="34" charset="0"/>
              <a:cs typeface="Arial" panose="020B0604020202020204" pitchFamily="34" charset="0"/>
            </a:rPr>
            <a: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21</xdr:col>
      <xdr:colOff>294308</xdr:colOff>
      <xdr:row>4</xdr:row>
      <xdr:rowOff>15875</xdr:rowOff>
    </xdr:from>
    <xdr:to>
      <xdr:col>22</xdr:col>
      <xdr:colOff>105923</xdr:colOff>
      <xdr:row>5</xdr:row>
      <xdr:rowOff>111126</xdr:rowOff>
    </xdr:to>
    <xdr:sp macro="" textlink="Arbeitsbereich!N4">
      <xdr:nvSpPr>
        <xdr:cNvPr id="184" name="Textfeld 183">
          <a:extLst>
            <a:ext uri="{FF2B5EF4-FFF2-40B4-BE49-F238E27FC236}">
              <a16:creationId xmlns:a16="http://schemas.microsoft.com/office/drawing/2014/main" id="{CFDADB65-97B4-4EDD-B610-1FE34B08EE17}"/>
            </a:ext>
          </a:extLst>
        </xdr:cNvPr>
        <xdr:cNvSpPr txBox="1"/>
      </xdr:nvSpPr>
      <xdr:spPr>
        <a:xfrm>
          <a:off x="14420456" y="1004809"/>
          <a:ext cx="540303" cy="2826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405158-A114-4713-B06A-EF91D5F63CD6}" type="TxLink">
            <a:rPr lang="en-US" sz="1400" b="0" i="0" u="none" strike="noStrike">
              <a:solidFill>
                <a:srgbClr val="000000"/>
              </a:solidFill>
              <a:latin typeface="Arial" panose="020B0604020202020204" pitchFamily="34" charset="0"/>
              <a:cs typeface="Arial" panose="020B0604020202020204" pitchFamily="34" charset="0"/>
            </a:rPr>
            <a:pPr algn="ctr"/>
            <a:t>0</a:t>
          </a:fld>
          <a:endParaRPr lang="de-AT" sz="3200">
            <a:solidFill>
              <a:srgbClr val="831933"/>
            </a:solidFill>
            <a:latin typeface="Arial" panose="020B0604020202020204" pitchFamily="34" charset="0"/>
            <a:cs typeface="Arial" panose="020B0604020202020204" pitchFamily="34" charset="0"/>
          </a:endParaRPr>
        </a:p>
      </xdr:txBody>
    </xdr:sp>
    <xdr:clientData/>
  </xdr:twoCellAnchor>
  <xdr:twoCellAnchor>
    <xdr:from>
      <xdr:col>19</xdr:col>
      <xdr:colOff>347065</xdr:colOff>
      <xdr:row>20</xdr:row>
      <xdr:rowOff>110432</xdr:rowOff>
    </xdr:from>
    <xdr:to>
      <xdr:col>24</xdr:col>
      <xdr:colOff>393485</xdr:colOff>
      <xdr:row>27</xdr:row>
      <xdr:rowOff>150424</xdr:rowOff>
    </xdr:to>
    <xdr:graphicFrame macro="">
      <xdr:nvGraphicFramePr>
        <xdr:cNvPr id="185" name="Diagramm 184">
          <a:extLst>
            <a:ext uri="{FF2B5EF4-FFF2-40B4-BE49-F238E27FC236}">
              <a16:creationId xmlns:a16="http://schemas.microsoft.com/office/drawing/2014/main" id="{FFE7A0B5-1131-4FDB-B712-ACF57C12F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669152</xdr:colOff>
      <xdr:row>20</xdr:row>
      <xdr:rowOff>171907</xdr:rowOff>
    </xdr:from>
    <xdr:to>
      <xdr:col>23</xdr:col>
      <xdr:colOff>73365</xdr:colOff>
      <xdr:row>22</xdr:row>
      <xdr:rowOff>145283</xdr:rowOff>
    </xdr:to>
    <xdr:grpSp>
      <xdr:nvGrpSpPr>
        <xdr:cNvPr id="186" name="Gruppieren 185">
          <a:extLst>
            <a:ext uri="{FF2B5EF4-FFF2-40B4-BE49-F238E27FC236}">
              <a16:creationId xmlns:a16="http://schemas.microsoft.com/office/drawing/2014/main" id="{D0183A63-E6B9-4BA8-BC30-46F344BB5C65}"/>
            </a:ext>
          </a:extLst>
        </xdr:cNvPr>
        <xdr:cNvGrpSpPr/>
      </xdr:nvGrpSpPr>
      <xdr:grpSpPr>
        <a:xfrm>
          <a:off x="14972527" y="3918407"/>
          <a:ext cx="3976213" cy="322626"/>
          <a:chOff x="190500" y="1368771"/>
          <a:chExt cx="3098800" cy="316995"/>
        </a:xfrm>
      </xdr:grpSpPr>
      <xdr:sp macro="" textlink="">
        <xdr:nvSpPr>
          <xdr:cNvPr id="187" name="Textfeld 186">
            <a:extLst>
              <a:ext uri="{FF2B5EF4-FFF2-40B4-BE49-F238E27FC236}">
                <a16:creationId xmlns:a16="http://schemas.microsoft.com/office/drawing/2014/main" id="{89D0C227-4F9E-5E30-23A8-9E190412B029}"/>
              </a:ext>
            </a:extLst>
          </xdr:cNvPr>
          <xdr:cNvSpPr txBox="1"/>
        </xdr:nvSpPr>
        <xdr:spPr>
          <a:xfrm>
            <a:off x="190500" y="1377950"/>
            <a:ext cx="30988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solidFill>
                  <a:srgbClr val="831933"/>
                </a:solidFill>
                <a:effectLst/>
                <a:latin typeface="Arial" panose="020B0604020202020204" pitchFamily="34" charset="0"/>
                <a:ea typeface="+mn-ea"/>
                <a:cs typeface="Arial" panose="020B0604020202020204" pitchFamily="34" charset="0"/>
              </a:rPr>
              <a:t>Ø</a:t>
            </a:r>
            <a:r>
              <a:rPr lang="de-AT" sz="1400" b="0" i="0" baseline="0">
                <a:solidFill>
                  <a:srgbClr val="831933"/>
                </a:solidFill>
                <a:effectLst/>
                <a:latin typeface="Arial" panose="020B0604020202020204" pitchFamily="34" charset="0"/>
                <a:ea typeface="+mn-ea"/>
                <a:cs typeface="Arial" panose="020B0604020202020204" pitchFamily="34" charset="0"/>
              </a:rPr>
              <a:t> PROJEKTLAUFZEIT:</a:t>
            </a:r>
            <a:endParaRPr lang="de-AT" sz="1400">
              <a:solidFill>
                <a:srgbClr val="831933"/>
              </a:solidFill>
              <a:effectLst/>
              <a:latin typeface="Arial" panose="020B0604020202020204" pitchFamily="34" charset="0"/>
              <a:cs typeface="Arial" panose="020B0604020202020204" pitchFamily="34" charset="0"/>
            </a:endParaRPr>
          </a:p>
        </xdr:txBody>
      </xdr:sp>
      <xdr:sp macro="" textlink="Arbeitsbereich!I114">
        <xdr:nvSpPr>
          <xdr:cNvPr id="188" name="Textfeld 187">
            <a:extLst>
              <a:ext uri="{FF2B5EF4-FFF2-40B4-BE49-F238E27FC236}">
                <a16:creationId xmlns:a16="http://schemas.microsoft.com/office/drawing/2014/main" id="{C8EF6C3B-BE74-97DC-5963-BDDE83DAC067}"/>
              </a:ext>
            </a:extLst>
          </xdr:cNvPr>
          <xdr:cNvSpPr txBox="1"/>
        </xdr:nvSpPr>
        <xdr:spPr>
          <a:xfrm>
            <a:off x="2153076" y="1368771"/>
            <a:ext cx="40005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99AFEE-1183-400E-BB81-545E1468BACB}" type="TxLink">
              <a:rPr lang="en-US" sz="1400" b="0" i="0" u="none" strike="noStrike">
                <a:solidFill>
                  <a:srgbClr val="000000"/>
                </a:solidFill>
                <a:latin typeface="Arial" panose="020B0604020202020204" pitchFamily="34" charset="0"/>
                <a:cs typeface="Arial" panose="020B0604020202020204" pitchFamily="34" charset="0"/>
              </a:rPr>
              <a:pPr algn="ctr"/>
              <a:t>#DIV/0!</a:t>
            </a:fld>
            <a:endParaRPr lang="de-AT" sz="1400">
              <a:solidFill>
                <a:srgbClr val="831933"/>
              </a:solidFill>
              <a:latin typeface="Arial" panose="020B0604020202020204" pitchFamily="34" charset="0"/>
              <a:cs typeface="Arial" panose="020B0604020202020204" pitchFamily="34" charset="0"/>
            </a:endParaRPr>
          </a:p>
        </xdr:txBody>
      </xdr:sp>
      <xdr:sp macro="" textlink="">
        <xdr:nvSpPr>
          <xdr:cNvPr id="189" name="Textfeld 188">
            <a:extLst>
              <a:ext uri="{FF2B5EF4-FFF2-40B4-BE49-F238E27FC236}">
                <a16:creationId xmlns:a16="http://schemas.microsoft.com/office/drawing/2014/main" id="{98AD0625-6653-8DAC-D845-4A5ACFF02974}"/>
              </a:ext>
            </a:extLst>
          </xdr:cNvPr>
          <xdr:cNvSpPr txBox="1"/>
        </xdr:nvSpPr>
        <xdr:spPr>
          <a:xfrm>
            <a:off x="2452212" y="1380966"/>
            <a:ext cx="7810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a:latin typeface="Arial" panose="020B0604020202020204" pitchFamily="34" charset="0"/>
                <a:cs typeface="Arial" panose="020B0604020202020204" pitchFamily="34" charset="0"/>
              </a:rPr>
              <a:t>Monate</a:t>
            </a:r>
          </a:p>
        </xdr:txBody>
      </xdr:sp>
    </xdr:grpSp>
    <xdr:clientData/>
  </xdr:twoCellAnchor>
  <xdr:twoCellAnchor>
    <xdr:from>
      <xdr:col>17</xdr:col>
      <xdr:colOff>586768</xdr:colOff>
      <xdr:row>26</xdr:row>
      <xdr:rowOff>167214</xdr:rowOff>
    </xdr:from>
    <xdr:to>
      <xdr:col>21</xdr:col>
      <xdr:colOff>306815</xdr:colOff>
      <xdr:row>28</xdr:row>
      <xdr:rowOff>109005</xdr:rowOff>
    </xdr:to>
    <xdr:sp macro="" textlink="">
      <xdr:nvSpPr>
        <xdr:cNvPr id="190" name="Textfeld 189">
          <a:extLst>
            <a:ext uri="{FF2B5EF4-FFF2-40B4-BE49-F238E27FC236}">
              <a16:creationId xmlns:a16="http://schemas.microsoft.com/office/drawing/2014/main" id="{CC41CFF0-318B-42BB-9284-D7E6AAA48A6C}"/>
            </a:ext>
          </a:extLst>
        </xdr:cNvPr>
        <xdr:cNvSpPr txBox="1"/>
      </xdr:nvSpPr>
      <xdr:spPr>
        <a:xfrm>
          <a:off x="14122851" y="5099047"/>
          <a:ext cx="2598714" cy="301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17</xdr:col>
      <xdr:colOff>567267</xdr:colOff>
      <xdr:row>32</xdr:row>
      <xdr:rowOff>12698</xdr:rowOff>
    </xdr:from>
    <xdr:to>
      <xdr:col>22</xdr:col>
      <xdr:colOff>588433</xdr:colOff>
      <xdr:row>39</xdr:row>
      <xdr:rowOff>48681</xdr:rowOff>
    </xdr:to>
    <xdr:graphicFrame macro="">
      <xdr:nvGraphicFramePr>
        <xdr:cNvPr id="191" name="Diagramm 190">
          <a:extLst>
            <a:ext uri="{FF2B5EF4-FFF2-40B4-BE49-F238E27FC236}">
              <a16:creationId xmlns:a16="http://schemas.microsoft.com/office/drawing/2014/main" id="{56F74C37-E234-4B08-8C61-DB6E4D954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580420</xdr:colOff>
      <xdr:row>11</xdr:row>
      <xdr:rowOff>39157</xdr:rowOff>
    </xdr:from>
    <xdr:to>
      <xdr:col>21</xdr:col>
      <xdr:colOff>505783</xdr:colOff>
      <xdr:row>12</xdr:row>
      <xdr:rowOff>169332</xdr:rowOff>
    </xdr:to>
    <xdr:sp macro="" textlink="">
      <xdr:nvSpPr>
        <xdr:cNvPr id="194" name="Textfeld 193">
          <a:extLst>
            <a:ext uri="{FF2B5EF4-FFF2-40B4-BE49-F238E27FC236}">
              <a16:creationId xmlns:a16="http://schemas.microsoft.com/office/drawing/2014/main" id="{5300700C-C211-40CA-A049-CF7E67E30850}"/>
            </a:ext>
          </a:extLst>
        </xdr:cNvPr>
        <xdr:cNvSpPr txBox="1"/>
      </xdr:nvSpPr>
      <xdr:spPr>
        <a:xfrm>
          <a:off x="14116503" y="2272240"/>
          <a:ext cx="2804030" cy="3100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BUDGETEINBEHALT:</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3</xdr:col>
      <xdr:colOff>171348</xdr:colOff>
      <xdr:row>7</xdr:row>
      <xdr:rowOff>184150</xdr:rowOff>
    </xdr:from>
    <xdr:to>
      <xdr:col>8</xdr:col>
      <xdr:colOff>249049</xdr:colOff>
      <xdr:row>15</xdr:row>
      <xdr:rowOff>52692</xdr:rowOff>
    </xdr:to>
    <xdr:graphicFrame macro="">
      <xdr:nvGraphicFramePr>
        <xdr:cNvPr id="201" name="Diagramm 200">
          <a:extLst>
            <a:ext uri="{FF2B5EF4-FFF2-40B4-BE49-F238E27FC236}">
              <a16:creationId xmlns:a16="http://schemas.microsoft.com/office/drawing/2014/main" id="{93CA3461-C548-43D5-9715-17C13612A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378785</xdr:colOff>
      <xdr:row>7</xdr:row>
      <xdr:rowOff>172514</xdr:rowOff>
    </xdr:from>
    <xdr:to>
      <xdr:col>13</xdr:col>
      <xdr:colOff>454925</xdr:colOff>
      <xdr:row>15</xdr:row>
      <xdr:rowOff>38939</xdr:rowOff>
    </xdr:to>
    <xdr:graphicFrame macro="">
      <xdr:nvGraphicFramePr>
        <xdr:cNvPr id="202" name="Diagramm 201">
          <a:extLst>
            <a:ext uri="{FF2B5EF4-FFF2-40B4-BE49-F238E27FC236}">
              <a16:creationId xmlns:a16="http://schemas.microsoft.com/office/drawing/2014/main" id="{4767AAB8-6070-4DAB-8D18-72A9C946B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203654</xdr:colOff>
      <xdr:row>8</xdr:row>
      <xdr:rowOff>12700</xdr:rowOff>
    </xdr:from>
    <xdr:to>
      <xdr:col>19</xdr:col>
      <xdr:colOff>265982</xdr:colOff>
      <xdr:row>15</xdr:row>
      <xdr:rowOff>65391</xdr:rowOff>
    </xdr:to>
    <xdr:graphicFrame macro="">
      <xdr:nvGraphicFramePr>
        <xdr:cNvPr id="203" name="Diagramm 202">
          <a:extLst>
            <a:ext uri="{FF2B5EF4-FFF2-40B4-BE49-F238E27FC236}">
              <a16:creationId xmlns:a16="http://schemas.microsoft.com/office/drawing/2014/main" id="{B99AC8BE-4034-4AD6-AA09-86DC5FD29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626588</xdr:colOff>
      <xdr:row>7</xdr:row>
      <xdr:rowOff>178875</xdr:rowOff>
    </xdr:from>
    <xdr:to>
      <xdr:col>23</xdr:col>
      <xdr:colOff>698408</xdr:colOff>
      <xdr:row>15</xdr:row>
      <xdr:rowOff>45300</xdr:rowOff>
    </xdr:to>
    <xdr:graphicFrame macro="">
      <xdr:nvGraphicFramePr>
        <xdr:cNvPr id="204" name="Diagramm 203">
          <a:extLst>
            <a:ext uri="{FF2B5EF4-FFF2-40B4-BE49-F238E27FC236}">
              <a16:creationId xmlns:a16="http://schemas.microsoft.com/office/drawing/2014/main" id="{C1C51301-A63B-4BD7-9D29-CE5A76C27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123737</xdr:colOff>
      <xdr:row>39</xdr:row>
      <xdr:rowOff>54308</xdr:rowOff>
    </xdr:from>
    <xdr:to>
      <xdr:col>26</xdr:col>
      <xdr:colOff>180974</xdr:colOff>
      <xdr:row>40</xdr:row>
      <xdr:rowOff>129117</xdr:rowOff>
    </xdr:to>
    <xdr:sp macro="" textlink="">
      <xdr:nvSpPr>
        <xdr:cNvPr id="205" name="Textfeld 204">
          <a:extLst>
            <a:ext uri="{FF2B5EF4-FFF2-40B4-BE49-F238E27FC236}">
              <a16:creationId xmlns:a16="http://schemas.microsoft.com/office/drawing/2014/main" id="{F45DD681-1DC6-4010-8490-8702A1DF70D3}"/>
            </a:ext>
          </a:extLst>
        </xdr:cNvPr>
        <xdr:cNvSpPr txBox="1"/>
      </xdr:nvSpPr>
      <xdr:spPr>
        <a:xfrm>
          <a:off x="17977820" y="7325058"/>
          <a:ext cx="2216237" cy="2547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900" b="0" i="0" u="none" strike="noStrike" kern="1200" spc="0" baseline="0">
              <a:solidFill>
                <a:srgbClr val="831933"/>
              </a:solidFill>
              <a:latin typeface="Arial" panose="020B0604020202020204" pitchFamily="34" charset="0"/>
              <a:ea typeface="+mn-ea"/>
              <a:cs typeface="Arial" panose="020B0604020202020204" pitchFamily="34" charset="0"/>
            </a:rPr>
            <a:t>*SAP Auszug vom 15.02.2026</a:t>
          </a:r>
          <a:endParaRPr lang="de-AT" sz="900" b="0">
            <a:solidFill>
              <a:srgbClr val="831933"/>
            </a:solidFill>
            <a:latin typeface="Arial" panose="020B0604020202020204" pitchFamily="34" charset="0"/>
            <a:cs typeface="Arial" panose="020B0604020202020204" pitchFamily="34" charset="0"/>
          </a:endParaRPr>
        </a:p>
      </xdr:txBody>
    </xdr:sp>
    <xdr:clientData/>
  </xdr:twoCellAnchor>
  <xdr:twoCellAnchor>
    <xdr:from>
      <xdr:col>1</xdr:col>
      <xdr:colOff>210054</xdr:colOff>
      <xdr:row>39</xdr:row>
      <xdr:rowOff>59268</xdr:rowOff>
    </xdr:from>
    <xdr:to>
      <xdr:col>5</xdr:col>
      <xdr:colOff>155470</xdr:colOff>
      <xdr:row>40</xdr:row>
      <xdr:rowOff>110068</xdr:rowOff>
    </xdr:to>
    <xdr:sp macro="" textlink="">
      <xdr:nvSpPr>
        <xdr:cNvPr id="206" name="Textfeld 205">
          <a:extLst>
            <a:ext uri="{FF2B5EF4-FFF2-40B4-BE49-F238E27FC236}">
              <a16:creationId xmlns:a16="http://schemas.microsoft.com/office/drawing/2014/main" id="{A5427AC0-9EE8-4B93-8B13-35908C2D17E4}"/>
            </a:ext>
          </a:extLst>
        </xdr:cNvPr>
        <xdr:cNvSpPr txBox="1"/>
      </xdr:nvSpPr>
      <xdr:spPr>
        <a:xfrm>
          <a:off x="210054" y="7730068"/>
          <a:ext cx="2396516"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900" b="0" i="0" u="none" strike="noStrike" kern="1200" spc="0" baseline="0">
              <a:solidFill>
                <a:srgbClr val="831933"/>
              </a:solidFill>
              <a:latin typeface="Arial" panose="020B0604020202020204" pitchFamily="34" charset="0"/>
              <a:ea typeface="+mn-ea"/>
              <a:cs typeface="Arial" panose="020B0604020202020204" pitchFamily="34" charset="0"/>
            </a:rPr>
            <a:t>*SAP Auszug vom 15.02.2026</a:t>
          </a:r>
          <a:endParaRPr lang="de-AT" sz="900" b="0">
            <a:solidFill>
              <a:srgbClr val="831933"/>
            </a:solidFill>
            <a:latin typeface="Arial" panose="020B0604020202020204" pitchFamily="34" charset="0"/>
            <a:cs typeface="Arial" panose="020B0604020202020204" pitchFamily="34" charset="0"/>
          </a:endParaRPr>
        </a:p>
      </xdr:txBody>
    </xdr:sp>
    <xdr:clientData/>
  </xdr:twoCellAnchor>
  <xdr:twoCellAnchor>
    <xdr:from>
      <xdr:col>7</xdr:col>
      <xdr:colOff>157585</xdr:colOff>
      <xdr:row>39</xdr:row>
      <xdr:rowOff>60326</xdr:rowOff>
    </xdr:from>
    <xdr:to>
      <xdr:col>10</xdr:col>
      <xdr:colOff>380892</xdr:colOff>
      <xdr:row>40</xdr:row>
      <xdr:rowOff>114301</xdr:rowOff>
    </xdr:to>
    <xdr:sp macro="" textlink="">
      <xdr:nvSpPr>
        <xdr:cNvPr id="207" name="Textfeld 206">
          <a:extLst>
            <a:ext uri="{FF2B5EF4-FFF2-40B4-BE49-F238E27FC236}">
              <a16:creationId xmlns:a16="http://schemas.microsoft.com/office/drawing/2014/main" id="{A0BB54F3-4E12-4B02-8CDF-B3AE660DC6DA}"/>
            </a:ext>
          </a:extLst>
        </xdr:cNvPr>
        <xdr:cNvSpPr txBox="1"/>
      </xdr:nvSpPr>
      <xdr:spPr>
        <a:xfrm>
          <a:off x="6497002" y="7331076"/>
          <a:ext cx="2382307" cy="233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900" b="0" i="0" u="none" strike="noStrike" kern="1200" spc="0" baseline="0">
              <a:solidFill>
                <a:srgbClr val="831933"/>
              </a:solidFill>
              <a:latin typeface="Arial" panose="020B0604020202020204" pitchFamily="34" charset="0"/>
              <a:ea typeface="+mn-ea"/>
              <a:cs typeface="Arial" panose="020B0604020202020204" pitchFamily="34" charset="0"/>
            </a:rPr>
            <a:t>*SAP Auszug vom 15.02.2026</a:t>
          </a:r>
          <a:endParaRPr lang="de-AT" sz="900" b="0">
            <a:solidFill>
              <a:srgbClr val="831933"/>
            </a:solidFill>
            <a:latin typeface="Arial" panose="020B0604020202020204" pitchFamily="34" charset="0"/>
            <a:cs typeface="Arial" panose="020B0604020202020204" pitchFamily="34" charset="0"/>
          </a:endParaRPr>
        </a:p>
      </xdr:txBody>
    </xdr:sp>
    <xdr:clientData/>
  </xdr:twoCellAnchor>
  <xdr:twoCellAnchor>
    <xdr:from>
      <xdr:col>12</xdr:col>
      <xdr:colOff>377718</xdr:colOff>
      <xdr:row>39</xdr:row>
      <xdr:rowOff>56091</xdr:rowOff>
    </xdr:from>
    <xdr:to>
      <xdr:col>15</xdr:col>
      <xdr:colOff>567713</xdr:colOff>
      <xdr:row>40</xdr:row>
      <xdr:rowOff>94191</xdr:rowOff>
    </xdr:to>
    <xdr:sp macro="" textlink="">
      <xdr:nvSpPr>
        <xdr:cNvPr id="208" name="Textfeld 207">
          <a:extLst>
            <a:ext uri="{FF2B5EF4-FFF2-40B4-BE49-F238E27FC236}">
              <a16:creationId xmlns:a16="http://schemas.microsoft.com/office/drawing/2014/main" id="{8305C837-A473-4B49-9CEB-BA1E128CD287}"/>
            </a:ext>
          </a:extLst>
        </xdr:cNvPr>
        <xdr:cNvSpPr txBox="1"/>
      </xdr:nvSpPr>
      <xdr:spPr>
        <a:xfrm>
          <a:off x="10315468" y="7326841"/>
          <a:ext cx="2348995" cy="218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900" b="0" i="0" u="none" strike="noStrike" kern="1200" spc="0" baseline="0">
              <a:solidFill>
                <a:srgbClr val="831933"/>
              </a:solidFill>
              <a:latin typeface="Arial" panose="020B0604020202020204" pitchFamily="34" charset="0"/>
              <a:ea typeface="+mn-ea"/>
              <a:cs typeface="Arial" panose="020B0604020202020204" pitchFamily="34" charset="0"/>
            </a:rPr>
            <a:t>*SAP Auszug vom 15.02.2026</a:t>
          </a:r>
          <a:endParaRPr lang="de-AT" sz="900" b="0">
            <a:solidFill>
              <a:srgbClr val="831933"/>
            </a:solidFill>
            <a:latin typeface="Arial" panose="020B0604020202020204" pitchFamily="34" charset="0"/>
            <a:cs typeface="Arial" panose="020B0604020202020204" pitchFamily="34" charset="0"/>
          </a:endParaRPr>
        </a:p>
      </xdr:txBody>
    </xdr:sp>
    <xdr:clientData/>
  </xdr:twoCellAnchor>
  <xdr:twoCellAnchor>
    <xdr:from>
      <xdr:col>17</xdr:col>
      <xdr:colOff>589940</xdr:colOff>
      <xdr:row>39</xdr:row>
      <xdr:rowOff>60315</xdr:rowOff>
    </xdr:from>
    <xdr:to>
      <xdr:col>21</xdr:col>
      <xdr:colOff>90910</xdr:colOff>
      <xdr:row>40</xdr:row>
      <xdr:rowOff>82540</xdr:rowOff>
    </xdr:to>
    <xdr:sp macro="" textlink="">
      <xdr:nvSpPr>
        <xdr:cNvPr id="209" name="Textfeld 208">
          <a:extLst>
            <a:ext uri="{FF2B5EF4-FFF2-40B4-BE49-F238E27FC236}">
              <a16:creationId xmlns:a16="http://schemas.microsoft.com/office/drawing/2014/main" id="{AD7FF2BB-94BC-4DF4-BA3E-D8CC54408355}"/>
            </a:ext>
          </a:extLst>
        </xdr:cNvPr>
        <xdr:cNvSpPr txBox="1"/>
      </xdr:nvSpPr>
      <xdr:spPr>
        <a:xfrm>
          <a:off x="14126023" y="7331065"/>
          <a:ext cx="2379637" cy="2021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900" b="0" i="0" u="none" strike="noStrike" kern="1200" spc="0" baseline="0">
              <a:solidFill>
                <a:srgbClr val="831933"/>
              </a:solidFill>
              <a:latin typeface="Arial" panose="020B0604020202020204" pitchFamily="34" charset="0"/>
              <a:ea typeface="+mn-ea"/>
              <a:cs typeface="Arial" panose="020B0604020202020204" pitchFamily="34" charset="0"/>
            </a:rPr>
            <a:t>*SAP Auszug vom 15.02.2026</a:t>
          </a:r>
          <a:endParaRPr lang="de-AT" sz="900" b="0">
            <a:solidFill>
              <a:srgbClr val="831933"/>
            </a:solidFill>
            <a:latin typeface="Arial" panose="020B0604020202020204" pitchFamily="34" charset="0"/>
            <a:cs typeface="Arial" panose="020B0604020202020204" pitchFamily="34" charset="0"/>
          </a:endParaRPr>
        </a:p>
      </xdr:txBody>
    </xdr:sp>
    <xdr:clientData/>
  </xdr:twoCellAnchor>
  <xdr:twoCellAnchor>
    <xdr:from>
      <xdr:col>23</xdr:col>
      <xdr:colOff>6652</xdr:colOff>
      <xdr:row>1</xdr:row>
      <xdr:rowOff>76200</xdr:rowOff>
    </xdr:from>
    <xdr:to>
      <xdr:col>27</xdr:col>
      <xdr:colOff>953305</xdr:colOff>
      <xdr:row>41</xdr:row>
      <xdr:rowOff>42334</xdr:rowOff>
    </xdr:to>
    <xdr:sp macro="" textlink="">
      <xdr:nvSpPr>
        <xdr:cNvPr id="2" name="Rechteck 1">
          <a:extLst>
            <a:ext uri="{FF2B5EF4-FFF2-40B4-BE49-F238E27FC236}">
              <a16:creationId xmlns:a16="http://schemas.microsoft.com/office/drawing/2014/main" id="{C53827BB-96BA-48A9-8563-5EA7549476A7}"/>
            </a:ext>
          </a:extLst>
        </xdr:cNvPr>
        <xdr:cNvSpPr/>
      </xdr:nvSpPr>
      <xdr:spPr>
        <a:xfrm>
          <a:off x="17860735" y="510117"/>
          <a:ext cx="3825320" cy="7162800"/>
        </a:xfrm>
        <a:prstGeom prst="rect">
          <a:avLst/>
        </a:prstGeom>
        <a:noFill/>
        <a:ln w="381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3</xdr:col>
      <xdr:colOff>497714</xdr:colOff>
      <xdr:row>6</xdr:row>
      <xdr:rowOff>81799</xdr:rowOff>
    </xdr:from>
    <xdr:to>
      <xdr:col>6</xdr:col>
      <xdr:colOff>444499</xdr:colOff>
      <xdr:row>9</xdr:row>
      <xdr:rowOff>145716</xdr:rowOff>
    </xdr:to>
    <xdr:sp macro="" textlink="">
      <xdr:nvSpPr>
        <xdr:cNvPr id="3" name="Textfeld 2">
          <a:extLst>
            <a:ext uri="{FF2B5EF4-FFF2-40B4-BE49-F238E27FC236}">
              <a16:creationId xmlns:a16="http://schemas.microsoft.com/office/drawing/2014/main" id="{736594C6-1A07-4DAB-A1FB-C81153A9EC3C}"/>
            </a:ext>
          </a:extLst>
        </xdr:cNvPr>
        <xdr:cNvSpPr txBox="1"/>
      </xdr:nvSpPr>
      <xdr:spPr>
        <a:xfrm>
          <a:off x="3958464" y="1415299"/>
          <a:ext cx="2105785" cy="6036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ANTEIL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AM GESAMTPORTFOLIO</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0</xdr:col>
      <xdr:colOff>1421342</xdr:colOff>
      <xdr:row>3</xdr:row>
      <xdr:rowOff>159479</xdr:rowOff>
    </xdr:from>
    <xdr:to>
      <xdr:col>5</xdr:col>
      <xdr:colOff>202082</xdr:colOff>
      <xdr:row>11</xdr:row>
      <xdr:rowOff>22729</xdr:rowOff>
    </xdr:to>
    <xdr:graphicFrame macro="">
      <xdr:nvGraphicFramePr>
        <xdr:cNvPr id="4" name="Diagramm 3">
          <a:extLst>
            <a:ext uri="{FF2B5EF4-FFF2-40B4-BE49-F238E27FC236}">
              <a16:creationId xmlns:a16="http://schemas.microsoft.com/office/drawing/2014/main" id="{ADA14C24-FF73-46CC-866D-56C2AFBE3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267860</xdr:colOff>
      <xdr:row>3</xdr:row>
      <xdr:rowOff>149229</xdr:rowOff>
    </xdr:from>
    <xdr:to>
      <xdr:col>10</xdr:col>
      <xdr:colOff>350350</xdr:colOff>
      <xdr:row>11</xdr:row>
      <xdr:rowOff>22003</xdr:rowOff>
    </xdr:to>
    <xdr:graphicFrame macro="">
      <xdr:nvGraphicFramePr>
        <xdr:cNvPr id="7" name="Diagramm 6">
          <a:extLst>
            <a:ext uri="{FF2B5EF4-FFF2-40B4-BE49-F238E27FC236}">
              <a16:creationId xmlns:a16="http://schemas.microsoft.com/office/drawing/2014/main" id="{985BE13F-9694-4321-A7B6-1F2243009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421516</xdr:colOff>
      <xdr:row>4</xdr:row>
      <xdr:rowOff>33832</xdr:rowOff>
    </xdr:from>
    <xdr:to>
      <xdr:col>15</xdr:col>
      <xdr:colOff>497655</xdr:colOff>
      <xdr:row>11</xdr:row>
      <xdr:rowOff>80173</xdr:rowOff>
    </xdr:to>
    <xdr:graphicFrame macro="">
      <xdr:nvGraphicFramePr>
        <xdr:cNvPr id="9" name="Diagramm 8">
          <a:extLst>
            <a:ext uri="{FF2B5EF4-FFF2-40B4-BE49-F238E27FC236}">
              <a16:creationId xmlns:a16="http://schemas.microsoft.com/office/drawing/2014/main" id="{95E77A46-137B-4692-8944-B6B127B29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676080</xdr:colOff>
      <xdr:row>4</xdr:row>
      <xdr:rowOff>23422</xdr:rowOff>
    </xdr:from>
    <xdr:to>
      <xdr:col>21</xdr:col>
      <xdr:colOff>35727</xdr:colOff>
      <xdr:row>11</xdr:row>
      <xdr:rowOff>72938</xdr:rowOff>
    </xdr:to>
    <xdr:graphicFrame macro="">
      <xdr:nvGraphicFramePr>
        <xdr:cNvPr id="11" name="Diagramm 10">
          <a:extLst>
            <a:ext uri="{FF2B5EF4-FFF2-40B4-BE49-F238E27FC236}">
              <a16:creationId xmlns:a16="http://schemas.microsoft.com/office/drawing/2014/main" id="{B00B9253-241D-44CA-9FB2-065ACABCE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21</xdr:col>
      <xdr:colOff>145515</xdr:colOff>
      <xdr:row>4</xdr:row>
      <xdr:rowOff>18789</xdr:rowOff>
    </xdr:from>
    <xdr:to>
      <xdr:col>26</xdr:col>
      <xdr:colOff>221741</xdr:colOff>
      <xdr:row>11</xdr:row>
      <xdr:rowOff>71480</xdr:rowOff>
    </xdr:to>
    <xdr:graphicFrame macro="">
      <xdr:nvGraphicFramePr>
        <xdr:cNvPr id="13" name="Diagramm 12">
          <a:extLst>
            <a:ext uri="{FF2B5EF4-FFF2-40B4-BE49-F238E27FC236}">
              <a16:creationId xmlns:a16="http://schemas.microsoft.com/office/drawing/2014/main" id="{B952329D-D2BD-4549-8514-90068ED9B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233363</xdr:colOff>
      <xdr:row>14</xdr:row>
      <xdr:rowOff>22224</xdr:rowOff>
    </xdr:from>
    <xdr:to>
      <xdr:col>4</xdr:col>
      <xdr:colOff>275694</xdr:colOff>
      <xdr:row>16</xdr:row>
      <xdr:rowOff>756</xdr:rowOff>
    </xdr:to>
    <xdr:sp macro="" textlink="">
      <xdr:nvSpPr>
        <xdr:cNvPr id="18" name="Textfeld 17">
          <a:extLst>
            <a:ext uri="{FF2B5EF4-FFF2-40B4-BE49-F238E27FC236}">
              <a16:creationId xmlns:a16="http://schemas.microsoft.com/office/drawing/2014/main" id="{D5ABA066-6F20-4EE2-80F7-EB9CA270C093}"/>
            </a:ext>
          </a:extLst>
        </xdr:cNvPr>
        <xdr:cNvSpPr txBox="1"/>
      </xdr:nvSpPr>
      <xdr:spPr>
        <a:xfrm>
          <a:off x="233363" y="2824162"/>
          <a:ext cx="1764769" cy="3436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GESAMTSTATUS:</a:t>
          </a:r>
          <a:endParaRPr lang="de-AT" sz="1400" b="0">
            <a:solidFill>
              <a:srgbClr val="831933"/>
            </a:solidFill>
            <a:latin typeface="Arial" panose="020B0604020202020204" pitchFamily="34" charset="0"/>
            <a:cs typeface="Arial" panose="020B0604020202020204" pitchFamily="34" charset="0"/>
          </a:endParaRPr>
        </a:p>
      </xdr:txBody>
    </xdr:sp>
    <xdr:clientData/>
  </xdr:twoCellAnchor>
  <xdr:twoCellAnchor>
    <xdr:from>
      <xdr:col>3</xdr:col>
      <xdr:colOff>620956</xdr:colOff>
      <xdr:row>16</xdr:row>
      <xdr:rowOff>57623</xdr:rowOff>
    </xdr:from>
    <xdr:to>
      <xdr:col>4</xdr:col>
      <xdr:colOff>173567</xdr:colOff>
      <xdr:row>20</xdr:row>
      <xdr:rowOff>23785</xdr:rowOff>
    </xdr:to>
    <xdr:grpSp>
      <xdr:nvGrpSpPr>
        <xdr:cNvPr id="19" name="Gruppieren 18">
          <a:extLst>
            <a:ext uri="{FF2B5EF4-FFF2-40B4-BE49-F238E27FC236}">
              <a16:creationId xmlns:a16="http://schemas.microsoft.com/office/drawing/2014/main" id="{0486902D-534D-4E02-AC91-DC0D1C68E016}"/>
            </a:ext>
          </a:extLst>
        </xdr:cNvPr>
        <xdr:cNvGrpSpPr/>
      </xdr:nvGrpSpPr>
      <xdr:grpSpPr>
        <a:xfrm>
          <a:off x="4256331" y="3105623"/>
          <a:ext cx="314611" cy="664662"/>
          <a:chOff x="7354071" y="2875841"/>
          <a:chExt cx="272832" cy="706388"/>
        </a:xfrm>
      </xdr:grpSpPr>
      <xdr:sp macro="" textlink="">
        <xdr:nvSpPr>
          <xdr:cNvPr id="20" name="Rechteck: abgerundete Ecken 19">
            <a:extLst>
              <a:ext uri="{FF2B5EF4-FFF2-40B4-BE49-F238E27FC236}">
                <a16:creationId xmlns:a16="http://schemas.microsoft.com/office/drawing/2014/main" id="{E3A6A447-1C7A-DC6F-915D-707FF3C6AB90}"/>
              </a:ext>
            </a:extLst>
          </xdr:cNvPr>
          <xdr:cNvSpPr/>
        </xdr:nvSpPr>
        <xdr:spPr>
          <a:xfrm>
            <a:off x="7354071" y="2875841"/>
            <a:ext cx="272832" cy="706388"/>
          </a:xfrm>
          <a:prstGeom prst="roundRect">
            <a:avLst/>
          </a:prstGeom>
          <a:solidFill>
            <a:schemeClr val="bg1">
              <a:alpha val="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21" name="Ellipse 20">
            <a:extLst>
              <a:ext uri="{FF2B5EF4-FFF2-40B4-BE49-F238E27FC236}">
                <a16:creationId xmlns:a16="http://schemas.microsoft.com/office/drawing/2014/main" id="{6BA50C73-40CB-A140-BDA3-C19B6AF9F81E}"/>
              </a:ext>
            </a:extLst>
          </xdr:cNvPr>
          <xdr:cNvSpPr/>
        </xdr:nvSpPr>
        <xdr:spPr>
          <a:xfrm>
            <a:off x="7400707" y="2916660"/>
            <a:ext cx="180000" cy="181480"/>
          </a:xfrm>
          <a:prstGeom prst="ellipse">
            <a:avLst/>
          </a:prstGeom>
          <a:solidFill>
            <a:srgbClr val="FF000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22" name="Ellipse 21">
            <a:extLst>
              <a:ext uri="{FF2B5EF4-FFF2-40B4-BE49-F238E27FC236}">
                <a16:creationId xmlns:a16="http://schemas.microsoft.com/office/drawing/2014/main" id="{4AE0DC0E-B231-B2A2-AAAE-611BB71D8DCD}"/>
              </a:ext>
            </a:extLst>
          </xdr:cNvPr>
          <xdr:cNvSpPr/>
        </xdr:nvSpPr>
        <xdr:spPr>
          <a:xfrm>
            <a:off x="7398893" y="3143112"/>
            <a:ext cx="180000" cy="181478"/>
          </a:xfrm>
          <a:prstGeom prst="ellipse">
            <a:avLst/>
          </a:prstGeom>
          <a:solidFill>
            <a:srgbClr val="FFFF0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23" name="Ellipse 22">
            <a:extLst>
              <a:ext uri="{FF2B5EF4-FFF2-40B4-BE49-F238E27FC236}">
                <a16:creationId xmlns:a16="http://schemas.microsoft.com/office/drawing/2014/main" id="{FCA2E22E-B482-47B4-2EB4-391AAD9B43DB}"/>
              </a:ext>
            </a:extLst>
          </xdr:cNvPr>
          <xdr:cNvSpPr/>
        </xdr:nvSpPr>
        <xdr:spPr>
          <a:xfrm>
            <a:off x="7404952" y="3363054"/>
            <a:ext cx="180000" cy="181479"/>
          </a:xfrm>
          <a:prstGeom prst="ellipse">
            <a:avLst/>
          </a:prstGeom>
          <a:solidFill>
            <a:srgbClr val="00B05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grpSp>
    <xdr:clientData/>
  </xdr:twoCellAnchor>
  <xdr:twoCellAnchor>
    <xdr:from>
      <xdr:col>3</xdr:col>
      <xdr:colOff>19767</xdr:colOff>
      <xdr:row>16</xdr:row>
      <xdr:rowOff>23230</xdr:rowOff>
    </xdr:from>
    <xdr:to>
      <xdr:col>3</xdr:col>
      <xdr:colOff>583013</xdr:colOff>
      <xdr:row>17</xdr:row>
      <xdr:rowOff>134616</xdr:rowOff>
    </xdr:to>
    <xdr:sp macro="" textlink="Arbeitsbereich!I102">
      <xdr:nvSpPr>
        <xdr:cNvPr id="24" name="Textfeld 23">
          <a:extLst>
            <a:ext uri="{FF2B5EF4-FFF2-40B4-BE49-F238E27FC236}">
              <a16:creationId xmlns:a16="http://schemas.microsoft.com/office/drawing/2014/main" id="{17DDC42F-661E-4B44-82A9-C0B4FE3FDC4D}"/>
            </a:ext>
          </a:extLst>
        </xdr:cNvPr>
        <xdr:cNvSpPr txBox="1"/>
      </xdr:nvSpPr>
      <xdr:spPr>
        <a:xfrm>
          <a:off x="1014600" y="3155897"/>
          <a:ext cx="563246" cy="2913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3A66E8B-76C9-446B-9164-052F0A708566}" type="TxLink">
            <a:rPr lang="en-US" sz="1100" b="0" i="0" u="none" strike="noStrike">
              <a:solidFill>
                <a:srgbClr val="000000"/>
              </a:solidFill>
              <a:latin typeface="Aptos Narrow"/>
              <a:cs typeface="Arial" panose="020B0604020202020204" pitchFamily="34" charset="0"/>
            </a:rPr>
            <a:pPr algn="r"/>
            <a:t>100%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3</xdr:col>
      <xdr:colOff>38783</xdr:colOff>
      <xdr:row>17</xdr:row>
      <xdr:rowOff>59479</xdr:rowOff>
    </xdr:from>
    <xdr:to>
      <xdr:col>3</xdr:col>
      <xdr:colOff>603616</xdr:colOff>
      <xdr:row>18</xdr:row>
      <xdr:rowOff>169284</xdr:rowOff>
    </xdr:to>
    <xdr:sp macro="" textlink="Arbeitsbereich!I101">
      <xdr:nvSpPr>
        <xdr:cNvPr id="25" name="Textfeld 24">
          <a:extLst>
            <a:ext uri="{FF2B5EF4-FFF2-40B4-BE49-F238E27FC236}">
              <a16:creationId xmlns:a16="http://schemas.microsoft.com/office/drawing/2014/main" id="{06971BFF-C020-4E7A-ABBB-E50924F95FB8}"/>
            </a:ext>
          </a:extLst>
        </xdr:cNvPr>
        <xdr:cNvSpPr txBox="1"/>
      </xdr:nvSpPr>
      <xdr:spPr>
        <a:xfrm>
          <a:off x="1033616" y="3372062"/>
          <a:ext cx="564833" cy="2897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A24026C-01CD-4607-BE59-219CB9A7683B}" type="TxLink">
            <a:rPr lang="en-US" sz="1100" b="0" i="0" u="none" strike="noStrike">
              <a:solidFill>
                <a:srgbClr val="000000"/>
              </a:solidFill>
              <a:latin typeface="Aptos Narrow"/>
              <a:cs typeface="Arial" panose="020B0604020202020204" pitchFamily="34" charset="0"/>
            </a:rPr>
            <a:pPr algn="r"/>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3</xdr:col>
      <xdr:colOff>39831</xdr:colOff>
      <xdr:row>18</xdr:row>
      <xdr:rowOff>97997</xdr:rowOff>
    </xdr:from>
    <xdr:to>
      <xdr:col>3</xdr:col>
      <xdr:colOff>604664</xdr:colOff>
      <xdr:row>20</xdr:row>
      <xdr:rowOff>17749</xdr:rowOff>
    </xdr:to>
    <xdr:sp macro="" textlink="Arbeitsbereich!I100">
      <xdr:nvSpPr>
        <xdr:cNvPr id="26" name="Textfeld 25">
          <a:extLst>
            <a:ext uri="{FF2B5EF4-FFF2-40B4-BE49-F238E27FC236}">
              <a16:creationId xmlns:a16="http://schemas.microsoft.com/office/drawing/2014/main" id="{BFF8837C-405C-43CD-A9AE-036DCA5F47BC}"/>
            </a:ext>
          </a:extLst>
        </xdr:cNvPr>
        <xdr:cNvSpPr txBox="1"/>
      </xdr:nvSpPr>
      <xdr:spPr>
        <a:xfrm>
          <a:off x="1034664" y="3590497"/>
          <a:ext cx="564833" cy="2795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FC78830-39A0-49A1-9E19-8B3B48BC95AE}" type="TxLink">
            <a:rPr lang="en-US" sz="1100" b="0" i="0" u="none" strike="noStrike">
              <a:solidFill>
                <a:srgbClr val="000000"/>
              </a:solidFill>
              <a:latin typeface="Aptos Narrow"/>
              <a:cs typeface="Arial" panose="020B0604020202020204" pitchFamily="34" charset="0"/>
            </a:rPr>
            <a:pPr algn="r"/>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4</xdr:col>
      <xdr:colOff>220698</xdr:colOff>
      <xdr:row>16</xdr:row>
      <xdr:rowOff>15519</xdr:rowOff>
    </xdr:from>
    <xdr:to>
      <xdr:col>5</xdr:col>
      <xdr:colOff>78565</xdr:colOff>
      <xdr:row>17</xdr:row>
      <xdr:rowOff>133255</xdr:rowOff>
    </xdr:to>
    <xdr:sp macro="" textlink="Arbeitsbereich!H102">
      <xdr:nvSpPr>
        <xdr:cNvPr id="27" name="Textfeld 26">
          <a:extLst>
            <a:ext uri="{FF2B5EF4-FFF2-40B4-BE49-F238E27FC236}">
              <a16:creationId xmlns:a16="http://schemas.microsoft.com/office/drawing/2014/main" id="{749A2A8F-D482-4BCE-BB09-0539EE62B6D5}"/>
            </a:ext>
          </a:extLst>
        </xdr:cNvPr>
        <xdr:cNvSpPr txBox="1"/>
      </xdr:nvSpPr>
      <xdr:spPr>
        <a:xfrm>
          <a:off x="1935198" y="3148186"/>
          <a:ext cx="577534" cy="2976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65212E3-427F-477F-B702-C907E702FC46}" type="TxLink">
            <a:rPr lang="en-US" sz="1100" b="0" i="0" u="none" strike="noStrike">
              <a:solidFill>
                <a:srgbClr val="000000"/>
              </a:solidFill>
              <a:latin typeface="Aptos Narrow"/>
              <a:cs typeface="Arial" panose="020B0604020202020204" pitchFamily="34" charset="0"/>
            </a:rPr>
            <a:pPr algn="l"/>
            <a:t>1</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4</xdr:col>
      <xdr:colOff>239714</xdr:colOff>
      <xdr:row>17</xdr:row>
      <xdr:rowOff>58118</xdr:rowOff>
    </xdr:from>
    <xdr:to>
      <xdr:col>5</xdr:col>
      <xdr:colOff>88056</xdr:colOff>
      <xdr:row>18</xdr:row>
      <xdr:rowOff>167923</xdr:rowOff>
    </xdr:to>
    <xdr:sp macro="" textlink="Arbeitsbereich!H101">
      <xdr:nvSpPr>
        <xdr:cNvPr id="28" name="Textfeld 27">
          <a:extLst>
            <a:ext uri="{FF2B5EF4-FFF2-40B4-BE49-F238E27FC236}">
              <a16:creationId xmlns:a16="http://schemas.microsoft.com/office/drawing/2014/main" id="{046116B6-8CA9-4FB2-AB6F-3AEABD6EF49E}"/>
            </a:ext>
          </a:extLst>
        </xdr:cNvPr>
        <xdr:cNvSpPr txBox="1"/>
      </xdr:nvSpPr>
      <xdr:spPr>
        <a:xfrm>
          <a:off x="1954214" y="3370701"/>
          <a:ext cx="568009" cy="2897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EA975AB-AB00-4A3C-A109-73193D02EA61}" type="TxLink">
            <a:rPr lang="en-US" sz="1100" b="0" i="0" u="none" strike="noStrike">
              <a:solidFill>
                <a:srgbClr val="000000"/>
              </a:solidFill>
              <a:latin typeface="Aptos Narrow"/>
              <a:cs typeface="Arial" panose="020B0604020202020204" pitchFamily="34" charset="0"/>
            </a:rPr>
            <a:pPr algn="l"/>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4</xdr:col>
      <xdr:colOff>240762</xdr:colOff>
      <xdr:row>18</xdr:row>
      <xdr:rowOff>96636</xdr:rowOff>
    </xdr:from>
    <xdr:to>
      <xdr:col>5</xdr:col>
      <xdr:colOff>95454</xdr:colOff>
      <xdr:row>20</xdr:row>
      <xdr:rowOff>19563</xdr:rowOff>
    </xdr:to>
    <xdr:sp macro="" textlink="Arbeitsbereich!H100">
      <xdr:nvSpPr>
        <xdr:cNvPr id="29" name="Textfeld 28">
          <a:extLst>
            <a:ext uri="{FF2B5EF4-FFF2-40B4-BE49-F238E27FC236}">
              <a16:creationId xmlns:a16="http://schemas.microsoft.com/office/drawing/2014/main" id="{B8955AB6-5F9C-425F-AB16-B10BFC7EC83F}"/>
            </a:ext>
          </a:extLst>
        </xdr:cNvPr>
        <xdr:cNvSpPr txBox="1"/>
      </xdr:nvSpPr>
      <xdr:spPr>
        <a:xfrm>
          <a:off x="1955262" y="3589136"/>
          <a:ext cx="574359" cy="282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F4A8B10-8DE7-473B-9E08-704485C5E75E}" type="TxLink">
            <a:rPr lang="en-US" sz="1100" b="0" i="0" u="none" strike="noStrike">
              <a:solidFill>
                <a:srgbClr val="000000"/>
              </a:solidFill>
              <a:latin typeface="Aptos Narrow"/>
              <a:cs typeface="Arial" panose="020B0604020202020204" pitchFamily="34" charset="0"/>
            </a:rPr>
            <a:pPr algn="l"/>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23</xdr:col>
      <xdr:colOff>111125</xdr:colOff>
      <xdr:row>14</xdr:row>
      <xdr:rowOff>2115</xdr:rowOff>
    </xdr:from>
    <xdr:to>
      <xdr:col>25</xdr:col>
      <xdr:colOff>434444</xdr:colOff>
      <xdr:row>15</xdr:row>
      <xdr:rowOff>160563</xdr:rowOff>
    </xdr:to>
    <xdr:sp macro="" textlink="">
      <xdr:nvSpPr>
        <xdr:cNvPr id="30" name="Textfeld 29">
          <a:extLst>
            <a:ext uri="{FF2B5EF4-FFF2-40B4-BE49-F238E27FC236}">
              <a16:creationId xmlns:a16="http://schemas.microsoft.com/office/drawing/2014/main" id="{AF8F6CDE-4802-40D4-B50B-FC36A3EBADB6}"/>
            </a:ext>
          </a:extLst>
        </xdr:cNvPr>
        <xdr:cNvSpPr txBox="1"/>
      </xdr:nvSpPr>
      <xdr:spPr>
        <a:xfrm>
          <a:off x="17965208" y="2774948"/>
          <a:ext cx="1762653" cy="3383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GESAMTSTATUS:</a:t>
          </a:r>
          <a:endParaRPr lang="de-AT" sz="1400" b="0">
            <a:solidFill>
              <a:srgbClr val="831933"/>
            </a:solidFill>
            <a:latin typeface="Arial" panose="020B0604020202020204" pitchFamily="34" charset="0"/>
            <a:cs typeface="Arial" panose="020B0604020202020204" pitchFamily="34" charset="0"/>
          </a:endParaRPr>
        </a:p>
      </xdr:txBody>
    </xdr:sp>
    <xdr:clientData/>
  </xdr:twoCellAnchor>
  <xdr:twoCellAnchor>
    <xdr:from>
      <xdr:col>25</xdr:col>
      <xdr:colOff>138356</xdr:colOff>
      <xdr:row>15</xdr:row>
      <xdr:rowOff>171923</xdr:rowOff>
    </xdr:from>
    <xdr:to>
      <xdr:col>25</xdr:col>
      <xdr:colOff>401109</xdr:colOff>
      <xdr:row>19</xdr:row>
      <xdr:rowOff>138085</xdr:rowOff>
    </xdr:to>
    <xdr:grpSp>
      <xdr:nvGrpSpPr>
        <xdr:cNvPr id="31" name="Gruppieren 30">
          <a:extLst>
            <a:ext uri="{FF2B5EF4-FFF2-40B4-BE49-F238E27FC236}">
              <a16:creationId xmlns:a16="http://schemas.microsoft.com/office/drawing/2014/main" id="{CCA1B339-35EC-416F-8669-8902B35476B0}"/>
            </a:ext>
          </a:extLst>
        </xdr:cNvPr>
        <xdr:cNvGrpSpPr/>
      </xdr:nvGrpSpPr>
      <xdr:grpSpPr>
        <a:xfrm>
          <a:off x="20537731" y="3045298"/>
          <a:ext cx="262753" cy="664662"/>
          <a:chOff x="7354071" y="2875841"/>
          <a:chExt cx="272832" cy="706388"/>
        </a:xfrm>
      </xdr:grpSpPr>
      <xdr:sp macro="" textlink="">
        <xdr:nvSpPr>
          <xdr:cNvPr id="32" name="Rechteck: abgerundete Ecken 31">
            <a:extLst>
              <a:ext uri="{FF2B5EF4-FFF2-40B4-BE49-F238E27FC236}">
                <a16:creationId xmlns:a16="http://schemas.microsoft.com/office/drawing/2014/main" id="{50F992F3-CE21-A51A-09B6-BF833EDB439C}"/>
              </a:ext>
            </a:extLst>
          </xdr:cNvPr>
          <xdr:cNvSpPr/>
        </xdr:nvSpPr>
        <xdr:spPr>
          <a:xfrm>
            <a:off x="7354071" y="2875841"/>
            <a:ext cx="272832" cy="706388"/>
          </a:xfrm>
          <a:prstGeom prst="roundRect">
            <a:avLst/>
          </a:prstGeom>
          <a:solidFill>
            <a:schemeClr val="bg1">
              <a:alpha val="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33" name="Ellipse 32">
            <a:extLst>
              <a:ext uri="{FF2B5EF4-FFF2-40B4-BE49-F238E27FC236}">
                <a16:creationId xmlns:a16="http://schemas.microsoft.com/office/drawing/2014/main" id="{48A58166-060A-9DCA-5D65-E776E6D5D675}"/>
              </a:ext>
            </a:extLst>
          </xdr:cNvPr>
          <xdr:cNvSpPr/>
        </xdr:nvSpPr>
        <xdr:spPr>
          <a:xfrm>
            <a:off x="7400707" y="2916660"/>
            <a:ext cx="180000" cy="181480"/>
          </a:xfrm>
          <a:prstGeom prst="ellipse">
            <a:avLst/>
          </a:prstGeom>
          <a:solidFill>
            <a:srgbClr val="FF000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34" name="Ellipse 33">
            <a:extLst>
              <a:ext uri="{FF2B5EF4-FFF2-40B4-BE49-F238E27FC236}">
                <a16:creationId xmlns:a16="http://schemas.microsoft.com/office/drawing/2014/main" id="{FDF769EC-72D4-D6E3-465F-020301F6F314}"/>
              </a:ext>
            </a:extLst>
          </xdr:cNvPr>
          <xdr:cNvSpPr/>
        </xdr:nvSpPr>
        <xdr:spPr>
          <a:xfrm>
            <a:off x="7398893" y="3143112"/>
            <a:ext cx="180000" cy="181478"/>
          </a:xfrm>
          <a:prstGeom prst="ellipse">
            <a:avLst/>
          </a:prstGeom>
          <a:solidFill>
            <a:srgbClr val="FFFF0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35" name="Ellipse 34">
            <a:extLst>
              <a:ext uri="{FF2B5EF4-FFF2-40B4-BE49-F238E27FC236}">
                <a16:creationId xmlns:a16="http://schemas.microsoft.com/office/drawing/2014/main" id="{8B9E89C2-3052-599F-1352-4721DE5175E5}"/>
              </a:ext>
            </a:extLst>
          </xdr:cNvPr>
          <xdr:cNvSpPr/>
        </xdr:nvSpPr>
        <xdr:spPr>
          <a:xfrm>
            <a:off x="7404952" y="3363054"/>
            <a:ext cx="180000" cy="181479"/>
          </a:xfrm>
          <a:prstGeom prst="ellipse">
            <a:avLst/>
          </a:prstGeom>
          <a:solidFill>
            <a:srgbClr val="00B05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grpSp>
    <xdr:clientData/>
  </xdr:twoCellAnchor>
  <xdr:twoCellAnchor>
    <xdr:from>
      <xdr:col>24</xdr:col>
      <xdr:colOff>234610</xdr:colOff>
      <xdr:row>15</xdr:row>
      <xdr:rowOff>137530</xdr:rowOff>
    </xdr:from>
    <xdr:to>
      <xdr:col>25</xdr:col>
      <xdr:colOff>100413</xdr:colOff>
      <xdr:row>17</xdr:row>
      <xdr:rowOff>72703</xdr:rowOff>
    </xdr:to>
    <xdr:sp macro="" textlink="Arbeitsbereich!E102">
      <xdr:nvSpPr>
        <xdr:cNvPr id="36" name="Textfeld 35">
          <a:extLst>
            <a:ext uri="{FF2B5EF4-FFF2-40B4-BE49-F238E27FC236}">
              <a16:creationId xmlns:a16="http://schemas.microsoft.com/office/drawing/2014/main" id="{8AC82697-DF8E-46DC-8C9E-B955F306F1D8}"/>
            </a:ext>
          </a:extLst>
        </xdr:cNvPr>
        <xdr:cNvSpPr txBox="1"/>
      </xdr:nvSpPr>
      <xdr:spPr>
        <a:xfrm>
          <a:off x="16342443" y="3090280"/>
          <a:ext cx="585470" cy="2950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A31B81F-083D-4C5D-9DF9-499CEFFE5E90}" type="TxLink">
            <a:rPr lang="en-US" sz="1100" b="0" i="0" u="none" strike="noStrike">
              <a:solidFill>
                <a:srgbClr val="000000"/>
              </a:solidFill>
              <a:latin typeface="Aptos Narrow"/>
              <a:cs typeface="Arial" panose="020B0604020202020204" pitchFamily="34" charset="0"/>
            </a:rPr>
            <a:pPr algn="r"/>
            <a:t>25%</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24</xdr:col>
      <xdr:colOff>259976</xdr:colOff>
      <xdr:row>16</xdr:row>
      <xdr:rowOff>173778</xdr:rowOff>
    </xdr:from>
    <xdr:to>
      <xdr:col>25</xdr:col>
      <xdr:colOff>101966</xdr:colOff>
      <xdr:row>18</xdr:row>
      <xdr:rowOff>110546</xdr:rowOff>
    </xdr:to>
    <xdr:sp macro="" textlink="Arbeitsbereich!E101">
      <xdr:nvSpPr>
        <xdr:cNvPr id="37" name="Textfeld 36">
          <a:extLst>
            <a:ext uri="{FF2B5EF4-FFF2-40B4-BE49-F238E27FC236}">
              <a16:creationId xmlns:a16="http://schemas.microsoft.com/office/drawing/2014/main" id="{DBAE9310-AC1F-46B9-A425-57646292D1C0}"/>
            </a:ext>
          </a:extLst>
        </xdr:cNvPr>
        <xdr:cNvSpPr txBox="1"/>
      </xdr:nvSpPr>
      <xdr:spPr>
        <a:xfrm>
          <a:off x="16367809" y="3306445"/>
          <a:ext cx="561657" cy="2966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2B2CC1C-050C-4C89-8E84-10D0BEEA1C38}" type="TxLink">
            <a:rPr lang="en-US" sz="1100" b="0" i="0" u="none" strike="noStrike">
              <a:solidFill>
                <a:srgbClr val="000000"/>
              </a:solidFill>
              <a:latin typeface="Aptos Narrow"/>
              <a:cs typeface="Arial" panose="020B0604020202020204" pitchFamily="34" charset="0"/>
            </a:rPr>
            <a:pPr algn="r"/>
            <a:t>25%</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24</xdr:col>
      <xdr:colOff>261024</xdr:colOff>
      <xdr:row>18</xdr:row>
      <xdr:rowOff>36084</xdr:rowOff>
    </xdr:from>
    <xdr:to>
      <xdr:col>25</xdr:col>
      <xdr:colOff>106189</xdr:colOff>
      <xdr:row>19</xdr:row>
      <xdr:rowOff>128874</xdr:rowOff>
    </xdr:to>
    <xdr:sp macro="" textlink="Arbeitsbereich!E100">
      <xdr:nvSpPr>
        <xdr:cNvPr id="38" name="Textfeld 37">
          <a:extLst>
            <a:ext uri="{FF2B5EF4-FFF2-40B4-BE49-F238E27FC236}">
              <a16:creationId xmlns:a16="http://schemas.microsoft.com/office/drawing/2014/main" id="{F195CAEC-04D2-4A48-AD1C-F31B28F5D7A2}"/>
            </a:ext>
          </a:extLst>
        </xdr:cNvPr>
        <xdr:cNvSpPr txBox="1"/>
      </xdr:nvSpPr>
      <xdr:spPr>
        <a:xfrm>
          <a:off x="16368857" y="3528584"/>
          <a:ext cx="564832" cy="272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2B8A56F-22EA-404F-AC10-FB0F63D7A177}" type="TxLink">
            <a:rPr lang="en-US" sz="1100" b="0" i="0" u="none" strike="noStrike">
              <a:solidFill>
                <a:srgbClr val="000000"/>
              </a:solidFill>
              <a:latin typeface="Aptos Narrow"/>
              <a:cs typeface="Arial" panose="020B0604020202020204" pitchFamily="34" charset="0"/>
            </a:rPr>
            <a:pPr algn="r"/>
            <a:t>50%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25</xdr:col>
      <xdr:colOff>457765</xdr:colOff>
      <xdr:row>15</xdr:row>
      <xdr:rowOff>129819</xdr:rowOff>
    </xdr:from>
    <xdr:to>
      <xdr:col>26</xdr:col>
      <xdr:colOff>299758</xdr:colOff>
      <xdr:row>17</xdr:row>
      <xdr:rowOff>74517</xdr:rowOff>
    </xdr:to>
    <xdr:sp macro="" textlink="Arbeitsbereich!D102">
      <xdr:nvSpPr>
        <xdr:cNvPr id="39" name="Textfeld 38">
          <a:extLst>
            <a:ext uri="{FF2B5EF4-FFF2-40B4-BE49-F238E27FC236}">
              <a16:creationId xmlns:a16="http://schemas.microsoft.com/office/drawing/2014/main" id="{9CDC6B91-264C-47E9-A3A5-788EA6920E81}"/>
            </a:ext>
          </a:extLst>
        </xdr:cNvPr>
        <xdr:cNvSpPr txBox="1"/>
      </xdr:nvSpPr>
      <xdr:spPr>
        <a:xfrm>
          <a:off x="17285265" y="3082569"/>
          <a:ext cx="561660" cy="3045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97FA335-6460-445B-9E04-5B93132EBEFB}" type="TxLink">
            <a:rPr lang="en-US" sz="1100" b="0" i="0" u="none" strike="noStrike">
              <a:solidFill>
                <a:srgbClr val="000000"/>
              </a:solidFill>
              <a:latin typeface="Aptos Narrow"/>
              <a:cs typeface="Arial" panose="020B0604020202020204" pitchFamily="34" charset="0"/>
            </a:rPr>
            <a:pPr algn="l"/>
            <a:t>1</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25</xdr:col>
      <xdr:colOff>476781</xdr:colOff>
      <xdr:row>16</xdr:row>
      <xdr:rowOff>172417</xdr:rowOff>
    </xdr:from>
    <xdr:to>
      <xdr:col>26</xdr:col>
      <xdr:colOff>318774</xdr:colOff>
      <xdr:row>18</xdr:row>
      <xdr:rowOff>99660</xdr:rowOff>
    </xdr:to>
    <xdr:sp macro="" textlink="Arbeitsbereich!D101">
      <xdr:nvSpPr>
        <xdr:cNvPr id="40" name="Textfeld 39">
          <a:extLst>
            <a:ext uri="{FF2B5EF4-FFF2-40B4-BE49-F238E27FC236}">
              <a16:creationId xmlns:a16="http://schemas.microsoft.com/office/drawing/2014/main" id="{200F512C-1D6C-4D78-BCF3-269C8110EDA3}"/>
            </a:ext>
          </a:extLst>
        </xdr:cNvPr>
        <xdr:cNvSpPr txBox="1"/>
      </xdr:nvSpPr>
      <xdr:spPr>
        <a:xfrm>
          <a:off x="17304281" y="3305084"/>
          <a:ext cx="561660" cy="287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2E9D33E-D70E-46C5-AA06-A905D6C55ED0}" type="TxLink">
            <a:rPr lang="en-US" sz="1100" b="0" i="0" u="none" strike="noStrike">
              <a:solidFill>
                <a:srgbClr val="000000"/>
              </a:solidFill>
              <a:latin typeface="Aptos Narrow"/>
              <a:cs typeface="Arial" panose="020B0604020202020204" pitchFamily="34" charset="0"/>
            </a:rPr>
            <a:pPr algn="l"/>
            <a:t>1</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25</xdr:col>
      <xdr:colOff>477829</xdr:colOff>
      <xdr:row>18</xdr:row>
      <xdr:rowOff>34723</xdr:rowOff>
    </xdr:from>
    <xdr:to>
      <xdr:col>26</xdr:col>
      <xdr:colOff>316647</xdr:colOff>
      <xdr:row>19</xdr:row>
      <xdr:rowOff>130688</xdr:rowOff>
    </xdr:to>
    <xdr:sp macro="" textlink="Arbeitsbereich!D100">
      <xdr:nvSpPr>
        <xdr:cNvPr id="41" name="Textfeld 40">
          <a:extLst>
            <a:ext uri="{FF2B5EF4-FFF2-40B4-BE49-F238E27FC236}">
              <a16:creationId xmlns:a16="http://schemas.microsoft.com/office/drawing/2014/main" id="{0FBCE988-7A9C-444B-A414-E0C4B19079A4}"/>
            </a:ext>
          </a:extLst>
        </xdr:cNvPr>
        <xdr:cNvSpPr txBox="1"/>
      </xdr:nvSpPr>
      <xdr:spPr>
        <a:xfrm>
          <a:off x="17305329" y="3527223"/>
          <a:ext cx="558485" cy="2758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CB03BED-B8E1-47C9-BD3A-EB6170751492}" type="TxLink">
            <a:rPr lang="en-US" sz="1100" b="0" i="0" u="none" strike="noStrike">
              <a:solidFill>
                <a:srgbClr val="000000"/>
              </a:solidFill>
              <a:latin typeface="Aptos Narrow"/>
              <a:cs typeface="Arial" panose="020B0604020202020204" pitchFamily="34" charset="0"/>
            </a:rPr>
            <a:pPr algn="l"/>
            <a:t>2</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7</xdr:col>
      <xdr:colOff>48582</xdr:colOff>
      <xdr:row>1</xdr:row>
      <xdr:rowOff>76200</xdr:rowOff>
    </xdr:from>
    <xdr:to>
      <xdr:col>12</xdr:col>
      <xdr:colOff>209448</xdr:colOff>
      <xdr:row>41</xdr:row>
      <xdr:rowOff>42334</xdr:rowOff>
    </xdr:to>
    <xdr:sp macro="" textlink="">
      <xdr:nvSpPr>
        <xdr:cNvPr id="59" name="Rechteck 58">
          <a:extLst>
            <a:ext uri="{FF2B5EF4-FFF2-40B4-BE49-F238E27FC236}">
              <a16:creationId xmlns:a16="http://schemas.microsoft.com/office/drawing/2014/main" id="{9CFDF184-C2D0-4427-8D54-F6F314147FF5}"/>
            </a:ext>
          </a:extLst>
        </xdr:cNvPr>
        <xdr:cNvSpPr/>
      </xdr:nvSpPr>
      <xdr:spPr>
        <a:xfrm>
          <a:off x="3922082" y="510117"/>
          <a:ext cx="3759199" cy="7162800"/>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7</xdr:col>
      <xdr:colOff>153990</xdr:colOff>
      <xdr:row>14</xdr:row>
      <xdr:rowOff>6880</xdr:rowOff>
    </xdr:from>
    <xdr:to>
      <xdr:col>9</xdr:col>
      <xdr:colOff>474663</xdr:colOff>
      <xdr:row>15</xdr:row>
      <xdr:rowOff>155804</xdr:rowOff>
    </xdr:to>
    <xdr:sp macro="" textlink="">
      <xdr:nvSpPr>
        <xdr:cNvPr id="42" name="Textfeld 41">
          <a:extLst>
            <a:ext uri="{FF2B5EF4-FFF2-40B4-BE49-F238E27FC236}">
              <a16:creationId xmlns:a16="http://schemas.microsoft.com/office/drawing/2014/main" id="{C3D020B5-907D-41D1-9D71-1C49C43BD003}"/>
            </a:ext>
          </a:extLst>
        </xdr:cNvPr>
        <xdr:cNvSpPr txBox="1"/>
      </xdr:nvSpPr>
      <xdr:spPr>
        <a:xfrm>
          <a:off x="4027490" y="2779713"/>
          <a:ext cx="1760006" cy="3288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GESAMTSTATUS:</a:t>
          </a:r>
          <a:endParaRPr lang="de-AT" sz="1400" b="0">
            <a:solidFill>
              <a:srgbClr val="831933"/>
            </a:solidFill>
            <a:latin typeface="Arial" panose="020B0604020202020204" pitchFamily="34" charset="0"/>
            <a:cs typeface="Arial" panose="020B0604020202020204" pitchFamily="34" charset="0"/>
          </a:endParaRPr>
        </a:p>
      </xdr:txBody>
    </xdr:sp>
    <xdr:clientData/>
  </xdr:twoCellAnchor>
  <xdr:twoCellAnchor>
    <xdr:from>
      <xdr:col>9</xdr:col>
      <xdr:colOff>107667</xdr:colOff>
      <xdr:row>16</xdr:row>
      <xdr:rowOff>35929</xdr:rowOff>
    </xdr:from>
    <xdr:to>
      <xdr:col>9</xdr:col>
      <xdr:colOff>370420</xdr:colOff>
      <xdr:row>20</xdr:row>
      <xdr:rowOff>2091</xdr:rowOff>
    </xdr:to>
    <xdr:grpSp>
      <xdr:nvGrpSpPr>
        <xdr:cNvPr id="43" name="Gruppieren 42">
          <a:extLst>
            <a:ext uri="{FF2B5EF4-FFF2-40B4-BE49-F238E27FC236}">
              <a16:creationId xmlns:a16="http://schemas.microsoft.com/office/drawing/2014/main" id="{A6E2BAB8-90E9-449A-822F-1599C82C34A6}"/>
            </a:ext>
          </a:extLst>
        </xdr:cNvPr>
        <xdr:cNvGrpSpPr/>
      </xdr:nvGrpSpPr>
      <xdr:grpSpPr>
        <a:xfrm>
          <a:off x="8315042" y="3083929"/>
          <a:ext cx="262753" cy="664662"/>
          <a:chOff x="7354071" y="2875841"/>
          <a:chExt cx="272832" cy="706388"/>
        </a:xfrm>
      </xdr:grpSpPr>
      <xdr:sp macro="" textlink="">
        <xdr:nvSpPr>
          <xdr:cNvPr id="44" name="Rechteck: abgerundete Ecken 43">
            <a:extLst>
              <a:ext uri="{FF2B5EF4-FFF2-40B4-BE49-F238E27FC236}">
                <a16:creationId xmlns:a16="http://schemas.microsoft.com/office/drawing/2014/main" id="{6F1C1746-1E13-694F-F5AC-89D725795D7B}"/>
              </a:ext>
            </a:extLst>
          </xdr:cNvPr>
          <xdr:cNvSpPr/>
        </xdr:nvSpPr>
        <xdr:spPr>
          <a:xfrm>
            <a:off x="7354071" y="2875841"/>
            <a:ext cx="272832" cy="706388"/>
          </a:xfrm>
          <a:prstGeom prst="roundRect">
            <a:avLst/>
          </a:prstGeom>
          <a:solidFill>
            <a:schemeClr val="bg1">
              <a:alpha val="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45" name="Ellipse 44">
            <a:extLst>
              <a:ext uri="{FF2B5EF4-FFF2-40B4-BE49-F238E27FC236}">
                <a16:creationId xmlns:a16="http://schemas.microsoft.com/office/drawing/2014/main" id="{568E9F06-2A11-413D-B7E6-E46CAE2F89C2}"/>
              </a:ext>
            </a:extLst>
          </xdr:cNvPr>
          <xdr:cNvSpPr/>
        </xdr:nvSpPr>
        <xdr:spPr>
          <a:xfrm>
            <a:off x="7400707" y="2916660"/>
            <a:ext cx="180000" cy="181480"/>
          </a:xfrm>
          <a:prstGeom prst="ellipse">
            <a:avLst/>
          </a:prstGeom>
          <a:solidFill>
            <a:srgbClr val="FF000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46" name="Ellipse 45">
            <a:extLst>
              <a:ext uri="{FF2B5EF4-FFF2-40B4-BE49-F238E27FC236}">
                <a16:creationId xmlns:a16="http://schemas.microsoft.com/office/drawing/2014/main" id="{DDFE1300-8C66-2ADD-9825-21153577651E}"/>
              </a:ext>
            </a:extLst>
          </xdr:cNvPr>
          <xdr:cNvSpPr/>
        </xdr:nvSpPr>
        <xdr:spPr>
          <a:xfrm>
            <a:off x="7398893" y="3143112"/>
            <a:ext cx="180000" cy="181478"/>
          </a:xfrm>
          <a:prstGeom prst="ellipse">
            <a:avLst/>
          </a:prstGeom>
          <a:solidFill>
            <a:srgbClr val="FFFF0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47" name="Ellipse 46">
            <a:extLst>
              <a:ext uri="{FF2B5EF4-FFF2-40B4-BE49-F238E27FC236}">
                <a16:creationId xmlns:a16="http://schemas.microsoft.com/office/drawing/2014/main" id="{3135C741-7FCD-ABC4-8B0F-DB638995FE62}"/>
              </a:ext>
            </a:extLst>
          </xdr:cNvPr>
          <xdr:cNvSpPr/>
        </xdr:nvSpPr>
        <xdr:spPr>
          <a:xfrm>
            <a:off x="7404952" y="3363054"/>
            <a:ext cx="180000" cy="181479"/>
          </a:xfrm>
          <a:prstGeom prst="ellipse">
            <a:avLst/>
          </a:prstGeom>
          <a:solidFill>
            <a:srgbClr val="00B05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grpSp>
    <xdr:clientData/>
  </xdr:twoCellAnchor>
  <xdr:twoCellAnchor>
    <xdr:from>
      <xdr:col>8</xdr:col>
      <xdr:colOff>219794</xdr:colOff>
      <xdr:row>16</xdr:row>
      <xdr:rowOff>17411</xdr:rowOff>
    </xdr:from>
    <xdr:to>
      <xdr:col>9</xdr:col>
      <xdr:colOff>69724</xdr:colOff>
      <xdr:row>17</xdr:row>
      <xdr:rowOff>112922</xdr:rowOff>
    </xdr:to>
    <xdr:sp macro="" textlink="Arbeitsbereich!K102">
      <xdr:nvSpPr>
        <xdr:cNvPr id="48" name="Textfeld 47">
          <a:extLst>
            <a:ext uri="{FF2B5EF4-FFF2-40B4-BE49-F238E27FC236}">
              <a16:creationId xmlns:a16="http://schemas.microsoft.com/office/drawing/2014/main" id="{6DCE98F7-DE51-4546-8926-8BED7E646B32}"/>
            </a:ext>
          </a:extLst>
        </xdr:cNvPr>
        <xdr:cNvSpPr txBox="1"/>
      </xdr:nvSpPr>
      <xdr:spPr>
        <a:xfrm>
          <a:off x="4812961" y="3150078"/>
          <a:ext cx="569596" cy="2754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54745C7-EB00-41A1-972B-3EC207FD3004}" type="TxLink">
            <a:rPr lang="en-US" sz="1100" b="0" i="0" u="none" strike="noStrike">
              <a:solidFill>
                <a:srgbClr val="000000"/>
              </a:solidFill>
              <a:latin typeface="Aptos Narrow"/>
              <a:cs typeface="Arial" panose="020B0604020202020204" pitchFamily="34" charset="0"/>
            </a:rPr>
            <a:pPr algn="r"/>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8</xdr:col>
      <xdr:colOff>238810</xdr:colOff>
      <xdr:row>17</xdr:row>
      <xdr:rowOff>53660</xdr:rowOff>
    </xdr:from>
    <xdr:to>
      <xdr:col>9</xdr:col>
      <xdr:colOff>87152</xdr:colOff>
      <xdr:row>18</xdr:row>
      <xdr:rowOff>153940</xdr:rowOff>
    </xdr:to>
    <xdr:sp macro="" textlink="Arbeitsbereich!K101">
      <xdr:nvSpPr>
        <xdr:cNvPr id="49" name="Textfeld 48">
          <a:extLst>
            <a:ext uri="{FF2B5EF4-FFF2-40B4-BE49-F238E27FC236}">
              <a16:creationId xmlns:a16="http://schemas.microsoft.com/office/drawing/2014/main" id="{FFB38050-F492-4A12-A061-F5B5A3D80D87}"/>
            </a:ext>
          </a:extLst>
        </xdr:cNvPr>
        <xdr:cNvSpPr txBox="1"/>
      </xdr:nvSpPr>
      <xdr:spPr>
        <a:xfrm>
          <a:off x="4831977" y="3366243"/>
          <a:ext cx="568008" cy="2801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86CE6E6-9194-4172-81D6-9D63E364D768}" type="TxLink">
            <a:rPr lang="en-US" sz="1100" b="0" i="0" u="none" strike="noStrike">
              <a:solidFill>
                <a:srgbClr val="000000"/>
              </a:solidFill>
              <a:latin typeface="Aptos Narrow"/>
              <a:cs typeface="Arial" panose="020B0604020202020204" pitchFamily="34" charset="0"/>
            </a:rPr>
            <a:pPr algn="r"/>
            <a:t>50%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8</xdr:col>
      <xdr:colOff>236683</xdr:colOff>
      <xdr:row>18</xdr:row>
      <xdr:rowOff>92178</xdr:rowOff>
    </xdr:from>
    <xdr:to>
      <xdr:col>9</xdr:col>
      <xdr:colOff>88200</xdr:colOff>
      <xdr:row>19</xdr:row>
      <xdr:rowOff>172796</xdr:rowOff>
    </xdr:to>
    <xdr:sp macro="" textlink="Arbeitsbereich!K100">
      <xdr:nvSpPr>
        <xdr:cNvPr id="50" name="Textfeld 49">
          <a:extLst>
            <a:ext uri="{FF2B5EF4-FFF2-40B4-BE49-F238E27FC236}">
              <a16:creationId xmlns:a16="http://schemas.microsoft.com/office/drawing/2014/main" id="{2890EC90-133B-4BF5-B8A2-635085920B33}"/>
            </a:ext>
          </a:extLst>
        </xdr:cNvPr>
        <xdr:cNvSpPr txBox="1"/>
      </xdr:nvSpPr>
      <xdr:spPr>
        <a:xfrm>
          <a:off x="4829850" y="3584678"/>
          <a:ext cx="571183" cy="2605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3B9D4D6-EFFA-4C39-A581-534C7D1E4F74}" type="TxLink">
            <a:rPr lang="en-US" sz="1100" b="0" i="0" u="none" strike="noStrike">
              <a:solidFill>
                <a:srgbClr val="000000"/>
              </a:solidFill>
              <a:latin typeface="Aptos Narrow"/>
              <a:cs typeface="Arial" panose="020B0604020202020204" pitchFamily="34" charset="0"/>
            </a:rPr>
            <a:pPr algn="r"/>
            <a:t>50%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9</xdr:col>
      <xdr:colOff>427076</xdr:colOff>
      <xdr:row>15</xdr:row>
      <xdr:rowOff>170567</xdr:rowOff>
    </xdr:from>
    <xdr:to>
      <xdr:col>10</xdr:col>
      <xdr:colOff>291293</xdr:colOff>
      <xdr:row>17</xdr:row>
      <xdr:rowOff>111561</xdr:rowOff>
    </xdr:to>
    <xdr:sp macro="" textlink="Arbeitsbereich!J102">
      <xdr:nvSpPr>
        <xdr:cNvPr id="51" name="Textfeld 50">
          <a:extLst>
            <a:ext uri="{FF2B5EF4-FFF2-40B4-BE49-F238E27FC236}">
              <a16:creationId xmlns:a16="http://schemas.microsoft.com/office/drawing/2014/main" id="{3D21610E-A174-4305-BE17-0FEEB2A45845}"/>
            </a:ext>
          </a:extLst>
        </xdr:cNvPr>
        <xdr:cNvSpPr txBox="1"/>
      </xdr:nvSpPr>
      <xdr:spPr>
        <a:xfrm>
          <a:off x="5739909" y="3123317"/>
          <a:ext cx="583884" cy="3008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733F97D-7021-4CB4-ACA8-1B33A61B9B16}" type="TxLink">
            <a:rPr lang="en-US" sz="1100" b="0" i="0" u="none" strike="noStrike">
              <a:solidFill>
                <a:srgbClr val="000000"/>
              </a:solidFill>
              <a:latin typeface="Aptos Narrow"/>
              <a:cs typeface="Arial" panose="020B0604020202020204" pitchFamily="34" charset="0"/>
            </a:rPr>
            <a:pPr algn="l"/>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9</xdr:col>
      <xdr:colOff>446092</xdr:colOff>
      <xdr:row>17</xdr:row>
      <xdr:rowOff>36424</xdr:rowOff>
    </xdr:from>
    <xdr:to>
      <xdr:col>10</xdr:col>
      <xdr:colOff>310309</xdr:colOff>
      <xdr:row>18</xdr:row>
      <xdr:rowOff>152579</xdr:rowOff>
    </xdr:to>
    <xdr:sp macro="" textlink="Arbeitsbereich!J101">
      <xdr:nvSpPr>
        <xdr:cNvPr id="55" name="Textfeld 54">
          <a:extLst>
            <a:ext uri="{FF2B5EF4-FFF2-40B4-BE49-F238E27FC236}">
              <a16:creationId xmlns:a16="http://schemas.microsoft.com/office/drawing/2014/main" id="{AB2ED672-0D7B-4AF4-820C-97D8AB081ECE}"/>
            </a:ext>
          </a:extLst>
        </xdr:cNvPr>
        <xdr:cNvSpPr txBox="1"/>
      </xdr:nvSpPr>
      <xdr:spPr>
        <a:xfrm>
          <a:off x="5758925" y="3349007"/>
          <a:ext cx="583884" cy="2960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31BE2E1-AE13-49F0-8F9A-04CB3654C411}" type="TxLink">
            <a:rPr lang="en-US" sz="1100" b="0" i="0" u="none" strike="noStrike">
              <a:solidFill>
                <a:srgbClr val="000000"/>
              </a:solidFill>
              <a:latin typeface="Aptos Narrow"/>
              <a:cs typeface="Arial" panose="020B0604020202020204" pitchFamily="34" charset="0"/>
            </a:rPr>
            <a:pPr algn="l"/>
            <a:t>1</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9</xdr:col>
      <xdr:colOff>447140</xdr:colOff>
      <xdr:row>18</xdr:row>
      <xdr:rowOff>74942</xdr:rowOff>
    </xdr:from>
    <xdr:to>
      <xdr:col>10</xdr:col>
      <xdr:colOff>311357</xdr:colOff>
      <xdr:row>20</xdr:row>
      <xdr:rowOff>1044</xdr:rowOff>
    </xdr:to>
    <xdr:sp macro="" textlink="Arbeitsbereich!J100">
      <xdr:nvSpPr>
        <xdr:cNvPr id="65" name="Textfeld 64">
          <a:extLst>
            <a:ext uri="{FF2B5EF4-FFF2-40B4-BE49-F238E27FC236}">
              <a16:creationId xmlns:a16="http://schemas.microsoft.com/office/drawing/2014/main" id="{22A4D6C3-348A-4BBE-ABAA-A3579B76301E}"/>
            </a:ext>
          </a:extLst>
        </xdr:cNvPr>
        <xdr:cNvSpPr txBox="1"/>
      </xdr:nvSpPr>
      <xdr:spPr>
        <a:xfrm>
          <a:off x="5759973" y="3567442"/>
          <a:ext cx="583884" cy="2859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D30330F-5F68-465E-A38C-5B3621D903A8}" type="TxLink">
            <a:rPr lang="en-US" sz="1100" b="0" i="0" u="none" strike="noStrike">
              <a:solidFill>
                <a:srgbClr val="000000"/>
              </a:solidFill>
              <a:latin typeface="Aptos Narrow"/>
              <a:cs typeface="Arial" panose="020B0604020202020204" pitchFamily="34" charset="0"/>
            </a:rPr>
            <a:pPr algn="l"/>
            <a:t>1</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9</xdr:col>
      <xdr:colOff>31750</xdr:colOff>
      <xdr:row>6</xdr:row>
      <xdr:rowOff>91324</xdr:rowOff>
    </xdr:from>
    <xdr:to>
      <xdr:col>12</xdr:col>
      <xdr:colOff>72715</xdr:colOff>
      <xdr:row>9</xdr:row>
      <xdr:rowOff>148891</xdr:rowOff>
    </xdr:to>
    <xdr:sp macro="" textlink="">
      <xdr:nvSpPr>
        <xdr:cNvPr id="66" name="Textfeld 65">
          <a:extLst>
            <a:ext uri="{FF2B5EF4-FFF2-40B4-BE49-F238E27FC236}">
              <a16:creationId xmlns:a16="http://schemas.microsoft.com/office/drawing/2014/main" id="{CA62314B-5274-455B-B066-31CA9EE4D46C}"/>
            </a:ext>
          </a:extLst>
        </xdr:cNvPr>
        <xdr:cNvSpPr txBox="1"/>
      </xdr:nvSpPr>
      <xdr:spPr>
        <a:xfrm>
          <a:off x="7810500" y="1424824"/>
          <a:ext cx="2199965" cy="5973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ANTEIL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AM GESAMTPORTFOLIO</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17</xdr:col>
      <xdr:colOff>589495</xdr:colOff>
      <xdr:row>14</xdr:row>
      <xdr:rowOff>11640</xdr:rowOff>
    </xdr:from>
    <xdr:to>
      <xdr:col>20</xdr:col>
      <xdr:colOff>193148</xdr:colOff>
      <xdr:row>15</xdr:row>
      <xdr:rowOff>173263</xdr:rowOff>
    </xdr:to>
    <xdr:sp macro="" textlink="">
      <xdr:nvSpPr>
        <xdr:cNvPr id="69" name="Textfeld 68">
          <a:extLst>
            <a:ext uri="{FF2B5EF4-FFF2-40B4-BE49-F238E27FC236}">
              <a16:creationId xmlns:a16="http://schemas.microsoft.com/office/drawing/2014/main" id="{80561807-B28D-4DA0-8574-4017A9F099A7}"/>
            </a:ext>
          </a:extLst>
        </xdr:cNvPr>
        <xdr:cNvSpPr txBox="1"/>
      </xdr:nvSpPr>
      <xdr:spPr>
        <a:xfrm>
          <a:off x="14125578" y="2784473"/>
          <a:ext cx="1762653" cy="3415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GESAMTSTATUS:</a:t>
          </a:r>
          <a:endParaRPr lang="de-AT" sz="1400" b="0">
            <a:solidFill>
              <a:srgbClr val="831933"/>
            </a:solidFill>
            <a:latin typeface="Arial" panose="020B0604020202020204" pitchFamily="34" charset="0"/>
            <a:cs typeface="Arial" panose="020B0604020202020204" pitchFamily="34" charset="0"/>
          </a:endParaRPr>
        </a:p>
      </xdr:txBody>
    </xdr:sp>
    <xdr:clientData/>
  </xdr:twoCellAnchor>
  <xdr:twoCellAnchor>
    <xdr:from>
      <xdr:col>12</xdr:col>
      <xdr:colOff>366188</xdr:colOff>
      <xdr:row>14</xdr:row>
      <xdr:rowOff>3171</xdr:rowOff>
    </xdr:from>
    <xdr:to>
      <xdr:col>14</xdr:col>
      <xdr:colOff>689508</xdr:colOff>
      <xdr:row>15</xdr:row>
      <xdr:rowOff>158444</xdr:rowOff>
    </xdr:to>
    <xdr:sp macro="" textlink="">
      <xdr:nvSpPr>
        <xdr:cNvPr id="70" name="Textfeld 69">
          <a:extLst>
            <a:ext uri="{FF2B5EF4-FFF2-40B4-BE49-F238E27FC236}">
              <a16:creationId xmlns:a16="http://schemas.microsoft.com/office/drawing/2014/main" id="{AAA5EFE8-F9F1-4377-A052-531BA12F8CAB}"/>
            </a:ext>
          </a:extLst>
        </xdr:cNvPr>
        <xdr:cNvSpPr txBox="1"/>
      </xdr:nvSpPr>
      <xdr:spPr>
        <a:xfrm>
          <a:off x="10303938" y="2776004"/>
          <a:ext cx="1762653" cy="3351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GESAMTSTATUS:</a:t>
          </a:r>
          <a:endParaRPr lang="de-AT" sz="1400" b="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316685</xdr:colOff>
      <xdr:row>16</xdr:row>
      <xdr:rowOff>3119</xdr:rowOff>
    </xdr:from>
    <xdr:to>
      <xdr:col>14</xdr:col>
      <xdr:colOff>582614</xdr:colOff>
      <xdr:row>19</xdr:row>
      <xdr:rowOff>149197</xdr:rowOff>
    </xdr:to>
    <xdr:grpSp>
      <xdr:nvGrpSpPr>
        <xdr:cNvPr id="71" name="Gruppieren 70">
          <a:extLst>
            <a:ext uri="{FF2B5EF4-FFF2-40B4-BE49-F238E27FC236}">
              <a16:creationId xmlns:a16="http://schemas.microsoft.com/office/drawing/2014/main" id="{3128E241-3C4A-46CD-BC24-79C5B4534B93}"/>
            </a:ext>
          </a:extLst>
        </xdr:cNvPr>
        <xdr:cNvGrpSpPr/>
      </xdr:nvGrpSpPr>
      <xdr:grpSpPr>
        <a:xfrm>
          <a:off x="12334060" y="3051119"/>
          <a:ext cx="265929" cy="669953"/>
          <a:chOff x="7354071" y="2875841"/>
          <a:chExt cx="272832" cy="706388"/>
        </a:xfrm>
      </xdr:grpSpPr>
      <xdr:sp macro="" textlink="">
        <xdr:nvSpPr>
          <xdr:cNvPr id="72" name="Rechteck: abgerundete Ecken 71">
            <a:extLst>
              <a:ext uri="{FF2B5EF4-FFF2-40B4-BE49-F238E27FC236}">
                <a16:creationId xmlns:a16="http://schemas.microsoft.com/office/drawing/2014/main" id="{16AE3719-8774-28A3-4CEF-5BB2EAA45323}"/>
              </a:ext>
            </a:extLst>
          </xdr:cNvPr>
          <xdr:cNvSpPr/>
        </xdr:nvSpPr>
        <xdr:spPr>
          <a:xfrm>
            <a:off x="7354071" y="2875841"/>
            <a:ext cx="272832" cy="706388"/>
          </a:xfrm>
          <a:prstGeom prst="roundRect">
            <a:avLst/>
          </a:prstGeom>
          <a:solidFill>
            <a:schemeClr val="bg1">
              <a:alpha val="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74" name="Ellipse 73">
            <a:extLst>
              <a:ext uri="{FF2B5EF4-FFF2-40B4-BE49-F238E27FC236}">
                <a16:creationId xmlns:a16="http://schemas.microsoft.com/office/drawing/2014/main" id="{CB3F786F-B232-49CD-2BE0-1F5B05F4A9BC}"/>
              </a:ext>
            </a:extLst>
          </xdr:cNvPr>
          <xdr:cNvSpPr/>
        </xdr:nvSpPr>
        <xdr:spPr>
          <a:xfrm>
            <a:off x="7400707" y="2916660"/>
            <a:ext cx="180000" cy="181480"/>
          </a:xfrm>
          <a:prstGeom prst="ellipse">
            <a:avLst/>
          </a:prstGeom>
          <a:solidFill>
            <a:srgbClr val="FF000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75" name="Ellipse 74">
            <a:extLst>
              <a:ext uri="{FF2B5EF4-FFF2-40B4-BE49-F238E27FC236}">
                <a16:creationId xmlns:a16="http://schemas.microsoft.com/office/drawing/2014/main" id="{F217CB37-0F8A-0FD7-44DA-69A03AFB9C4A}"/>
              </a:ext>
            </a:extLst>
          </xdr:cNvPr>
          <xdr:cNvSpPr/>
        </xdr:nvSpPr>
        <xdr:spPr>
          <a:xfrm>
            <a:off x="7398893" y="3143112"/>
            <a:ext cx="180000" cy="181478"/>
          </a:xfrm>
          <a:prstGeom prst="ellipse">
            <a:avLst/>
          </a:prstGeom>
          <a:solidFill>
            <a:srgbClr val="FFFF0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76" name="Ellipse 75">
            <a:extLst>
              <a:ext uri="{FF2B5EF4-FFF2-40B4-BE49-F238E27FC236}">
                <a16:creationId xmlns:a16="http://schemas.microsoft.com/office/drawing/2014/main" id="{FAA4531D-28BD-8BC2-774C-EB837295484C}"/>
              </a:ext>
            </a:extLst>
          </xdr:cNvPr>
          <xdr:cNvSpPr/>
        </xdr:nvSpPr>
        <xdr:spPr>
          <a:xfrm>
            <a:off x="7404952" y="3363054"/>
            <a:ext cx="180000" cy="181479"/>
          </a:xfrm>
          <a:prstGeom prst="ellipse">
            <a:avLst/>
          </a:prstGeom>
          <a:solidFill>
            <a:srgbClr val="00B05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grpSp>
    <xdr:clientData/>
  </xdr:twoCellAnchor>
  <xdr:twoCellAnchor>
    <xdr:from>
      <xdr:col>13</xdr:col>
      <xdr:colOff>419287</xdr:colOff>
      <xdr:row>15</xdr:row>
      <xdr:rowOff>148643</xdr:rowOff>
    </xdr:from>
    <xdr:to>
      <xdr:col>14</xdr:col>
      <xdr:colOff>278742</xdr:colOff>
      <xdr:row>17</xdr:row>
      <xdr:rowOff>73762</xdr:rowOff>
    </xdr:to>
    <xdr:sp macro="" textlink="Arbeitsbereich!M102">
      <xdr:nvSpPr>
        <xdr:cNvPr id="77" name="Textfeld 76">
          <a:extLst>
            <a:ext uri="{FF2B5EF4-FFF2-40B4-BE49-F238E27FC236}">
              <a16:creationId xmlns:a16="http://schemas.microsoft.com/office/drawing/2014/main" id="{4EA46F57-07CC-4E97-BE42-831A87FC2718}"/>
            </a:ext>
          </a:extLst>
        </xdr:cNvPr>
        <xdr:cNvSpPr txBox="1"/>
      </xdr:nvSpPr>
      <xdr:spPr>
        <a:xfrm>
          <a:off x="8610787" y="3101393"/>
          <a:ext cx="579122" cy="2849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575714B-B920-4609-A415-F6E5371A5AEF}" type="TxLink">
            <a:rPr lang="en-US" sz="1100" b="0" i="0" u="none" strike="noStrike">
              <a:solidFill>
                <a:srgbClr val="000000"/>
              </a:solidFill>
              <a:latin typeface="Aptos Narrow"/>
              <a:cs typeface="Arial" panose="020B0604020202020204" pitchFamily="34" charset="0"/>
            </a:rPr>
            <a:pPr algn="r"/>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13</xdr:col>
      <xdr:colOff>438303</xdr:colOff>
      <xdr:row>17</xdr:row>
      <xdr:rowOff>1800</xdr:rowOff>
    </xdr:from>
    <xdr:to>
      <xdr:col>14</xdr:col>
      <xdr:colOff>296170</xdr:colOff>
      <xdr:row>18</xdr:row>
      <xdr:rowOff>111605</xdr:rowOff>
    </xdr:to>
    <xdr:sp macro="" textlink="Arbeitsbereich!M101">
      <xdr:nvSpPr>
        <xdr:cNvPr id="78" name="Textfeld 77">
          <a:extLst>
            <a:ext uri="{FF2B5EF4-FFF2-40B4-BE49-F238E27FC236}">
              <a16:creationId xmlns:a16="http://schemas.microsoft.com/office/drawing/2014/main" id="{C7641ECC-8710-4E42-8F5F-35F2F261363B}"/>
            </a:ext>
          </a:extLst>
        </xdr:cNvPr>
        <xdr:cNvSpPr txBox="1"/>
      </xdr:nvSpPr>
      <xdr:spPr>
        <a:xfrm>
          <a:off x="8629803" y="3314383"/>
          <a:ext cx="577534" cy="2897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50DA145-96D9-44E5-986A-F0366EA68CED}" type="TxLink">
            <a:rPr lang="en-US" sz="1100" b="0" i="0" u="none" strike="noStrike">
              <a:solidFill>
                <a:srgbClr val="000000"/>
              </a:solidFill>
              <a:latin typeface="Aptos Narrow"/>
              <a:cs typeface="Arial" panose="020B0604020202020204" pitchFamily="34" charset="0"/>
            </a:rPr>
            <a:pPr algn="r"/>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13</xdr:col>
      <xdr:colOff>439351</xdr:colOff>
      <xdr:row>18</xdr:row>
      <xdr:rowOff>37143</xdr:rowOff>
    </xdr:from>
    <xdr:to>
      <xdr:col>14</xdr:col>
      <xdr:colOff>297218</xdr:colOff>
      <xdr:row>19</xdr:row>
      <xdr:rowOff>149511</xdr:rowOff>
    </xdr:to>
    <xdr:sp macro="" textlink="Arbeitsbereich!M100">
      <xdr:nvSpPr>
        <xdr:cNvPr id="79" name="Textfeld 78">
          <a:extLst>
            <a:ext uri="{FF2B5EF4-FFF2-40B4-BE49-F238E27FC236}">
              <a16:creationId xmlns:a16="http://schemas.microsoft.com/office/drawing/2014/main" id="{B2D119A4-2CEE-4EC6-BC1E-B3EC4FB77D7B}"/>
            </a:ext>
          </a:extLst>
        </xdr:cNvPr>
        <xdr:cNvSpPr txBox="1"/>
      </xdr:nvSpPr>
      <xdr:spPr>
        <a:xfrm>
          <a:off x="8630851" y="3529643"/>
          <a:ext cx="577534" cy="292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617C69D-72B3-4E94-B426-38091B6BF9FC}" type="TxLink">
            <a:rPr lang="en-US" sz="1100" b="0" i="0" u="none" strike="noStrike">
              <a:solidFill>
                <a:srgbClr val="000000"/>
              </a:solidFill>
              <a:latin typeface="Aptos Narrow"/>
              <a:cs typeface="Arial" panose="020B0604020202020204" pitchFamily="34" charset="0"/>
            </a:rPr>
            <a:pPr algn="r"/>
            <a:t>100%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639270</xdr:colOff>
      <xdr:row>15</xdr:row>
      <xdr:rowOff>137757</xdr:rowOff>
    </xdr:from>
    <xdr:to>
      <xdr:col>15</xdr:col>
      <xdr:colOff>487613</xdr:colOff>
      <xdr:row>17</xdr:row>
      <xdr:rowOff>72401</xdr:rowOff>
    </xdr:to>
    <xdr:sp macro="" textlink="Arbeitsbereich!L102">
      <xdr:nvSpPr>
        <xdr:cNvPr id="80" name="Textfeld 79">
          <a:extLst>
            <a:ext uri="{FF2B5EF4-FFF2-40B4-BE49-F238E27FC236}">
              <a16:creationId xmlns:a16="http://schemas.microsoft.com/office/drawing/2014/main" id="{401D10D0-055E-4236-9AF3-B5195429FC22}"/>
            </a:ext>
          </a:extLst>
        </xdr:cNvPr>
        <xdr:cNvSpPr txBox="1"/>
      </xdr:nvSpPr>
      <xdr:spPr>
        <a:xfrm>
          <a:off x="9550437" y="3090507"/>
          <a:ext cx="568009" cy="2944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2893139-4430-47BD-8030-A426DE41F701}" type="TxLink">
            <a:rPr lang="en-US" sz="1100" b="0" i="0" u="none" strike="noStrike">
              <a:solidFill>
                <a:srgbClr val="000000"/>
              </a:solidFill>
              <a:latin typeface="Aptos Narrow"/>
              <a:cs typeface="Arial" panose="020B0604020202020204" pitchFamily="34" charset="0"/>
            </a:rPr>
            <a:pPr algn="l"/>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658286</xdr:colOff>
      <xdr:row>17</xdr:row>
      <xdr:rowOff>439</xdr:rowOff>
    </xdr:from>
    <xdr:to>
      <xdr:col>15</xdr:col>
      <xdr:colOff>506629</xdr:colOff>
      <xdr:row>18</xdr:row>
      <xdr:rowOff>110244</xdr:rowOff>
    </xdr:to>
    <xdr:sp macro="" textlink="Arbeitsbereich!L101">
      <xdr:nvSpPr>
        <xdr:cNvPr id="81" name="Textfeld 80">
          <a:extLst>
            <a:ext uri="{FF2B5EF4-FFF2-40B4-BE49-F238E27FC236}">
              <a16:creationId xmlns:a16="http://schemas.microsoft.com/office/drawing/2014/main" id="{DD9A9B5E-8AB0-441E-B614-943C9B5174A3}"/>
            </a:ext>
          </a:extLst>
        </xdr:cNvPr>
        <xdr:cNvSpPr txBox="1"/>
      </xdr:nvSpPr>
      <xdr:spPr>
        <a:xfrm>
          <a:off x="9569453" y="3313022"/>
          <a:ext cx="568009" cy="2897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E075D64-7810-46D1-9D8F-AD1691D35BFE}" type="TxLink">
            <a:rPr lang="en-US" sz="1100" b="0" i="0" u="none" strike="noStrike">
              <a:solidFill>
                <a:srgbClr val="000000"/>
              </a:solidFill>
              <a:latin typeface="Aptos Narrow"/>
              <a:cs typeface="Arial" panose="020B0604020202020204" pitchFamily="34" charset="0"/>
            </a:rPr>
            <a:pPr algn="l"/>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659334</xdr:colOff>
      <xdr:row>18</xdr:row>
      <xdr:rowOff>35782</xdr:rowOff>
    </xdr:from>
    <xdr:to>
      <xdr:col>15</xdr:col>
      <xdr:colOff>514027</xdr:colOff>
      <xdr:row>19</xdr:row>
      <xdr:rowOff>148150</xdr:rowOff>
    </xdr:to>
    <xdr:sp macro="" textlink="Arbeitsbereich!L100">
      <xdr:nvSpPr>
        <xdr:cNvPr id="86" name="Textfeld 85">
          <a:extLst>
            <a:ext uri="{FF2B5EF4-FFF2-40B4-BE49-F238E27FC236}">
              <a16:creationId xmlns:a16="http://schemas.microsoft.com/office/drawing/2014/main" id="{01FA15C2-0873-4865-A312-C0E066CE3DA1}"/>
            </a:ext>
          </a:extLst>
        </xdr:cNvPr>
        <xdr:cNvSpPr txBox="1"/>
      </xdr:nvSpPr>
      <xdr:spPr>
        <a:xfrm>
          <a:off x="9570501" y="3528282"/>
          <a:ext cx="574359" cy="292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977CA1F-8CB7-4EF9-963A-774459DF3134}" type="TxLink">
            <a:rPr lang="en-US" sz="1100" b="0" i="0" u="none" strike="noStrike">
              <a:solidFill>
                <a:srgbClr val="000000"/>
              </a:solidFill>
              <a:latin typeface="Aptos Narrow"/>
              <a:cs typeface="Arial" panose="020B0604020202020204" pitchFamily="34" charset="0"/>
            </a:rPr>
            <a:pPr algn="l"/>
            <a:t>1</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19</xdr:col>
      <xdr:colOff>565396</xdr:colOff>
      <xdr:row>15</xdr:row>
      <xdr:rowOff>148111</xdr:rowOff>
    </xdr:from>
    <xdr:to>
      <xdr:col>20</xdr:col>
      <xdr:colOff>114832</xdr:colOff>
      <xdr:row>19</xdr:row>
      <xdr:rowOff>111097</xdr:rowOff>
    </xdr:to>
    <xdr:grpSp>
      <xdr:nvGrpSpPr>
        <xdr:cNvPr id="111" name="Gruppieren 110">
          <a:extLst>
            <a:ext uri="{FF2B5EF4-FFF2-40B4-BE49-F238E27FC236}">
              <a16:creationId xmlns:a16="http://schemas.microsoft.com/office/drawing/2014/main" id="{A4DBEC14-BD3D-4730-9751-A398DBC82033}"/>
            </a:ext>
          </a:extLst>
        </xdr:cNvPr>
        <xdr:cNvGrpSpPr/>
      </xdr:nvGrpSpPr>
      <xdr:grpSpPr>
        <a:xfrm>
          <a:off x="16392771" y="3021486"/>
          <a:ext cx="311436" cy="661486"/>
          <a:chOff x="7354071" y="2875841"/>
          <a:chExt cx="272832" cy="706388"/>
        </a:xfrm>
      </xdr:grpSpPr>
      <xdr:sp macro="" textlink="">
        <xdr:nvSpPr>
          <xdr:cNvPr id="112" name="Rechteck: abgerundete Ecken 111">
            <a:extLst>
              <a:ext uri="{FF2B5EF4-FFF2-40B4-BE49-F238E27FC236}">
                <a16:creationId xmlns:a16="http://schemas.microsoft.com/office/drawing/2014/main" id="{004BE442-EBB3-C755-FBF2-9E756DA2712D}"/>
              </a:ext>
            </a:extLst>
          </xdr:cNvPr>
          <xdr:cNvSpPr/>
        </xdr:nvSpPr>
        <xdr:spPr>
          <a:xfrm>
            <a:off x="7354071" y="2875841"/>
            <a:ext cx="272832" cy="706388"/>
          </a:xfrm>
          <a:prstGeom prst="roundRect">
            <a:avLst/>
          </a:prstGeom>
          <a:solidFill>
            <a:schemeClr val="bg1">
              <a:alpha val="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113" name="Ellipse 112">
            <a:extLst>
              <a:ext uri="{FF2B5EF4-FFF2-40B4-BE49-F238E27FC236}">
                <a16:creationId xmlns:a16="http://schemas.microsoft.com/office/drawing/2014/main" id="{2C2906D9-CC17-F48F-19F8-7EF150A8AEF5}"/>
              </a:ext>
            </a:extLst>
          </xdr:cNvPr>
          <xdr:cNvSpPr/>
        </xdr:nvSpPr>
        <xdr:spPr>
          <a:xfrm>
            <a:off x="7400707" y="2916660"/>
            <a:ext cx="180000" cy="181480"/>
          </a:xfrm>
          <a:prstGeom prst="ellipse">
            <a:avLst/>
          </a:prstGeom>
          <a:solidFill>
            <a:srgbClr val="FF000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114" name="Ellipse 113">
            <a:extLst>
              <a:ext uri="{FF2B5EF4-FFF2-40B4-BE49-F238E27FC236}">
                <a16:creationId xmlns:a16="http://schemas.microsoft.com/office/drawing/2014/main" id="{B6B6E8D9-2972-BB8E-03A4-C7436CC09CD7}"/>
              </a:ext>
            </a:extLst>
          </xdr:cNvPr>
          <xdr:cNvSpPr/>
        </xdr:nvSpPr>
        <xdr:spPr>
          <a:xfrm>
            <a:off x="7398893" y="3143112"/>
            <a:ext cx="180000" cy="181478"/>
          </a:xfrm>
          <a:prstGeom prst="ellipse">
            <a:avLst/>
          </a:prstGeom>
          <a:solidFill>
            <a:srgbClr val="FFFF0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sp macro="" textlink="">
        <xdr:nvSpPr>
          <xdr:cNvPr id="115" name="Ellipse 114">
            <a:extLst>
              <a:ext uri="{FF2B5EF4-FFF2-40B4-BE49-F238E27FC236}">
                <a16:creationId xmlns:a16="http://schemas.microsoft.com/office/drawing/2014/main" id="{9E5731D6-FBBA-9076-2EE0-0158E405A96E}"/>
              </a:ext>
            </a:extLst>
          </xdr:cNvPr>
          <xdr:cNvSpPr/>
        </xdr:nvSpPr>
        <xdr:spPr>
          <a:xfrm>
            <a:off x="7404952" y="3363054"/>
            <a:ext cx="180000" cy="181479"/>
          </a:xfrm>
          <a:prstGeom prst="ellipse">
            <a:avLst/>
          </a:prstGeom>
          <a:solidFill>
            <a:srgbClr val="00B050"/>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grpSp>
    <xdr:clientData/>
  </xdr:twoCellAnchor>
  <xdr:twoCellAnchor>
    <xdr:from>
      <xdr:col>18</xdr:col>
      <xdr:colOff>677523</xdr:colOff>
      <xdr:row>15</xdr:row>
      <xdr:rowOff>110543</xdr:rowOff>
    </xdr:from>
    <xdr:to>
      <xdr:col>19</xdr:col>
      <xdr:colOff>527453</xdr:colOff>
      <xdr:row>17</xdr:row>
      <xdr:rowOff>38837</xdr:rowOff>
    </xdr:to>
    <xdr:sp macro="" textlink="Arbeitsbereich!O102">
      <xdr:nvSpPr>
        <xdr:cNvPr id="116" name="Textfeld 115">
          <a:extLst>
            <a:ext uri="{FF2B5EF4-FFF2-40B4-BE49-F238E27FC236}">
              <a16:creationId xmlns:a16="http://schemas.microsoft.com/office/drawing/2014/main" id="{74BFFA09-2A16-48F9-A1CE-C552A7811CFD}"/>
            </a:ext>
          </a:extLst>
        </xdr:cNvPr>
        <xdr:cNvSpPr txBox="1"/>
      </xdr:nvSpPr>
      <xdr:spPr>
        <a:xfrm>
          <a:off x="12467356" y="3063293"/>
          <a:ext cx="569597" cy="2881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84764AD-3691-4A03-91BD-089872A1B0AE}" type="TxLink">
            <a:rPr lang="en-US" sz="1100" b="0" i="0" u="none" strike="noStrike">
              <a:solidFill>
                <a:srgbClr val="000000"/>
              </a:solidFill>
              <a:latin typeface="Aptos Narrow"/>
              <a:cs typeface="Arial" panose="020B0604020202020204" pitchFamily="34" charset="0"/>
            </a:rPr>
            <a:pPr algn="r"/>
            <a:t>#DIV/0!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18</xdr:col>
      <xdr:colOff>696539</xdr:colOff>
      <xdr:row>16</xdr:row>
      <xdr:rowOff>149966</xdr:rowOff>
    </xdr:from>
    <xdr:to>
      <xdr:col>19</xdr:col>
      <xdr:colOff>544881</xdr:colOff>
      <xdr:row>18</xdr:row>
      <xdr:rowOff>76680</xdr:rowOff>
    </xdr:to>
    <xdr:sp macro="" textlink="Arbeitsbereich!O101">
      <xdr:nvSpPr>
        <xdr:cNvPr id="117" name="Textfeld 116">
          <a:extLst>
            <a:ext uri="{FF2B5EF4-FFF2-40B4-BE49-F238E27FC236}">
              <a16:creationId xmlns:a16="http://schemas.microsoft.com/office/drawing/2014/main" id="{741AE223-EB4B-47F2-A481-00C579C056FC}"/>
            </a:ext>
          </a:extLst>
        </xdr:cNvPr>
        <xdr:cNvSpPr txBox="1"/>
      </xdr:nvSpPr>
      <xdr:spPr>
        <a:xfrm>
          <a:off x="12486372" y="3282633"/>
          <a:ext cx="568009" cy="286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15AA5F74-F412-4AA3-9E35-8DCF3CC06E7E}" type="TxLink">
            <a:rPr lang="en-US" sz="1100" b="0" i="0" u="none" strike="noStrike">
              <a:solidFill>
                <a:srgbClr val="000000"/>
              </a:solidFill>
              <a:latin typeface="Aptos Narrow"/>
              <a:cs typeface="Arial" panose="020B0604020202020204" pitchFamily="34" charset="0"/>
            </a:rPr>
            <a:pPr algn="r"/>
            <a:t>#DIV/0!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18</xdr:col>
      <xdr:colOff>697587</xdr:colOff>
      <xdr:row>18</xdr:row>
      <xdr:rowOff>2218</xdr:rowOff>
    </xdr:from>
    <xdr:to>
      <xdr:col>19</xdr:col>
      <xdr:colOff>545929</xdr:colOff>
      <xdr:row>19</xdr:row>
      <xdr:rowOff>111411</xdr:rowOff>
    </xdr:to>
    <xdr:sp macro="" textlink="Arbeitsbereich!O100">
      <xdr:nvSpPr>
        <xdr:cNvPr id="118" name="Textfeld 117">
          <a:extLst>
            <a:ext uri="{FF2B5EF4-FFF2-40B4-BE49-F238E27FC236}">
              <a16:creationId xmlns:a16="http://schemas.microsoft.com/office/drawing/2014/main" id="{FB11BFE2-4C2A-4291-BE8D-9B65C50FEB5E}"/>
            </a:ext>
          </a:extLst>
        </xdr:cNvPr>
        <xdr:cNvSpPr txBox="1"/>
      </xdr:nvSpPr>
      <xdr:spPr>
        <a:xfrm>
          <a:off x="12487420" y="3494718"/>
          <a:ext cx="568009" cy="2891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B49624E-0D13-4080-9CD0-77C516C8E0E4}" type="TxLink">
            <a:rPr lang="en-US" sz="1100" b="0" i="0" u="none" strike="noStrike">
              <a:solidFill>
                <a:srgbClr val="000000"/>
              </a:solidFill>
              <a:latin typeface="Aptos Narrow"/>
              <a:cs typeface="Arial" panose="020B0604020202020204" pitchFamily="34" charset="0"/>
            </a:rPr>
            <a:pPr algn="r"/>
            <a:t>#DIV/0!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20</xdr:col>
      <xdr:colOff>165138</xdr:colOff>
      <xdr:row>15</xdr:row>
      <xdr:rowOff>99657</xdr:rowOff>
    </xdr:from>
    <xdr:to>
      <xdr:col>21</xdr:col>
      <xdr:colOff>19832</xdr:colOff>
      <xdr:row>17</xdr:row>
      <xdr:rowOff>37476</xdr:rowOff>
    </xdr:to>
    <xdr:sp macro="" textlink="Arbeitsbereich!N102">
      <xdr:nvSpPr>
        <xdr:cNvPr id="119" name="Textfeld 118">
          <a:extLst>
            <a:ext uri="{FF2B5EF4-FFF2-40B4-BE49-F238E27FC236}">
              <a16:creationId xmlns:a16="http://schemas.microsoft.com/office/drawing/2014/main" id="{8148088B-F811-4E55-8777-D9BC1022C12B}"/>
            </a:ext>
          </a:extLst>
        </xdr:cNvPr>
        <xdr:cNvSpPr txBox="1"/>
      </xdr:nvSpPr>
      <xdr:spPr>
        <a:xfrm>
          <a:off x="13394305" y="3052407"/>
          <a:ext cx="574360" cy="2976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8365CA5-16B1-4160-ABAB-CC9B3C8F97DF}" type="TxLink">
            <a:rPr lang="en-US" sz="1100" b="0" i="0" u="none" strike="noStrike">
              <a:solidFill>
                <a:srgbClr val="000000"/>
              </a:solidFill>
              <a:latin typeface="Aptos Narrow"/>
              <a:cs typeface="Arial" panose="020B0604020202020204" pitchFamily="34" charset="0"/>
            </a:rPr>
            <a:pPr algn="l"/>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20</xdr:col>
      <xdr:colOff>184154</xdr:colOff>
      <xdr:row>16</xdr:row>
      <xdr:rowOff>148605</xdr:rowOff>
    </xdr:from>
    <xdr:to>
      <xdr:col>21</xdr:col>
      <xdr:colOff>38848</xdr:colOff>
      <xdr:row>18</xdr:row>
      <xdr:rowOff>75319</xdr:rowOff>
    </xdr:to>
    <xdr:sp macro="" textlink="Arbeitsbereich!N101">
      <xdr:nvSpPr>
        <xdr:cNvPr id="120" name="Textfeld 119">
          <a:extLst>
            <a:ext uri="{FF2B5EF4-FFF2-40B4-BE49-F238E27FC236}">
              <a16:creationId xmlns:a16="http://schemas.microsoft.com/office/drawing/2014/main" id="{F0C688B0-816F-40A4-B521-7735873EC91E}"/>
            </a:ext>
          </a:extLst>
        </xdr:cNvPr>
        <xdr:cNvSpPr txBox="1"/>
      </xdr:nvSpPr>
      <xdr:spPr>
        <a:xfrm>
          <a:off x="13413321" y="3281272"/>
          <a:ext cx="574360" cy="2865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883511E-B3B1-4D1D-ABEC-114D446F1003}" type="TxLink">
            <a:rPr lang="en-US" sz="1100" b="0" i="0" u="none" strike="noStrike">
              <a:solidFill>
                <a:srgbClr val="000000"/>
              </a:solidFill>
              <a:latin typeface="Aptos Narrow"/>
              <a:cs typeface="Arial" panose="020B0604020202020204" pitchFamily="34" charset="0"/>
            </a:rPr>
            <a:pPr algn="l"/>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20</xdr:col>
      <xdr:colOff>197902</xdr:colOff>
      <xdr:row>18</xdr:row>
      <xdr:rowOff>857</xdr:rowOff>
    </xdr:from>
    <xdr:to>
      <xdr:col>21</xdr:col>
      <xdr:colOff>43071</xdr:colOff>
      <xdr:row>19</xdr:row>
      <xdr:rowOff>110050</xdr:rowOff>
    </xdr:to>
    <xdr:sp macro="" textlink="Arbeitsbereich!N100">
      <xdr:nvSpPr>
        <xdr:cNvPr id="121" name="Textfeld 120">
          <a:extLst>
            <a:ext uri="{FF2B5EF4-FFF2-40B4-BE49-F238E27FC236}">
              <a16:creationId xmlns:a16="http://schemas.microsoft.com/office/drawing/2014/main" id="{1EF9502E-41B6-4CA5-8CB5-054FDE45E5CE}"/>
            </a:ext>
          </a:extLst>
        </xdr:cNvPr>
        <xdr:cNvSpPr txBox="1"/>
      </xdr:nvSpPr>
      <xdr:spPr>
        <a:xfrm>
          <a:off x="13427069" y="3493357"/>
          <a:ext cx="564835" cy="2891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A140AB7-E6BB-47DC-A78B-2E265273B851}" type="TxLink">
            <a:rPr lang="en-US" sz="1100" b="0" i="0" u="none" strike="noStrike">
              <a:solidFill>
                <a:srgbClr val="000000"/>
              </a:solidFill>
              <a:latin typeface="Aptos Narrow"/>
              <a:cs typeface="Arial" panose="020B0604020202020204" pitchFamily="34" charset="0"/>
            </a:rPr>
            <a:pPr algn="l"/>
            <a:t>0</a:t>
          </a:fld>
          <a:endParaRPr lang="de-AT" sz="1800">
            <a:solidFill>
              <a:srgbClr val="831933"/>
            </a:solidFill>
            <a:latin typeface="Arial" panose="020B0604020202020204" pitchFamily="34" charset="0"/>
            <a:cs typeface="Arial" panose="020B0604020202020204" pitchFamily="34" charset="0"/>
          </a:endParaRPr>
        </a:p>
      </xdr:txBody>
    </xdr:sp>
    <xdr:clientData/>
  </xdr:twoCellAnchor>
  <xdr:twoCellAnchor>
    <xdr:from>
      <xdr:col>14</xdr:col>
      <xdr:colOff>161925</xdr:colOff>
      <xdr:row>6</xdr:row>
      <xdr:rowOff>175991</xdr:rowOff>
    </xdr:from>
    <xdr:to>
      <xdr:col>17</xdr:col>
      <xdr:colOff>199715</xdr:colOff>
      <xdr:row>10</xdr:row>
      <xdr:rowOff>53641</xdr:rowOff>
    </xdr:to>
    <xdr:sp macro="" textlink="">
      <xdr:nvSpPr>
        <xdr:cNvPr id="122" name="Textfeld 121">
          <a:extLst>
            <a:ext uri="{FF2B5EF4-FFF2-40B4-BE49-F238E27FC236}">
              <a16:creationId xmlns:a16="http://schemas.microsoft.com/office/drawing/2014/main" id="{38003FDC-2167-4418-9D69-7FD45ACC4D6E}"/>
            </a:ext>
          </a:extLst>
        </xdr:cNvPr>
        <xdr:cNvSpPr txBox="1"/>
      </xdr:nvSpPr>
      <xdr:spPr>
        <a:xfrm>
          <a:off x="11539008" y="1509491"/>
          <a:ext cx="2196790" cy="5973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ANTEIL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AM GESAMTPORTFOLIO</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19</xdr:col>
      <xdr:colOff>323850</xdr:colOff>
      <xdr:row>6</xdr:row>
      <xdr:rowOff>112491</xdr:rowOff>
    </xdr:from>
    <xdr:to>
      <xdr:col>22</xdr:col>
      <xdr:colOff>361640</xdr:colOff>
      <xdr:row>9</xdr:row>
      <xdr:rowOff>170058</xdr:rowOff>
    </xdr:to>
    <xdr:sp macro="" textlink="">
      <xdr:nvSpPr>
        <xdr:cNvPr id="123" name="Textfeld 122">
          <a:extLst>
            <a:ext uri="{FF2B5EF4-FFF2-40B4-BE49-F238E27FC236}">
              <a16:creationId xmlns:a16="http://schemas.microsoft.com/office/drawing/2014/main" id="{20450F48-37EC-4AE5-A943-9C5649F2AD8F}"/>
            </a:ext>
          </a:extLst>
        </xdr:cNvPr>
        <xdr:cNvSpPr txBox="1"/>
      </xdr:nvSpPr>
      <xdr:spPr>
        <a:xfrm>
          <a:off x="15299267" y="1445991"/>
          <a:ext cx="2196790" cy="5973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ANTEIL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AM GESAMTPORTFOLIO</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24</xdr:col>
      <xdr:colOff>508000</xdr:colOff>
      <xdr:row>6</xdr:row>
      <xdr:rowOff>88149</xdr:rowOff>
    </xdr:from>
    <xdr:to>
      <xdr:col>27</xdr:col>
      <xdr:colOff>545790</xdr:colOff>
      <xdr:row>9</xdr:row>
      <xdr:rowOff>145716</xdr:rowOff>
    </xdr:to>
    <xdr:sp macro="" textlink="">
      <xdr:nvSpPr>
        <xdr:cNvPr id="125" name="Textfeld 124">
          <a:extLst>
            <a:ext uri="{FF2B5EF4-FFF2-40B4-BE49-F238E27FC236}">
              <a16:creationId xmlns:a16="http://schemas.microsoft.com/office/drawing/2014/main" id="{81D71F4F-340C-4C5A-8A65-92BD7FA2AB98}"/>
            </a:ext>
          </a:extLst>
        </xdr:cNvPr>
        <xdr:cNvSpPr txBox="1"/>
      </xdr:nvSpPr>
      <xdr:spPr>
        <a:xfrm>
          <a:off x="19081750" y="1421649"/>
          <a:ext cx="2196790" cy="5973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ANTEIL</a:t>
          </a:r>
          <a:r>
            <a:rPr lang="de-AT" sz="1400" baseline="0">
              <a:latin typeface="Arial" panose="020B0604020202020204" pitchFamily="34" charset="0"/>
              <a:cs typeface="Arial" panose="020B0604020202020204" pitchFamily="34" charset="0"/>
            </a:rPr>
            <a:t> </a:t>
          </a:r>
          <a:r>
            <a:rPr lang="de-AT" sz="1400" b="0" i="0" u="none" strike="noStrike" kern="1200" spc="0" baseline="0">
              <a:solidFill>
                <a:srgbClr val="831933"/>
              </a:solidFill>
              <a:latin typeface="Arial" panose="020B0604020202020204" pitchFamily="34" charset="0"/>
              <a:ea typeface="+mn-ea"/>
              <a:cs typeface="Arial" panose="020B0604020202020204" pitchFamily="34" charset="0"/>
            </a:rPr>
            <a:t>AM GESAMTPORTFOLIO</a:t>
          </a:r>
          <a:endParaRPr lang="de-AT" sz="1400">
            <a:solidFill>
              <a:srgbClr val="831933"/>
            </a:solidFill>
            <a:latin typeface="Arial" panose="020B0604020202020204" pitchFamily="34" charset="0"/>
            <a:cs typeface="Arial" panose="020B0604020202020204" pitchFamily="34" charset="0"/>
          </a:endParaRPr>
        </a:p>
      </xdr:txBody>
    </xdr:sp>
    <xdr:clientData/>
  </xdr:twoCellAnchor>
  <xdr:twoCellAnchor>
    <xdr:from>
      <xdr:col>12</xdr:col>
      <xdr:colOff>269773</xdr:colOff>
      <xdr:row>1</xdr:row>
      <xdr:rowOff>76200</xdr:rowOff>
    </xdr:from>
    <xdr:to>
      <xdr:col>17</xdr:col>
      <xdr:colOff>423232</xdr:colOff>
      <xdr:row>41</xdr:row>
      <xdr:rowOff>42334</xdr:rowOff>
    </xdr:to>
    <xdr:sp macro="" textlink="">
      <xdr:nvSpPr>
        <xdr:cNvPr id="61" name="Rechteck 60">
          <a:extLst>
            <a:ext uri="{FF2B5EF4-FFF2-40B4-BE49-F238E27FC236}">
              <a16:creationId xmlns:a16="http://schemas.microsoft.com/office/drawing/2014/main" id="{E0A0D3F6-58A5-4540-BD93-E78110E52702}"/>
            </a:ext>
          </a:extLst>
        </xdr:cNvPr>
        <xdr:cNvSpPr/>
      </xdr:nvSpPr>
      <xdr:spPr>
        <a:xfrm>
          <a:off x="10207523" y="510117"/>
          <a:ext cx="3751792" cy="7162800"/>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twoCellAnchor>
    <xdr:from>
      <xdr:col>17</xdr:col>
      <xdr:colOff>472470</xdr:colOff>
      <xdr:row>1</xdr:row>
      <xdr:rowOff>76200</xdr:rowOff>
    </xdr:from>
    <xdr:to>
      <xdr:col>22</xdr:col>
      <xdr:colOff>680407</xdr:colOff>
      <xdr:row>41</xdr:row>
      <xdr:rowOff>42334</xdr:rowOff>
    </xdr:to>
    <xdr:sp macro="" textlink="">
      <xdr:nvSpPr>
        <xdr:cNvPr id="62" name="Rechteck 61">
          <a:extLst>
            <a:ext uri="{FF2B5EF4-FFF2-40B4-BE49-F238E27FC236}">
              <a16:creationId xmlns:a16="http://schemas.microsoft.com/office/drawing/2014/main" id="{FC49E793-7298-4418-BAE6-06FD16B75491}"/>
            </a:ext>
          </a:extLst>
        </xdr:cNvPr>
        <xdr:cNvSpPr/>
      </xdr:nvSpPr>
      <xdr:spPr>
        <a:xfrm>
          <a:off x="14008553" y="510117"/>
          <a:ext cx="3806271" cy="7162800"/>
        </a:xfrm>
        <a:prstGeom prst="rect">
          <a:avLst/>
        </a:prstGeom>
        <a:noFill/>
        <a:ln w="12700">
          <a:solidFill>
            <a:srgbClr val="AF21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AT" sz="1100"/>
        </a:p>
      </xdr:txBody>
    </xdr:sp>
    <xdr:clientData/>
  </xdr:twoCellAnchor>
</xdr:wsDr>
</file>

<file path=xl/drawings/drawing23.xml><?xml version="1.0" encoding="utf-8"?>
<c:userShapes xmlns:c="http://schemas.openxmlformats.org/drawingml/2006/chart">
  <cdr:relSizeAnchor xmlns:cdr="http://schemas.openxmlformats.org/drawingml/2006/chartDrawing">
    <cdr:from>
      <cdr:x>0.44744</cdr:x>
      <cdr:y>0.51294</cdr:y>
    </cdr:from>
    <cdr:to>
      <cdr:x>0.59344</cdr:x>
      <cdr:y>0.71126</cdr:y>
    </cdr:to>
    <cdr:sp macro="" textlink="Arbeitsbereich!$D$105">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401412" y="675210"/>
          <a:ext cx="457279" cy="26105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0661CECA-832A-422E-9188-15068492B3B5}" type="TxLink">
            <a:rPr lang="en-US" sz="1100" b="0" i="0" u="none" strike="noStrike">
              <a:solidFill>
                <a:srgbClr val="000000"/>
              </a:solidFill>
              <a:latin typeface="Aptos Narrow"/>
              <a:cs typeface="Arial" panose="020B0604020202020204" pitchFamily="34" charset="0"/>
            </a:rPr>
            <a:pPr algn="ctr"/>
            <a:t>11%</a:t>
          </a:fld>
          <a:endParaRPr lang="de-AT" sz="900">
            <a:latin typeface="Arial" panose="020B0604020202020204" pitchFamily="34" charset="0"/>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E$130">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75834" y="691891"/>
          <a:ext cx="455096" cy="2637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615CD958-53A7-4B18-A595-18A61F1795EC}" type="TxLink">
            <a:rPr lang="en-US" sz="1100" b="0" i="0" u="none" strike="noStrike">
              <a:solidFill>
                <a:srgbClr val="000000"/>
              </a:solidFill>
              <a:latin typeface="Aptos Narrow"/>
              <a:cs typeface="Arial" panose="020B0604020202020204" pitchFamily="34" charset="0"/>
            </a:rPr>
            <a:pPr algn="ctr"/>
            <a:t>25%</a:t>
          </a:fld>
          <a:endParaRPr lang="de-AT" sz="900">
            <a:latin typeface="Arial" panose="020B0604020202020204" pitchFamily="34" charset="0"/>
            <a:cs typeface="Arial" panose="020B0604020202020204" pitchFamily="34" charset="0"/>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0.4444</cdr:x>
      <cdr:y>0.50571</cdr:y>
    </cdr:from>
    <cdr:to>
      <cdr:x>0.5904</cdr:x>
      <cdr:y>0.70403</cdr:y>
    </cdr:to>
    <cdr:sp macro="" textlink="Arbeitsbereich!$F$105">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91887" y="665685"/>
          <a:ext cx="457279" cy="26105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2E9A6F9C-A8E7-4BC4-B6BD-FE67A13253E2}" type="TxLink">
            <a:rPr lang="en-US" sz="1100" b="0" i="0" u="none" strike="noStrike">
              <a:solidFill>
                <a:srgbClr val="000000"/>
              </a:solidFill>
              <a:latin typeface="Aptos Narrow"/>
              <a:cs typeface="Arial" panose="020B0604020202020204" pitchFamily="34" charset="0"/>
            </a:rPr>
            <a:pPr algn="ctr"/>
            <a:t>10%</a:t>
          </a:fld>
          <a:endParaRPr lang="de-AT" sz="900">
            <a:latin typeface="Arial" panose="020B0604020202020204" pitchFamily="34" charset="0"/>
            <a:cs typeface="Arial" panose="020B0604020202020204" pitchFamily="34" charset="0"/>
          </a:endParaRPr>
        </a:p>
      </cdr:txBody>
    </cdr:sp>
  </cdr:relSizeAnchor>
</c:userShapes>
</file>

<file path=xl/drawings/drawing26.xml><?xml version="1.0" encoding="utf-8"?>
<c:userShapes xmlns:c="http://schemas.openxmlformats.org/drawingml/2006/chart">
  <cdr:relSizeAnchor xmlns:cdr="http://schemas.openxmlformats.org/drawingml/2006/chartDrawing">
    <cdr:from>
      <cdr:x>0.44744</cdr:x>
      <cdr:y>0.50574</cdr:y>
    </cdr:from>
    <cdr:to>
      <cdr:x>0.59344</cdr:x>
      <cdr:y>0.70406</cdr:y>
    </cdr:to>
    <cdr:sp macro="" textlink="Arbeitsbereich!$G$105">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401412" y="667336"/>
          <a:ext cx="457279" cy="26168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642E5BF0-79E4-4D02-AA55-0D6B5B1A4864}" type="TxLink">
            <a:rPr lang="en-US" sz="1100" b="0" i="0" u="none" strike="noStrike">
              <a:solidFill>
                <a:srgbClr val="000000"/>
              </a:solidFill>
              <a:latin typeface="Aptos Narrow"/>
              <a:cs typeface="Arial" panose="020B0604020202020204" pitchFamily="34" charset="0"/>
            </a:rPr>
            <a:pPr algn="ctr"/>
            <a:t>0%</a:t>
          </a:fld>
          <a:endParaRPr lang="de-AT" sz="900">
            <a:latin typeface="Arial" panose="020B0604020202020204" pitchFamily="34" charset="0"/>
            <a:cs typeface="Arial" panose="020B0604020202020204" pitchFamily="34" charset="0"/>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0.45049</cdr:x>
      <cdr:y>0.51294</cdr:y>
    </cdr:from>
    <cdr:to>
      <cdr:x>0.59649</cdr:x>
      <cdr:y>0.71126</cdr:y>
    </cdr:to>
    <cdr:sp macro="" textlink="Arbeitsbereich!$H$105">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409536" y="675210"/>
          <a:ext cx="456816" cy="26105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2BCBDC48-12A1-41EE-A4F0-C3B95DDB7A83}" type="TxLink">
            <a:rPr lang="en-US" sz="1100" b="0" i="0" u="none" strike="noStrike">
              <a:solidFill>
                <a:srgbClr val="000000"/>
              </a:solidFill>
              <a:latin typeface="Aptos Narrow"/>
              <a:cs typeface="Arial" panose="020B0604020202020204" pitchFamily="34" charset="0"/>
            </a:rPr>
            <a:pPr algn="ctr"/>
            <a:t>33%</a:t>
          </a:fld>
          <a:endParaRPr lang="de-AT" sz="900">
            <a:latin typeface="Arial" panose="020B0604020202020204" pitchFamily="34" charset="0"/>
            <a:cs typeface="Arial" panose="020B0604020202020204" pitchFamily="34" charset="0"/>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0.4444</cdr:x>
      <cdr:y>0.49847</cdr:y>
    </cdr:from>
    <cdr:to>
      <cdr:x>0.5904</cdr:x>
      <cdr:y>0.69679</cdr:y>
    </cdr:to>
    <cdr:sp macro="" textlink="Arbeitsbereich!$I$105">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90486" y="656160"/>
          <a:ext cx="456816" cy="26105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493B5AE6-A3F3-4EB9-A90C-015F8D8DF1EE}" type="TxLink">
            <a:rPr lang="en-US" sz="1100" b="0" i="0" u="none" strike="noStrike">
              <a:solidFill>
                <a:srgbClr val="000000"/>
              </a:solidFill>
              <a:latin typeface="Aptos Narrow"/>
              <a:cs typeface="Arial" panose="020B0604020202020204" pitchFamily="34" charset="0"/>
            </a:rPr>
            <a:pPr algn="ctr"/>
            <a:t>#DIV/0!</a:t>
          </a:fld>
          <a:endParaRPr lang="de-AT" sz="900">
            <a:latin typeface="Arial" panose="020B0604020202020204" pitchFamily="34" charset="0"/>
            <a:cs typeface="Arial" panose="020B0604020202020204"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G$130">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75834" y="691891"/>
          <a:ext cx="455096" cy="2637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4B4FB2DA-D4EE-4E4C-9AAB-8F66EF192A72}" type="TxLink">
            <a:rPr lang="en-US" sz="1100" b="0" i="0" u="none" strike="noStrike">
              <a:solidFill>
                <a:srgbClr val="000000"/>
              </a:solidFill>
              <a:latin typeface="Aptos Narrow"/>
              <a:cs typeface="Arial" panose="020B0604020202020204" pitchFamily="34" charset="0"/>
            </a:rPr>
            <a:pPr algn="ctr"/>
            <a:t>0%</a:t>
          </a:fld>
          <a:endParaRPr lang="de-AT" sz="900">
            <a:latin typeface="Arial" panose="020B0604020202020204" pitchFamily="34" charset="0"/>
            <a:cs typeface="Arial" panose="020B0604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I$130">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75834" y="691891"/>
          <a:ext cx="455096" cy="2637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73016B9C-D0A8-4CAD-9DDB-173662FF0026}" type="TxLink">
            <a:rPr lang="en-US" sz="1100" b="0" i="0" u="none" strike="noStrike">
              <a:solidFill>
                <a:srgbClr val="000000"/>
              </a:solidFill>
              <a:latin typeface="Aptos Narrow"/>
              <a:cs typeface="Arial" panose="020B0604020202020204" pitchFamily="34" charset="0"/>
            </a:rPr>
            <a:pPr algn="ctr"/>
            <a:t>50%</a:t>
          </a:fld>
          <a:endParaRPr lang="de-AT" sz="900">
            <a:latin typeface="Arial" panose="020B0604020202020204" pitchFamily="34" charset="0"/>
            <a:cs typeface="Arial" panose="020B0604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K$130">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75834" y="691891"/>
          <a:ext cx="455096" cy="2637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1A13AB70-0E46-4865-848D-BB2B3340D809}" type="TxLink">
            <a:rPr lang="en-US" sz="1100" b="0" i="0" u="none" strike="noStrike">
              <a:solidFill>
                <a:srgbClr val="000000"/>
              </a:solidFill>
              <a:latin typeface="Aptos Narrow"/>
              <a:cs typeface="Arial" panose="020B0604020202020204" pitchFamily="34" charset="0"/>
            </a:rPr>
            <a:pPr algn="ctr"/>
            <a:t>0%</a:t>
          </a:fld>
          <a:endParaRPr lang="de-AT" sz="900">
            <a:latin typeface="Arial" panose="020B0604020202020204" pitchFamily="34" charset="0"/>
            <a:cs typeface="Arial" panose="020B0604020202020204" pitchFamily="34" charset="0"/>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M$130">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75834" y="691891"/>
          <a:ext cx="455096" cy="2637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572997DC-91DF-45C8-AED2-E7FC3F436762}" type="TxLink">
            <a:rPr lang="en-US" sz="1100" b="0" i="0" u="none" strike="noStrike">
              <a:solidFill>
                <a:srgbClr val="000000"/>
              </a:solidFill>
              <a:latin typeface="Aptos Narrow"/>
              <a:cs typeface="Arial" panose="020B0604020202020204" pitchFamily="34" charset="0"/>
            </a:rPr>
            <a:pPr algn="ctr"/>
            <a:t>#DIV/0!</a:t>
          </a:fld>
          <a:endParaRPr lang="de-AT" sz="900">
            <a:latin typeface="Arial" panose="020B0604020202020204" pitchFamily="34" charset="0"/>
            <a:cs typeface="Arial" panose="020B0604020202020204" pitchFamily="34" charset="0"/>
          </a:endParaRPr>
        </a:p>
      </cdr:txBody>
    </cdr:sp>
  </cdr:relSizeAnchor>
</c:userShapes>
</file>

<file path=xl/drawings/drawing33.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I$4">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375834" y="691891"/>
          <a:ext cx="455096" cy="26378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D620CF9F-6746-4686-BDAE-6B4FC8B4FFF6}" type="TxLink">
            <a:rPr lang="en-US" sz="1100" b="0" i="0" u="none" strike="noStrike">
              <a:solidFill>
                <a:srgbClr val="000000"/>
              </a:solidFill>
              <a:latin typeface="Aptos Narrow"/>
              <a:cs typeface="Arial" panose="020B0604020202020204" pitchFamily="34" charset="0"/>
            </a:rPr>
            <a:pPr algn="ctr"/>
            <a:t>25%</a:t>
          </a:fld>
          <a:endParaRPr lang="de-AT" sz="900">
            <a:latin typeface="Arial" panose="020B0604020202020204" pitchFamily="34" charset="0"/>
            <a:cs typeface="Arial" panose="020B0604020202020204" pitchFamily="34" charset="0"/>
          </a:endParaRPr>
        </a:p>
      </cdr:txBody>
    </cdr:sp>
  </cdr:relSizeAnchor>
</c:userShapes>
</file>

<file path=xl/drawings/drawing34.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K$4">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644477" y="708046"/>
          <a:ext cx="543986" cy="26994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991EAF28-87C3-4F07-A04A-8D10E5BC25CE}" type="TxLink">
            <a:rPr lang="en-US" sz="1100" b="0" i="0" u="none" strike="noStrike">
              <a:solidFill>
                <a:srgbClr val="000000"/>
              </a:solidFill>
              <a:latin typeface="Aptos Narrow"/>
              <a:cs typeface="Arial" panose="020B0604020202020204" pitchFamily="34" charset="0"/>
            </a:rPr>
            <a:pPr algn="ctr"/>
            <a:t>50%</a:t>
          </a:fld>
          <a:endParaRPr lang="de-AT" sz="900">
            <a:latin typeface="Arial" panose="020B0604020202020204" pitchFamily="34" charset="0"/>
            <a:cs typeface="Arial" panose="020B0604020202020204" pitchFamily="34" charset="0"/>
          </a:endParaRPr>
        </a:p>
      </cdr:txBody>
    </cdr:sp>
  </cdr:relSizeAnchor>
</c:userShapes>
</file>

<file path=xl/drawings/drawing35.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M$4">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644477" y="708046"/>
          <a:ext cx="543986" cy="26994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A4F83D1A-7C9E-4C85-980B-C0E47629F22D}" type="TxLink">
            <a:rPr lang="en-US" sz="1100" b="0" i="0" u="none" strike="noStrike">
              <a:solidFill>
                <a:srgbClr val="000000"/>
              </a:solidFill>
              <a:latin typeface="Aptos Narrow"/>
              <a:cs typeface="Arial" panose="020B0604020202020204" pitchFamily="34" charset="0"/>
            </a:rPr>
            <a:pPr algn="ctr"/>
            <a:t>25%</a:t>
          </a:fld>
          <a:endParaRPr lang="de-AT" sz="900">
            <a:latin typeface="Arial" panose="020B0604020202020204" pitchFamily="34" charset="0"/>
            <a:cs typeface="Arial" panose="020B0604020202020204" pitchFamily="34" charset="0"/>
          </a:endParaRPr>
        </a:p>
      </cdr:txBody>
    </cdr:sp>
  </cdr:relSizeAnchor>
</c:userShapes>
</file>

<file path=xl/drawings/drawing36.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O$4">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644477" y="708046"/>
          <a:ext cx="543986" cy="26994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C7C6584F-3317-478E-A5B1-B68A5E3EEE9D}" type="TxLink">
            <a:rPr lang="en-US" sz="1100" b="0" i="0" u="none" strike="noStrike">
              <a:solidFill>
                <a:srgbClr val="000000"/>
              </a:solidFill>
              <a:latin typeface="Aptos Narrow"/>
              <a:cs typeface="Arial" panose="020B0604020202020204" pitchFamily="34" charset="0"/>
            </a:rPr>
            <a:pPr algn="ctr"/>
            <a:t>0%</a:t>
          </a:fld>
          <a:endParaRPr lang="de-AT" sz="900">
            <a:latin typeface="Arial" panose="020B0604020202020204" pitchFamily="34" charset="0"/>
            <a:cs typeface="Arial" panose="020B0604020202020204" pitchFamily="34" charset="0"/>
          </a:endParaRPr>
        </a:p>
      </cdr:txBody>
    </cdr:sp>
  </cdr:relSizeAnchor>
</c:userShapes>
</file>

<file path=xl/drawings/drawing37.xml><?xml version="1.0" encoding="utf-8"?>
<c:userShapes xmlns:c="http://schemas.openxmlformats.org/drawingml/2006/chart">
  <cdr:relSizeAnchor xmlns:cdr="http://schemas.openxmlformats.org/drawingml/2006/chartDrawing">
    <cdr:from>
      <cdr:x>0.44136</cdr:x>
      <cdr:y>0.52018</cdr:y>
    </cdr:from>
    <cdr:to>
      <cdr:x>0.58736</cdr:x>
      <cdr:y>0.7185</cdr:y>
    </cdr:to>
    <cdr:sp macro="" textlink="Arbeitsbereich!$E$4">
      <cdr:nvSpPr>
        <cdr:cNvPr id="2" name="Textfeld 1">
          <a:extLst xmlns:a="http://schemas.openxmlformats.org/drawingml/2006/main">
            <a:ext uri="{FF2B5EF4-FFF2-40B4-BE49-F238E27FC236}">
              <a16:creationId xmlns:a16="http://schemas.microsoft.com/office/drawing/2014/main" id="{87C5EFD4-228B-C8DD-5D26-7CC56E980090}"/>
            </a:ext>
          </a:extLst>
        </cdr:cNvPr>
        <cdr:cNvSpPr txBox="1"/>
      </cdr:nvSpPr>
      <cdr:spPr>
        <a:xfrm xmlns:a="http://schemas.openxmlformats.org/drawingml/2006/main">
          <a:off x="1644477" y="708046"/>
          <a:ext cx="543986" cy="26994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4B993111-635C-4B26-AEFB-3D9A3976C2D1}" type="TxLink">
            <a:rPr lang="en-US" sz="1100" b="0" i="0" u="none" strike="noStrike">
              <a:solidFill>
                <a:srgbClr val="000000"/>
              </a:solidFill>
              <a:latin typeface="Aptos Narrow"/>
              <a:cs typeface="Arial" panose="020B0604020202020204" pitchFamily="34" charset="0"/>
            </a:rPr>
            <a:pPr algn="ctr"/>
            <a:t>100%</a:t>
          </a:fld>
          <a:endParaRPr lang="de-AT" sz="900">
            <a:latin typeface="Arial" panose="020B0604020202020204" pitchFamily="34" charset="0"/>
            <a:cs typeface="Arial" panose="020B0604020202020204" pitchFamily="34" charset="0"/>
          </a:endParaRPr>
        </a:p>
      </cdr:txBody>
    </cdr:sp>
  </cdr:relSizeAnchor>
</c:userShapes>
</file>

<file path=xl/persons/person.xml><?xml version="1.0" encoding="utf-8"?>
<personList xmlns="http://schemas.microsoft.com/office/spreadsheetml/2018/threadedcomments" xmlns:x="http://schemas.openxmlformats.org/spreadsheetml/2006/main">
  <person displayName="Laboureix Sabrina" id="{7F2897B4-B21C-4167-87B6-0E39A9DEAC8A}" userId="S::Sabrina.Laboureix@vetmeduni.ac.at::a262bf08-ecff-4e98-92bb-8bfd0f171ec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410B5B-E4A9-4AB5-824E-7050DC480119}" name="Tabelle1" displayName="Tabelle1" ref="B4:AP119" totalsRowShown="0" headerRowDxfId="92" headerRowBorderDxfId="91" tableBorderDxfId="90" totalsRowBorderDxfId="89">
  <autoFilter ref="B4:AP119" xr:uid="{45410B5B-E4A9-4AB5-824E-7050DC480119}"/>
  <tableColumns count="41">
    <tableColumn id="38" xr3:uid="{D3B70DDF-9138-4294-AAD3-594F40977039}" name="LV-Nummer" dataDxfId="53"/>
    <tableColumn id="39" xr3:uid="{51ED18B6-1FC6-413B-B831-9C42A9903987}" name="Leistungsbereich" dataDxfId="52"/>
    <tableColumn id="37" xr3:uid="{47672C8E-021C-4251-BC66-59F5EBBE47C1}" name="Kapitelzuordnung" dataDxfId="51"/>
    <tableColumn id="2" xr3:uid="{9D602211-3983-4EFB-AA0A-A61DF6BA61AC}" name="Projektname/Bezeichnung des Vorhabens" dataDxfId="50"/>
    <tableColumn id="35" xr3:uid="{33B7AC2E-A037-49E5-A731-115975BE509D}" name="Kurzbeschreibung (Auslöser/Inhalte/Ziele)" dataDxfId="49"/>
    <tableColumn id="34" xr3:uid="{ED7B54FC-2D44-4745-A037-948177A259A0}" name="Relevante Meilensteine zur Umsetzung laut LV" dataDxfId="48"/>
    <tableColumn id="3" xr3:uid="{BF0BAE7D-D19A-4C55-BF01-C54D63C6E2F6}" name="PL/_x000a_Ansprechperson" dataDxfId="47"/>
    <tableColumn id="4" xr3:uid="{9807EE6A-5089-4723-8AF6-3DCFEB6697DA}" name="PAG" dataDxfId="46"/>
    <tableColumn id="5" xr3:uid="{2EA28B6A-8089-4F77-9AE4-E9F1867B1FF9}" name="Beteiligte Organisationseinheit(en)" dataDxfId="45"/>
    <tableColumn id="6" xr3:uid="{950AECF2-979E-4D88-B9C3-5508551E7AE1}" name="LV-Periode" dataDxfId="44"/>
    <tableColumn id="36" xr3:uid="{40F7FAEE-01D6-47DE-ACB6-28DFA76FBC73}" name="Projektauftrag" dataDxfId="43"/>
    <tableColumn id="21" xr3:uid="{FB494335-5C90-45CD-B95B-363FD05C1EBE}" name="Projektstatusbericht (PSB)" dataDxfId="42"/>
    <tableColumn id="23" xr3:uid="{9982C282-D682-431F-BCB4-00C6E4CA471C}" name="Lenkungs-ausschuss" dataDxfId="41"/>
    <tableColumn id="29" xr3:uid="{D8C3E54A-77F8-4A66-9A14-0DCF37DD4E09}" name="Projekt mit externen Kooperationspartnern?" dataDxfId="40"/>
    <tableColumn id="54" xr3:uid="{5309E2BB-FDF2-4A03-B01F-0FAB9DD9F476}" name="Thema für Begleitgespräch" dataDxfId="39"/>
    <tableColumn id="33" xr3:uid="{61CB3DDB-8EB4-4263-94E4-092851DE8561}" name="Budgeteinbehalt" dataDxfId="38"/>
    <tableColumn id="8" xr3:uid="{C1F6A3FC-5686-4F24-A3B0-5075AA9239DE}" name="Priorität" dataDxfId="37"/>
    <tableColumn id="9" xr3:uid="{1A758382-A50C-4651-8123-BD38582370F6}" name="Risiko" dataDxfId="36"/>
    <tableColumn id="10" xr3:uid="{CEEDE9D4-F17A-4D6E-A1F7-F183C7438647}" name="Start" dataDxfId="35"/>
    <tableColumn id="11" xr3:uid="{B75BB461-00A5-4944-AE5B-C929890FD04E}" name="Ende" dataDxfId="33"/>
    <tableColumn id="12" xr3:uid="{14517CE1-CDE3-4387-B857-1EED2E617F55}" name="Dauer in Werktagen_x000a_errechnet" dataDxfId="34">
      <calculatedColumnFormula>IF(U5="","",NETWORKDAYS(T5,U5,Parameter!$C$4:$C$51))</calculatedColumnFormula>
    </tableColumn>
    <tableColumn id="42" xr3:uid="{7F559C4D-F02A-4867-AE7D-C50CDEC4143D}" name="Kostenstelle/Innenauftrag" dataDxfId="32"/>
    <tableColumn id="48" xr3:uid="{954FE6F6-C0F0-47DC-A4C0-E6BA934C3239}" name="Plankosten 2025" dataDxfId="31"/>
    <tableColumn id="47" xr3:uid="{4593A7FF-6963-4D7B-84F1-8FC90C8571B4}" name="Plankosten 2026" dataDxfId="30"/>
    <tableColumn id="46" xr3:uid="{9294F959-1A14-4942-B267-029AEF41E788}" name="Plankosten 2027" dataDxfId="29"/>
    <tableColumn id="19" xr3:uid="{94380EF8-F024-42A4-BD36-CF55F535E1DF}" name="Plankosten 25-27" dataDxfId="27"/>
    <tableColumn id="56" xr3:uid="{A0CBF6B1-EDCB-4127-9343-B40BD93BE96D}" name="Istkosten 2025" dataDxfId="28"/>
    <tableColumn id="57" xr3:uid="{1A2B4E4E-4E14-4A5F-AE17-E8ABA42E2752}" name="Istkosten 2026" dataDxfId="88"/>
    <tableColumn id="60" xr3:uid="{56EAE46A-8F03-49C6-9C69-39E93A90959D}" name="Istkosten 2027" dataDxfId="87"/>
    <tableColumn id="20" xr3:uid="{4A0F9D63-277E-49A4-89F5-C3795B50F60D}" name="Ist-Kosten (Gesamt)" dataDxfId="86"/>
    <tableColumn id="25" xr3:uid="{7B63D33D-30E8-4CD9-8A47-C25EFD66D910}" name="Ist-Kosten in%" dataDxfId="26">
      <calculatedColumnFormula>IF(AA5="","",Tabelle1[[#This Row],[Ist-Kosten (Gesamt)]]/Tabelle1[[#This Row],[Plankosten 25-27]])</calculatedColumnFormula>
    </tableColumn>
    <tableColumn id="13" xr3:uid="{73A6442F-FB62-4BC2-B445-336BB4CE737D}" name="Projektphase" dataDxfId="22"/>
    <tableColumn id="17" xr3:uid="{DC1831B0-E1AD-47C6-B769-5B61B2CC094D}" name="Ampelstatus Gesamt" dataDxfId="24"/>
    <tableColumn id="18" xr3:uid="{418E506C-12DB-44C4-AE14-0B73D224EFB2}" name="Fertigstellungs-grad (%)" dataDxfId="25" dataCellStyle="Prozent"/>
    <tableColumn id="58" xr3:uid="{0CE779DD-448B-409C-A526-2BD7D27E7287}" name="Dazugehörende Ziele" dataDxfId="85" dataCellStyle="Prozent"/>
    <tableColumn id="53" xr3:uid="{77EDF03F-92B0-4069-BD64-3ADDCF0C5C3A}" name="Status Zusammenfassung (Stand 01/26 - Wibi 25)" dataDxfId="23" dataCellStyle="Prozent"/>
    <tableColumn id="52" xr3:uid="{2192CCE8-4B05-42A9-80AF-109A0E3C6874}" name="Risiken (Stand 01/26 - Wibi 25)" dataDxfId="84" dataCellStyle="Prozent"/>
    <tableColumn id="45" xr3:uid="{C1F53488-22B2-4493-BE99-0C08D97F73CC}" name="Entscheidungsbedarf (Stand 01/26 - Wibi 25)" dataDxfId="83" dataCellStyle="Prozent"/>
    <tableColumn id="50" xr3:uid="{5A632579-E640-4745-A25E-7A9DAC2E8A49}" name="Status Zusammenfassung (Stand 11/25)4" dataDxfId="82" dataCellStyle="Prozent"/>
    <tableColumn id="49" xr3:uid="{B49B1B8B-50CD-4E07-8D13-C955BFBBF106}" name="Risiken (Stand 11/25)5" dataDxfId="81" dataCellStyle="Prozent"/>
    <tableColumn id="27" xr3:uid="{19F5E6CA-B873-4663-A90D-C0051AA89234}" name="Entscheidungsbedarf (Stand 11/25)6" dataDxfId="8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128C2C-C91C-4E74-92E8-6747F7FB7A6C}" name="Tabelle14" displayName="Tabelle14" ref="B6:I114" totalsRowShown="0" headerRowDxfId="79" dataDxfId="77" headerRowBorderDxfId="78" tableBorderDxfId="76" totalsRowBorderDxfId="75">
  <autoFilter ref="B6:I114" xr:uid="{45410B5B-E4A9-4AB5-824E-7050DC480119}"/>
  <tableColumns count="8">
    <tableColumn id="1" xr3:uid="{D185C204-9C55-42C2-A1DD-907C4327F3BA}" name="ID" dataDxfId="74">
      <calculatedColumnFormula>Portfolio_Daten!#REF!</calculatedColumnFormula>
    </tableColumn>
    <tableColumn id="3" xr3:uid="{7E858244-ED24-46AA-BDD5-9B580EA34ADD}" name="LV-Nr." dataDxfId="73">
      <calculatedColumnFormula>Portfolio_Daten!B5</calculatedColumnFormula>
    </tableColumn>
    <tableColumn id="2" xr3:uid="{1EB27CB5-7A38-4C38-B7CC-B392E909E6A7}" name="Kurzbezeichnung des Projekts" dataDxfId="72">
      <calculatedColumnFormula>Portfolio_Daten!E5</calculatedColumnFormula>
    </tableColumn>
    <tableColumn id="10" xr3:uid="{B8F4AC38-243A-46D3-B8F4-C6128DDF5676}" name="Start" dataDxfId="71">
      <calculatedColumnFormula>Portfolio_Daten!T5</calculatedColumnFormula>
    </tableColumn>
    <tableColumn id="11" xr3:uid="{914E60FA-B6DD-4BFA-8FE7-855C23EF32E9}" name="Ende" dataDxfId="70">
      <calculatedColumnFormula>Portfolio_Daten!U5</calculatedColumnFormula>
    </tableColumn>
    <tableColumn id="12" xr3:uid="{C0840976-9951-4E1B-92B3-C287EBBC7A9D}" name="Dauer" dataDxfId="69">
      <calculatedColumnFormula>IF(F7="","",NETWORKDAYS(E7,F7,Parameter!$C$4:$C$51))</calculatedColumnFormula>
    </tableColumn>
    <tableColumn id="13" xr3:uid="{B6C48AA6-D87D-42BD-ABA0-CBAF98B34DB4}" name="Projektphase" dataDxfId="68">
      <calculatedColumnFormula>Portfolio_Daten!AG5</calculatedColumnFormula>
    </tableColumn>
    <tableColumn id="18" xr3:uid="{97A2D14E-8FD8-462E-BC06-64005CCD7458}" name="Fortschritt (%)" dataDxfId="67" dataCellStyle="Prozent">
      <calculatedColumnFormula>Portfolio_Daten!AI5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DCCFA6-42FE-4925-A486-25A23DADC0BA}" name="Tabelle145" displayName="Tabelle145" ref="B4:J115" totalsRowShown="0" headerRowDxfId="66" headerRowBorderDxfId="65" tableBorderDxfId="64" totalsRowBorderDxfId="63">
  <autoFilter ref="B4:J115" xr:uid="{45410B5B-E4A9-4AB5-824E-7050DC480119}"/>
  <tableColumns count="9">
    <tableColumn id="1" xr3:uid="{1FA2FF9F-1503-47B1-BC5F-2448692D1115}" name="#" dataDxfId="62">
      <calculatedColumnFormula>Portfolio_Daten!#REF!</calculatedColumnFormula>
    </tableColumn>
    <tableColumn id="2" xr3:uid="{06A28330-A83B-4B72-B739-FDCC4CB53263}" name="Projekt" dataDxfId="61">
      <calculatedColumnFormula>Portfolio_Daten!E5</calculatedColumnFormula>
    </tableColumn>
    <tableColumn id="22" xr3:uid="{198C1C79-E7E5-4672-9225-8625CD9ECB8C}" name="Projektart" dataDxfId="60">
      <calculatedColumnFormula>#REF!</calculatedColumnFormula>
    </tableColumn>
    <tableColumn id="23" xr3:uid="{92A78E39-0FDD-48A2-BEEA-8B08DF7FDAAD}" name="Projektart für Pipeline" dataDxfId="59">
      <calculatedColumnFormula>VLOOKUP(D5,Parameter!#REF!,2,FALSE)</calculatedColumnFormula>
    </tableColumn>
    <tableColumn id="26" xr3:uid="{BEE14A9E-56B5-4198-84D1-868E230F0BB8}" name="Projektart mit Versatz" dataDxfId="58">
      <calculatedColumnFormula>Tabelle145[[#This Row],[Projektart für Pipeline]]+RAND()*0.9-0.1</calculatedColumnFormula>
    </tableColumn>
    <tableColumn id="13" xr3:uid="{C06D2FB2-BE5D-4180-8917-4598DD31A6BD}" name="Projektphase" dataDxfId="57">
      <calculatedColumnFormula>Portfolio_Daten!AG5</calculatedColumnFormula>
    </tableColumn>
    <tableColumn id="24" xr3:uid="{57EDA946-AEA2-417A-8837-F658C6076FB4}" name="Projektphase für Pipeline" dataDxfId="56">
      <calculatedColumnFormula>VLOOKUP(G5,Parameter!$P$4:$Q$9,2,FALSE)</calculatedColumnFormula>
    </tableColumn>
    <tableColumn id="27" xr3:uid="{FF2BF0B6-8F39-4627-A46A-986A9A3DEAC4}" name="Projektphase mit Versatz" dataDxfId="55">
      <calculatedColumnFormula>Tabelle145[[#This Row],[Projektphase für Pipeline]]+RAND()*0.9-0.1</calculatedColumnFormula>
    </tableColumn>
    <tableColumn id="18" xr3:uid="{7C68B625-DB8A-4A8E-8236-51E3BD3D453E}" name="Fortschritt (%)" dataDxfId="54" dataCellStyle="Prozent">
      <calculatedColumnFormula>Portfolio_Daten!AI5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14" dT="2025-06-27T08:34:14.16" personId="{7F2897B4-B21C-4167-87B6-0E39A9DEAC8A}" id="{6D7E13FF-0C71-439B-B9D2-7482EE16C632}">
    <text>Annahme 21 Arbeitstage pro Monat</text>
  </threadedComment>
  <threadedComment ref="D114" dT="2025-06-27T08:34:20.08" personId="{7F2897B4-B21C-4167-87B6-0E39A9DEAC8A}" id="{19644FA8-79AF-47C8-BE7B-771669E77D23}">
    <text>gerundet</text>
  </threadedComment>
  <threadedComment ref="N123" dT="2025-12-04T09:20:17.93" personId="{7F2897B4-B21C-4167-87B6-0E39A9DEAC8A}" id="{2F6FBA47-8E38-476B-8B6E-8D93FED96EC4}">
    <text>Achtung bei Formel: da keine Werte vorhanden, wurde die Formel mit WENNFEHLER berechnet. Sobald Werte da sind, dann wie bei Nicht gestartet etc. mit …=0;""...</text>
  </threadedComment>
  <threadedComment ref="O123" dT="2025-12-04T09:20:17.93" personId="{7F2897B4-B21C-4167-87B6-0E39A9DEAC8A}" id="{77B9DED6-2BEF-4B80-BC99-3FE37B2EB011}">
    <text>Achtung bei Formel: da keine Werte vorhanden, wurde die Formel mit WENNFEHLER berechnet. Sobald Werte da sind, dann wie bei Nicht gestartet etc. mit …=0;""...</text>
  </threadedComment>
  <threadedComment ref="AA123" dT="2025-12-04T09:20:17.93" personId="{7F2897B4-B21C-4167-87B6-0E39A9DEAC8A}" id="{5D02FA89-1D52-4E88-9E21-A39E9E5421FF}">
    <text>Achtung bei Formel: da keine Werte vorhanden, wurde die Formel mit WENNFEHLER berechnet. Sobald Werte da sind, dann wie bei Nicht gestartet etc. mit …=0;""...</text>
  </threadedComment>
  <threadedComment ref="AB123" dT="2025-12-04T09:20:17.93" personId="{7F2897B4-B21C-4167-87B6-0E39A9DEAC8A}" id="{F1C7B15D-5A4B-45F1-818C-6B8A618450F1}">
    <text>Achtung bei Formel: da keine Werte vorhanden, wurde die Formel mit WENNFEHLER berechnet. Sobald Werte da sind, dann wie bei Nicht gestartet etc. mit …=0;""...</text>
  </threadedComment>
</ThreadedComments>
</file>

<file path=xl/threadedComments/threadedComment2.xml><?xml version="1.0" encoding="utf-8"?>
<ThreadedComments xmlns="http://schemas.microsoft.com/office/spreadsheetml/2018/threadedcomments" xmlns:x="http://schemas.openxmlformats.org/spreadsheetml/2006/main">
  <threadedComment ref="O8" dT="2026-03-10T10:16:01.91" personId="{7F2897B4-B21C-4167-87B6-0E39A9DEAC8A}" id="{F96954CB-5E8F-42E5-9F87-9B4BCD326EAE}">
    <text>Kooperation mit Elefantenuni</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2.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3.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D20D3-AEE6-4D91-85DE-74F68CDB4645}">
  <sheetPr>
    <tabColor theme="0" tint="-0.499984740745262"/>
  </sheetPr>
  <dimension ref="A1:N53"/>
  <sheetViews>
    <sheetView showGridLines="0" tabSelected="1" topLeftCell="A14" zoomScale="78" zoomScaleNormal="78" workbookViewId="0">
      <selection activeCell="C28" sqref="C28"/>
    </sheetView>
  </sheetViews>
  <sheetFormatPr baseColWidth="10" defaultColWidth="10.81640625" defaultRowHeight="14" x14ac:dyDescent="0.3"/>
  <cols>
    <col min="1" max="1" width="10.81640625" style="2"/>
    <col min="2" max="2" width="4.7265625" style="2" customWidth="1"/>
    <col min="3" max="3" width="25.453125" style="2" customWidth="1"/>
    <col min="4" max="4" width="11.54296875" style="2" bestFit="1" customWidth="1"/>
    <col min="5" max="5" width="10.1796875" style="2" customWidth="1"/>
    <col min="6" max="6" width="16.81640625" style="2" bestFit="1" customWidth="1"/>
    <col min="7" max="16384" width="10.81640625" style="2"/>
  </cols>
  <sheetData>
    <row r="1" spans="1:14" ht="6.65" customHeight="1" x14ac:dyDescent="0.3">
      <c r="C1" s="38"/>
    </row>
    <row r="2" spans="1:14" s="44" customFormat="1" ht="34" customHeight="1" x14ac:dyDescent="0.35">
      <c r="A2" s="134" t="s">
        <v>54</v>
      </c>
      <c r="B2" s="134"/>
      <c r="C2" s="134"/>
      <c r="D2" s="134"/>
      <c r="E2" s="134"/>
      <c r="F2" s="134"/>
      <c r="G2" s="134"/>
      <c r="H2" s="134"/>
      <c r="I2" s="134"/>
      <c r="J2" s="134"/>
      <c r="K2" s="134"/>
      <c r="L2" s="134"/>
      <c r="M2" s="134"/>
      <c r="N2" s="134"/>
    </row>
    <row r="3" spans="1:14" ht="7" customHeight="1" x14ac:dyDescent="0.3">
      <c r="C3" s="38"/>
    </row>
    <row r="4" spans="1:14" ht="32" customHeight="1" x14ac:dyDescent="0.3">
      <c r="A4" s="90" t="s">
        <v>8</v>
      </c>
      <c r="B4" s="135" t="s">
        <v>299</v>
      </c>
      <c r="C4" s="135"/>
      <c r="D4" s="135"/>
      <c r="E4" s="135"/>
      <c r="F4" s="135"/>
      <c r="G4" s="135"/>
      <c r="H4" s="135"/>
      <c r="I4" s="135"/>
      <c r="J4" s="135"/>
      <c r="K4" s="135"/>
      <c r="L4" s="135"/>
      <c r="M4" s="135"/>
      <c r="N4" s="135"/>
    </row>
    <row r="5" spans="1:14" ht="19" customHeight="1" x14ac:dyDescent="0.3">
      <c r="A5" s="90" t="s">
        <v>8</v>
      </c>
      <c r="B5" s="135" t="s">
        <v>131</v>
      </c>
      <c r="C5" s="135"/>
      <c r="D5" s="135"/>
      <c r="E5" s="135"/>
      <c r="F5" s="135"/>
      <c r="G5" s="135"/>
      <c r="H5" s="135"/>
      <c r="I5" s="135"/>
      <c r="J5" s="135"/>
      <c r="K5" s="135"/>
      <c r="L5" s="135"/>
      <c r="M5" s="135"/>
      <c r="N5" s="135"/>
    </row>
    <row r="6" spans="1:14" ht="18.75" customHeight="1" x14ac:dyDescent="0.3">
      <c r="A6" s="45" t="s">
        <v>8</v>
      </c>
      <c r="B6" s="135" t="s">
        <v>135</v>
      </c>
      <c r="C6" s="135"/>
      <c r="D6" s="135"/>
      <c r="E6" s="135"/>
      <c r="F6" s="135"/>
      <c r="G6" s="135"/>
      <c r="H6" s="135"/>
      <c r="I6" s="135"/>
      <c r="J6" s="135"/>
      <c r="K6" s="135"/>
      <c r="L6" s="135"/>
      <c r="M6" s="135"/>
      <c r="N6" s="135"/>
    </row>
    <row r="7" spans="1:14" ht="18.75" customHeight="1" x14ac:dyDescent="0.3">
      <c r="A7" s="45" t="s">
        <v>8</v>
      </c>
      <c r="B7" s="135" t="s">
        <v>134</v>
      </c>
      <c r="C7" s="135"/>
      <c r="D7" s="135"/>
      <c r="E7" s="135"/>
      <c r="F7" s="135"/>
      <c r="G7" s="135"/>
      <c r="H7" s="135"/>
      <c r="I7" s="135"/>
      <c r="J7" s="135"/>
      <c r="K7" s="135"/>
      <c r="L7" s="135"/>
      <c r="M7" s="135"/>
      <c r="N7" s="135"/>
    </row>
    <row r="8" spans="1:14" x14ac:dyDescent="0.3">
      <c r="C8" s="38"/>
    </row>
    <row r="9" spans="1:14" s="44" customFormat="1" ht="34" customHeight="1" x14ac:dyDescent="0.35">
      <c r="A9" s="134" t="s">
        <v>133</v>
      </c>
      <c r="B9" s="134"/>
      <c r="C9" s="134"/>
      <c r="D9" s="134"/>
      <c r="E9" s="134"/>
      <c r="F9" s="134"/>
      <c r="G9" s="134"/>
      <c r="H9" s="134"/>
      <c r="I9" s="134"/>
      <c r="J9" s="134"/>
      <c r="K9" s="134"/>
      <c r="L9" s="134"/>
      <c r="M9" s="134"/>
      <c r="N9" s="134"/>
    </row>
    <row r="10" spans="1:14" ht="7" customHeight="1" x14ac:dyDescent="0.3">
      <c r="C10" s="38"/>
    </row>
    <row r="11" spans="1:14" ht="28" customHeight="1" x14ac:dyDescent="0.3">
      <c r="A11" s="90" t="s">
        <v>8</v>
      </c>
      <c r="B11" s="135" t="s">
        <v>132</v>
      </c>
      <c r="C11" s="135"/>
      <c r="D11" s="135"/>
      <c r="E11" s="135"/>
      <c r="F11" s="135"/>
      <c r="G11" s="135"/>
      <c r="H11" s="135"/>
      <c r="I11" s="135"/>
      <c r="J11" s="135"/>
      <c r="K11" s="135"/>
      <c r="L11" s="135"/>
      <c r="M11" s="135"/>
      <c r="N11" s="135"/>
    </row>
    <row r="12" spans="1:14" ht="65.25" customHeight="1" x14ac:dyDescent="0.3">
      <c r="A12" s="90" t="s">
        <v>8</v>
      </c>
      <c r="B12" s="135" t="s">
        <v>130</v>
      </c>
      <c r="C12" s="135"/>
      <c r="D12" s="135"/>
      <c r="E12" s="135"/>
      <c r="F12" s="135"/>
      <c r="G12" s="135"/>
      <c r="H12" s="135"/>
      <c r="I12" s="135"/>
      <c r="J12" s="135"/>
      <c r="K12" s="135"/>
      <c r="L12" s="135"/>
      <c r="M12" s="135"/>
      <c r="N12" s="135"/>
    </row>
    <row r="13" spans="1:14" ht="50.25" customHeight="1" x14ac:dyDescent="0.3">
      <c r="A13" s="90" t="s">
        <v>8</v>
      </c>
      <c r="B13" s="135" t="s">
        <v>300</v>
      </c>
      <c r="C13" s="135"/>
      <c r="D13" s="135"/>
      <c r="E13" s="135"/>
      <c r="F13" s="135"/>
      <c r="G13" s="135"/>
      <c r="H13" s="135"/>
      <c r="I13" s="135"/>
      <c r="J13" s="135"/>
      <c r="K13" s="135"/>
      <c r="L13" s="135"/>
      <c r="M13" s="135"/>
      <c r="N13" s="135"/>
    </row>
    <row r="14" spans="1:14" ht="50.25" customHeight="1" x14ac:dyDescent="0.3">
      <c r="A14" s="90"/>
      <c r="B14" s="135"/>
      <c r="C14" s="135"/>
      <c r="D14" s="135"/>
      <c r="E14" s="135"/>
      <c r="F14" s="135"/>
      <c r="G14" s="135"/>
      <c r="H14" s="135"/>
      <c r="I14" s="135"/>
      <c r="J14" s="135"/>
      <c r="K14" s="135"/>
      <c r="L14" s="135"/>
      <c r="M14" s="135"/>
      <c r="N14" s="135"/>
    </row>
    <row r="16" spans="1:14" s="44" customFormat="1" ht="34" customHeight="1" x14ac:dyDescent="0.35">
      <c r="A16" s="134" t="s">
        <v>55</v>
      </c>
      <c r="B16" s="134"/>
      <c r="C16" s="134"/>
      <c r="D16" s="134"/>
      <c r="E16" s="134"/>
      <c r="F16" s="134"/>
      <c r="G16" s="134"/>
      <c r="H16" s="134"/>
      <c r="I16" s="134"/>
      <c r="J16" s="134"/>
      <c r="K16" s="134"/>
      <c r="L16" s="134"/>
      <c r="M16" s="134"/>
      <c r="N16" s="134"/>
    </row>
    <row r="30" ht="7.5" customHeight="1" x14ac:dyDescent="0.3"/>
    <row r="32" ht="7.5" customHeight="1" x14ac:dyDescent="0.3"/>
    <row r="34" spans="1:3" ht="7.5" customHeight="1" x14ac:dyDescent="0.3"/>
    <row r="36" spans="1:3" ht="7" customHeight="1" x14ac:dyDescent="0.3"/>
    <row r="45" spans="1:3" ht="14.5" x14ac:dyDescent="0.35">
      <c r="B45" s="41"/>
      <c r="C45" s="40" t="s">
        <v>53</v>
      </c>
    </row>
    <row r="46" spans="1:3" x14ac:dyDescent="0.3">
      <c r="B46" s="42"/>
      <c r="C46" s="39"/>
    </row>
    <row r="47" spans="1:3" ht="14.5" x14ac:dyDescent="0.35">
      <c r="A47" s="61"/>
      <c r="B47" s="63"/>
      <c r="C47" s="62" t="s">
        <v>118</v>
      </c>
    </row>
    <row r="48" spans="1:3" x14ac:dyDescent="0.3">
      <c r="B48" s="42"/>
      <c r="C48" s="39"/>
    </row>
    <row r="49" spans="1:3" ht="14.5" x14ac:dyDescent="0.35">
      <c r="A49" s="61"/>
      <c r="B49" s="74"/>
      <c r="C49" s="62" t="s">
        <v>120</v>
      </c>
    </row>
    <row r="50" spans="1:3" x14ac:dyDescent="0.3">
      <c r="B50" s="61"/>
      <c r="C50" s="39"/>
    </row>
    <row r="51" spans="1:3" ht="14.5" x14ac:dyDescent="0.35">
      <c r="B51" s="64"/>
      <c r="C51" s="43" t="s">
        <v>81</v>
      </c>
    </row>
    <row r="53" spans="1:3" ht="14.5" x14ac:dyDescent="0.35">
      <c r="B53" s="75"/>
      <c r="C53" s="62" t="s">
        <v>122</v>
      </c>
    </row>
  </sheetData>
  <mergeCells count="11">
    <mergeCell ref="B12:N12"/>
    <mergeCell ref="B13:N13"/>
    <mergeCell ref="A16:N16"/>
    <mergeCell ref="B5:N5"/>
    <mergeCell ref="B11:N11"/>
    <mergeCell ref="B14:N14"/>
    <mergeCell ref="A2:N2"/>
    <mergeCell ref="B4:N4"/>
    <mergeCell ref="B7:N7"/>
    <mergeCell ref="B6:N6"/>
    <mergeCell ref="A9:N9"/>
  </mergeCell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58565-2110-40CA-BC90-B1C3DF945DF4}">
  <sheetPr>
    <tabColor theme="3" tint="0.249977111117893"/>
  </sheetPr>
  <dimension ref="A1:AJ51"/>
  <sheetViews>
    <sheetView showGridLines="0" topLeftCell="B1" zoomScale="70" zoomScaleNormal="70" workbookViewId="0">
      <pane ySplit="3" topLeftCell="A4" activePane="bottomLeft" state="frozen"/>
      <selection pane="bottomLeft" activeCell="B11" sqref="B11"/>
    </sheetView>
  </sheetViews>
  <sheetFormatPr baseColWidth="10" defaultColWidth="10.81640625" defaultRowHeight="14" x14ac:dyDescent="0.3"/>
  <cols>
    <col min="1" max="1" width="1.7265625" style="2" customWidth="1"/>
    <col min="2" max="2" width="39.54296875" style="2" bestFit="1" customWidth="1"/>
    <col min="3" max="3" width="13.1796875" style="2" customWidth="1"/>
    <col min="4" max="4" width="2.54296875" style="2" customWidth="1"/>
    <col min="5" max="5" width="26.54296875" style="2" customWidth="1"/>
    <col min="6" max="7" width="2.54296875" style="2" customWidth="1"/>
    <col min="8" max="8" width="19.453125" style="2" customWidth="1"/>
    <col min="9" max="9" width="5.26953125" style="2" customWidth="1"/>
    <col min="10" max="10" width="2.54296875" style="2" customWidth="1"/>
    <col min="11" max="11" width="19.453125" style="2" customWidth="1"/>
    <col min="12" max="12" width="2.54296875" style="2" customWidth="1"/>
    <col min="13" max="13" width="19.453125" style="2" bestFit="1" customWidth="1"/>
    <col min="14" max="14" width="6.1796875" style="2" customWidth="1"/>
    <col min="15" max="15" width="2.54296875" style="2" customWidth="1"/>
    <col min="16" max="16" width="15.1796875" style="2" bestFit="1" customWidth="1"/>
    <col min="17" max="17" width="4.1796875" style="2" customWidth="1"/>
    <col min="18" max="18" width="7.7265625" style="2" customWidth="1"/>
    <col min="19" max="19" width="2.54296875" style="2" customWidth="1"/>
    <col min="20" max="20" width="18.7265625" style="2" bestFit="1" customWidth="1"/>
    <col min="21" max="21" width="2.54296875" style="2" customWidth="1"/>
    <col min="22" max="23" width="10.81640625" style="2"/>
    <col min="24" max="24" width="2.54296875" style="2" customWidth="1"/>
    <col min="25" max="25" width="11.26953125" style="2" customWidth="1"/>
    <col min="26" max="26" width="2.54296875" style="2" customWidth="1"/>
    <col min="27" max="27" width="10.81640625" style="2"/>
    <col min="28" max="28" width="2.54296875" style="2" customWidth="1"/>
    <col min="29" max="29" width="19.453125" style="2" bestFit="1" customWidth="1"/>
    <col min="30" max="30" width="2.54296875" style="2" customWidth="1"/>
    <col min="31" max="31" width="19.453125" style="2" bestFit="1" customWidth="1"/>
    <col min="32" max="32" width="4.81640625" style="2" customWidth="1"/>
    <col min="33" max="33" width="2.54296875" style="2" customWidth="1"/>
    <col min="34" max="34" width="19.453125" style="2" bestFit="1" customWidth="1"/>
    <col min="35" max="35" width="2.54296875" style="2" customWidth="1"/>
    <col min="36" max="36" width="19.453125" style="2" bestFit="1" customWidth="1"/>
    <col min="37" max="16384" width="10.81640625" style="2"/>
  </cols>
  <sheetData>
    <row r="1" spans="1:36" ht="34" customHeight="1" x14ac:dyDescent="0.3">
      <c r="A1" s="21"/>
      <c r="B1" s="22" t="s">
        <v>52</v>
      </c>
      <c r="C1" s="20"/>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row>
    <row r="3" spans="1:36" ht="56" x14ac:dyDescent="0.3">
      <c r="B3" s="15" t="s">
        <v>19</v>
      </c>
      <c r="C3" s="9" t="s">
        <v>16</v>
      </c>
      <c r="E3" s="86" t="s">
        <v>159</v>
      </c>
      <c r="F3" s="11"/>
      <c r="H3" s="86" t="s">
        <v>138</v>
      </c>
      <c r="I3" s="11"/>
      <c r="K3" s="86" t="s">
        <v>34</v>
      </c>
      <c r="M3" s="11" t="s">
        <v>116</v>
      </c>
      <c r="N3" s="11"/>
      <c r="P3" s="11" t="s">
        <v>63</v>
      </c>
      <c r="Q3" s="11"/>
      <c r="R3" s="11" t="s">
        <v>64</v>
      </c>
      <c r="T3" s="11" t="s">
        <v>125</v>
      </c>
      <c r="V3" s="11" t="s">
        <v>37</v>
      </c>
      <c r="W3" s="11"/>
      <c r="Y3" s="11" t="s">
        <v>41</v>
      </c>
      <c r="AA3" s="11" t="s">
        <v>10</v>
      </c>
      <c r="AC3" s="11" t="s">
        <v>45</v>
      </c>
      <c r="AE3" s="11" t="s">
        <v>119</v>
      </c>
      <c r="AF3" s="11"/>
      <c r="AH3" s="11" t="s">
        <v>162</v>
      </c>
      <c r="AJ3" s="11" t="s">
        <v>181</v>
      </c>
    </row>
    <row r="4" spans="1:36" ht="42" x14ac:dyDescent="0.3">
      <c r="B4" s="13" t="s">
        <v>17</v>
      </c>
      <c r="C4" s="10">
        <v>45658</v>
      </c>
      <c r="E4" s="16" t="s">
        <v>259</v>
      </c>
      <c r="F4" s="16"/>
      <c r="H4" s="16" t="s">
        <v>35</v>
      </c>
      <c r="I4" s="16">
        <v>1</v>
      </c>
      <c r="K4" s="16" t="s">
        <v>139</v>
      </c>
      <c r="M4" s="16" t="s">
        <v>117</v>
      </c>
      <c r="N4" s="16">
        <v>0</v>
      </c>
      <c r="P4" s="73" t="s">
        <v>151</v>
      </c>
      <c r="Q4" s="16">
        <v>1</v>
      </c>
      <c r="R4" s="72">
        <v>0</v>
      </c>
      <c r="T4" s="72">
        <v>0</v>
      </c>
      <c r="V4" s="16" t="s">
        <v>39</v>
      </c>
      <c r="W4" s="16">
        <v>5</v>
      </c>
      <c r="Y4" s="16" t="s">
        <v>82</v>
      </c>
      <c r="AA4" s="16" t="s">
        <v>15</v>
      </c>
      <c r="AC4" s="16" t="s">
        <v>46</v>
      </c>
      <c r="AE4" s="16" t="s">
        <v>39</v>
      </c>
      <c r="AF4" s="16">
        <v>5</v>
      </c>
      <c r="AH4" s="73" t="s">
        <v>163</v>
      </c>
      <c r="AI4" s="7"/>
      <c r="AJ4" s="73" t="s">
        <v>182</v>
      </c>
    </row>
    <row r="5" spans="1:36" ht="70" x14ac:dyDescent="0.3">
      <c r="B5" s="13" t="s">
        <v>18</v>
      </c>
      <c r="C5" s="10">
        <v>45663</v>
      </c>
      <c r="E5" s="16" t="s">
        <v>249</v>
      </c>
      <c r="F5" s="16"/>
      <c r="H5" s="16" t="s">
        <v>200</v>
      </c>
      <c r="I5" s="16"/>
      <c r="K5" s="16" t="s">
        <v>140</v>
      </c>
      <c r="M5" s="16" t="s">
        <v>9</v>
      </c>
      <c r="N5" s="16">
        <v>1</v>
      </c>
      <c r="P5" s="16" t="s">
        <v>42</v>
      </c>
      <c r="Q5" s="16">
        <v>2</v>
      </c>
      <c r="R5" s="16" t="s">
        <v>112</v>
      </c>
      <c r="T5" s="72">
        <v>0.1</v>
      </c>
      <c r="V5" s="16" t="s">
        <v>40</v>
      </c>
      <c r="W5" s="16">
        <v>3</v>
      </c>
      <c r="Y5" s="16" t="s">
        <v>39</v>
      </c>
      <c r="AA5" s="16" t="s">
        <v>59</v>
      </c>
      <c r="AC5" s="16" t="s">
        <v>48</v>
      </c>
      <c r="AE5" s="16" t="s">
        <v>40</v>
      </c>
      <c r="AF5" s="16">
        <v>3</v>
      </c>
      <c r="AH5" s="73" t="s">
        <v>164</v>
      </c>
      <c r="AI5" s="7"/>
      <c r="AJ5" s="73" t="s">
        <v>183</v>
      </c>
    </row>
    <row r="6" spans="1:36" ht="42" x14ac:dyDescent="0.3">
      <c r="B6" s="13" t="s">
        <v>20</v>
      </c>
      <c r="C6" s="10">
        <v>45765</v>
      </c>
      <c r="E6" s="16" t="s">
        <v>61</v>
      </c>
      <c r="F6" s="16"/>
      <c r="H6" s="16" t="s">
        <v>36</v>
      </c>
      <c r="I6" s="16">
        <v>0</v>
      </c>
      <c r="K6" s="16" t="s">
        <v>36</v>
      </c>
      <c r="M6" s="73" t="s">
        <v>124</v>
      </c>
      <c r="N6" s="16">
        <v>2</v>
      </c>
      <c r="P6" s="16" t="s">
        <v>3</v>
      </c>
      <c r="Q6" s="16">
        <v>3</v>
      </c>
      <c r="R6" s="16" t="s">
        <v>113</v>
      </c>
      <c r="T6" s="72">
        <v>0.33</v>
      </c>
      <c r="V6" s="16" t="s">
        <v>83</v>
      </c>
      <c r="W6" s="16">
        <v>1</v>
      </c>
      <c r="Y6" s="16" t="s">
        <v>40</v>
      </c>
      <c r="AA6" s="16" t="s">
        <v>57</v>
      </c>
      <c r="AC6" s="16" t="s">
        <v>47</v>
      </c>
      <c r="AE6" s="16" t="s">
        <v>83</v>
      </c>
      <c r="AF6" s="16">
        <v>1</v>
      </c>
      <c r="AH6" s="73" t="s">
        <v>165</v>
      </c>
      <c r="AI6" s="7"/>
      <c r="AJ6" s="73" t="s">
        <v>184</v>
      </c>
    </row>
    <row r="7" spans="1:36" ht="28" x14ac:dyDescent="0.3">
      <c r="B7" s="13" t="s">
        <v>21</v>
      </c>
      <c r="C7" s="10">
        <v>45768</v>
      </c>
      <c r="E7" s="16" t="s">
        <v>200</v>
      </c>
      <c r="F7" s="16"/>
      <c r="H7" s="17"/>
      <c r="I7" s="17"/>
      <c r="K7" s="17"/>
      <c r="M7" s="17"/>
      <c r="N7" s="17"/>
      <c r="P7" s="16" t="s">
        <v>4</v>
      </c>
      <c r="Q7" s="16">
        <v>4</v>
      </c>
      <c r="R7" s="88" t="s">
        <v>126</v>
      </c>
      <c r="T7" s="72">
        <v>0.25</v>
      </c>
      <c r="V7" s="17"/>
      <c r="W7" s="17"/>
      <c r="Y7" s="16" t="s">
        <v>83</v>
      </c>
      <c r="AA7" s="16" t="s">
        <v>58</v>
      </c>
      <c r="AC7" s="17"/>
      <c r="AE7" s="17"/>
      <c r="AF7" s="17"/>
      <c r="AH7" s="73" t="s">
        <v>166</v>
      </c>
      <c r="AI7" s="7"/>
      <c r="AJ7" s="73" t="s">
        <v>185</v>
      </c>
    </row>
    <row r="8" spans="1:36" x14ac:dyDescent="0.3">
      <c r="B8" s="13" t="s">
        <v>22</v>
      </c>
      <c r="C8" s="10">
        <v>45778</v>
      </c>
      <c r="H8" s="17"/>
      <c r="I8" s="17"/>
      <c r="K8" s="17"/>
      <c r="L8" s="17"/>
      <c r="M8" s="17"/>
      <c r="N8" s="17"/>
      <c r="O8" s="17"/>
      <c r="P8" s="16" t="s">
        <v>14</v>
      </c>
      <c r="Q8" s="16">
        <v>5</v>
      </c>
      <c r="R8" s="72">
        <v>1</v>
      </c>
      <c r="S8" s="17"/>
      <c r="T8" s="72">
        <v>0.5</v>
      </c>
      <c r="U8" s="17"/>
      <c r="V8" s="19"/>
      <c r="W8" s="19"/>
      <c r="X8" s="17"/>
      <c r="Y8" s="16" t="s">
        <v>84</v>
      </c>
      <c r="AB8" s="17"/>
      <c r="AC8" s="17"/>
      <c r="AD8" s="17"/>
      <c r="AE8" s="17"/>
      <c r="AF8" s="19"/>
      <c r="AG8" s="17"/>
      <c r="AH8" s="17"/>
      <c r="AI8" s="17"/>
      <c r="AJ8" s="73" t="s">
        <v>186</v>
      </c>
    </row>
    <row r="9" spans="1:36" ht="28" x14ac:dyDescent="0.3">
      <c r="B9" s="13" t="s">
        <v>23</v>
      </c>
      <c r="C9" s="10">
        <v>45806</v>
      </c>
      <c r="H9" s="17"/>
      <c r="I9" s="17"/>
      <c r="K9" s="17"/>
      <c r="L9" s="17"/>
      <c r="O9" s="17"/>
      <c r="P9" s="16" t="s">
        <v>115</v>
      </c>
      <c r="Q9" s="16">
        <v>6</v>
      </c>
      <c r="R9" s="89" t="s">
        <v>126</v>
      </c>
      <c r="S9" s="17"/>
      <c r="T9" s="72">
        <v>0.66</v>
      </c>
      <c r="U9" s="17"/>
      <c r="V9" s="17"/>
      <c r="W9" s="17"/>
      <c r="X9" s="17"/>
      <c r="Y9" s="17"/>
      <c r="AB9" s="17"/>
      <c r="AC9" s="17"/>
      <c r="AD9" s="17"/>
      <c r="AE9" s="17"/>
      <c r="AF9" s="17"/>
      <c r="AG9" s="17"/>
      <c r="AH9" s="17"/>
      <c r="AI9" s="17"/>
      <c r="AJ9" s="73" t="s">
        <v>187</v>
      </c>
    </row>
    <row r="10" spans="1:36" ht="42" x14ac:dyDescent="0.3">
      <c r="B10" s="13" t="s">
        <v>24</v>
      </c>
      <c r="C10" s="10">
        <v>45817</v>
      </c>
      <c r="H10" s="17"/>
      <c r="I10" s="17"/>
      <c r="M10" s="17"/>
      <c r="N10" s="17"/>
      <c r="P10" s="17"/>
      <c r="Q10" s="17"/>
      <c r="R10" s="17"/>
      <c r="T10" s="72">
        <v>0.75</v>
      </c>
      <c r="Y10" s="17"/>
      <c r="AC10" s="17"/>
      <c r="AE10" s="17"/>
      <c r="AH10" s="17"/>
      <c r="AJ10" s="73" t="s">
        <v>188</v>
      </c>
    </row>
    <row r="11" spans="1:36" ht="28" x14ac:dyDescent="0.3">
      <c r="B11" s="13" t="s">
        <v>25</v>
      </c>
      <c r="C11" s="10">
        <v>45827</v>
      </c>
      <c r="T11" s="72">
        <v>0.9</v>
      </c>
      <c r="Y11" s="17"/>
      <c r="AC11" s="17"/>
      <c r="AE11" s="17"/>
      <c r="AH11" s="17"/>
      <c r="AJ11" s="73" t="s">
        <v>189</v>
      </c>
    </row>
    <row r="12" spans="1:36" ht="28" x14ac:dyDescent="0.3">
      <c r="B12" s="13" t="s">
        <v>26</v>
      </c>
      <c r="C12" s="10">
        <v>45884</v>
      </c>
      <c r="T12" s="72">
        <v>1</v>
      </c>
      <c r="AC12" s="17"/>
      <c r="AE12" s="17"/>
      <c r="AH12" s="17"/>
      <c r="AJ12" s="73" t="s">
        <v>190</v>
      </c>
    </row>
    <row r="13" spans="1:36" x14ac:dyDescent="0.3">
      <c r="B13" s="13" t="s">
        <v>27</v>
      </c>
      <c r="C13" s="10">
        <v>45956</v>
      </c>
      <c r="K13" s="17"/>
      <c r="T13" s="72" t="s">
        <v>126</v>
      </c>
      <c r="AJ13" s="73" t="s">
        <v>191</v>
      </c>
    </row>
    <row r="14" spans="1:36" ht="56" x14ac:dyDescent="0.3">
      <c r="B14" s="13" t="s">
        <v>28</v>
      </c>
      <c r="C14" s="10">
        <v>45962</v>
      </c>
      <c r="H14" s="17"/>
      <c r="I14" s="17"/>
      <c r="AJ14" s="73" t="s">
        <v>192</v>
      </c>
    </row>
    <row r="15" spans="1:36" ht="28" x14ac:dyDescent="0.3">
      <c r="B15" s="13" t="s">
        <v>29</v>
      </c>
      <c r="C15" s="10">
        <v>45999</v>
      </c>
      <c r="AJ15" s="73" t="s">
        <v>193</v>
      </c>
    </row>
    <row r="16" spans="1:36" x14ac:dyDescent="0.3">
      <c r="B16" s="13" t="s">
        <v>33</v>
      </c>
      <c r="C16" s="10">
        <v>46015</v>
      </c>
      <c r="AJ16" s="73" t="s">
        <v>194</v>
      </c>
    </row>
    <row r="17" spans="2:36" x14ac:dyDescent="0.3">
      <c r="B17" s="13" t="s">
        <v>32</v>
      </c>
      <c r="C17" s="10">
        <v>46016</v>
      </c>
      <c r="AJ17" s="73" t="s">
        <v>195</v>
      </c>
    </row>
    <row r="18" spans="2:36" x14ac:dyDescent="0.3">
      <c r="B18" s="13" t="s">
        <v>30</v>
      </c>
      <c r="C18" s="10">
        <v>46017</v>
      </c>
      <c r="AJ18" s="73" t="s">
        <v>196</v>
      </c>
    </row>
    <row r="19" spans="2:36" ht="28" x14ac:dyDescent="0.3">
      <c r="B19" s="13" t="s">
        <v>31</v>
      </c>
      <c r="C19" s="10">
        <v>46022</v>
      </c>
      <c r="AJ19" s="73" t="s">
        <v>197</v>
      </c>
    </row>
    <row r="20" spans="2:36" x14ac:dyDescent="0.3">
      <c r="B20" s="14" t="s">
        <v>17</v>
      </c>
      <c r="C20" s="12">
        <v>46023</v>
      </c>
      <c r="AJ20" s="73" t="s">
        <v>198</v>
      </c>
    </row>
    <row r="21" spans="2:36" ht="42" x14ac:dyDescent="0.3">
      <c r="B21" s="14" t="s">
        <v>18</v>
      </c>
      <c r="C21" s="12">
        <v>46028</v>
      </c>
      <c r="AJ21" s="73" t="s">
        <v>199</v>
      </c>
    </row>
    <row r="22" spans="2:36" x14ac:dyDescent="0.3">
      <c r="B22" s="14" t="s">
        <v>20</v>
      </c>
      <c r="C22" s="12">
        <v>46115</v>
      </c>
    </row>
    <row r="23" spans="2:36" x14ac:dyDescent="0.3">
      <c r="B23" s="14" t="s">
        <v>21</v>
      </c>
      <c r="C23" s="12">
        <v>46118</v>
      </c>
    </row>
    <row r="24" spans="2:36" x14ac:dyDescent="0.3">
      <c r="B24" s="14" t="s">
        <v>22</v>
      </c>
      <c r="C24" s="12">
        <v>46143</v>
      </c>
    </row>
    <row r="25" spans="2:36" x14ac:dyDescent="0.3">
      <c r="B25" s="14" t="s">
        <v>23</v>
      </c>
      <c r="C25" s="12">
        <v>46156</v>
      </c>
    </row>
    <row r="26" spans="2:36" x14ac:dyDescent="0.3">
      <c r="B26" s="14" t="s">
        <v>24</v>
      </c>
      <c r="C26" s="12">
        <v>46167</v>
      </c>
    </row>
    <row r="27" spans="2:36" x14ac:dyDescent="0.3">
      <c r="B27" s="14" t="s">
        <v>25</v>
      </c>
      <c r="C27" s="12">
        <v>46177</v>
      </c>
    </row>
    <row r="28" spans="2:36" x14ac:dyDescent="0.3">
      <c r="B28" s="14" t="s">
        <v>26</v>
      </c>
      <c r="C28" s="12">
        <v>46249</v>
      </c>
    </row>
    <row r="29" spans="2:36" x14ac:dyDescent="0.3">
      <c r="B29" s="14" t="s">
        <v>27</v>
      </c>
      <c r="C29" s="12">
        <v>46321</v>
      </c>
    </row>
    <row r="30" spans="2:36" x14ac:dyDescent="0.3">
      <c r="B30" s="14" t="s">
        <v>28</v>
      </c>
      <c r="C30" s="12">
        <v>46327</v>
      </c>
    </row>
    <row r="31" spans="2:36" x14ac:dyDescent="0.3">
      <c r="B31" s="14" t="s">
        <v>29</v>
      </c>
      <c r="C31" s="12">
        <v>46364</v>
      </c>
    </row>
    <row r="32" spans="2:36" x14ac:dyDescent="0.3">
      <c r="B32" s="14" t="s">
        <v>33</v>
      </c>
      <c r="C32" s="12">
        <v>46380</v>
      </c>
    </row>
    <row r="33" spans="2:3" x14ac:dyDescent="0.3">
      <c r="B33" s="14" t="s">
        <v>32</v>
      </c>
      <c r="C33" s="12">
        <v>46381</v>
      </c>
    </row>
    <row r="34" spans="2:3" x14ac:dyDescent="0.3">
      <c r="B34" s="14" t="s">
        <v>30</v>
      </c>
      <c r="C34" s="12">
        <v>46382</v>
      </c>
    </row>
    <row r="35" spans="2:3" x14ac:dyDescent="0.3">
      <c r="B35" s="14" t="s">
        <v>31</v>
      </c>
      <c r="C35" s="12">
        <v>46387</v>
      </c>
    </row>
    <row r="36" spans="2:3" x14ac:dyDescent="0.3">
      <c r="B36" s="13" t="s">
        <v>17</v>
      </c>
      <c r="C36" s="10">
        <v>46388</v>
      </c>
    </row>
    <row r="37" spans="2:3" x14ac:dyDescent="0.3">
      <c r="B37" s="13" t="s">
        <v>18</v>
      </c>
      <c r="C37" s="10">
        <v>46393</v>
      </c>
    </row>
    <row r="38" spans="2:3" x14ac:dyDescent="0.3">
      <c r="B38" s="13" t="s">
        <v>20</v>
      </c>
      <c r="C38" s="10">
        <v>46472</v>
      </c>
    </row>
    <row r="39" spans="2:3" x14ac:dyDescent="0.3">
      <c r="B39" s="13" t="s">
        <v>21</v>
      </c>
      <c r="C39" s="10">
        <v>46475</v>
      </c>
    </row>
    <row r="40" spans="2:3" x14ac:dyDescent="0.3">
      <c r="B40" s="13" t="s">
        <v>22</v>
      </c>
      <c r="C40" s="10">
        <v>46508</v>
      </c>
    </row>
    <row r="41" spans="2:3" x14ac:dyDescent="0.3">
      <c r="B41" s="13" t="s">
        <v>23</v>
      </c>
      <c r="C41" s="10">
        <v>46513</v>
      </c>
    </row>
    <row r="42" spans="2:3" x14ac:dyDescent="0.3">
      <c r="B42" s="13" t="s">
        <v>24</v>
      </c>
      <c r="C42" s="10">
        <v>46524</v>
      </c>
    </row>
    <row r="43" spans="2:3" x14ac:dyDescent="0.3">
      <c r="B43" s="13" t="s">
        <v>25</v>
      </c>
      <c r="C43" s="10">
        <v>46534</v>
      </c>
    </row>
    <row r="44" spans="2:3" x14ac:dyDescent="0.3">
      <c r="B44" s="13" t="s">
        <v>26</v>
      </c>
      <c r="C44" s="10">
        <v>46614</v>
      </c>
    </row>
    <row r="45" spans="2:3" x14ac:dyDescent="0.3">
      <c r="B45" s="13" t="s">
        <v>27</v>
      </c>
      <c r="C45" s="10">
        <v>46686</v>
      </c>
    </row>
    <row r="46" spans="2:3" x14ac:dyDescent="0.3">
      <c r="B46" s="13" t="s">
        <v>28</v>
      </c>
      <c r="C46" s="10">
        <v>46692</v>
      </c>
    </row>
    <row r="47" spans="2:3" x14ac:dyDescent="0.3">
      <c r="B47" s="13" t="s">
        <v>29</v>
      </c>
      <c r="C47" s="10">
        <v>46729</v>
      </c>
    </row>
    <row r="48" spans="2:3" x14ac:dyDescent="0.3">
      <c r="B48" s="13" t="s">
        <v>33</v>
      </c>
      <c r="C48" s="10">
        <v>46745</v>
      </c>
    </row>
    <row r="49" spans="2:3" x14ac:dyDescent="0.3">
      <c r="B49" s="13" t="s">
        <v>32</v>
      </c>
      <c r="C49" s="10">
        <v>46746</v>
      </c>
    </row>
    <row r="50" spans="2:3" x14ac:dyDescent="0.3">
      <c r="B50" s="13" t="s">
        <v>30</v>
      </c>
      <c r="C50" s="10">
        <v>46747</v>
      </c>
    </row>
    <row r="51" spans="2:3" x14ac:dyDescent="0.3">
      <c r="B51" s="13" t="s">
        <v>31</v>
      </c>
      <c r="C51" s="10">
        <v>46752</v>
      </c>
    </row>
  </sheetData>
  <phoneticPr fontId="13" type="noConversion"/>
  <pageMargins left="0.7" right="0.7" top="0.78740157499999996" bottom="0.78740157499999996"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E133C-1CF5-4B60-95E8-1A8ABD482DA7}">
  <sheetPr>
    <tabColor theme="3" tint="0.249977111117893"/>
  </sheetPr>
  <dimension ref="A1:AG208"/>
  <sheetViews>
    <sheetView zoomScale="70" zoomScaleNormal="70" workbookViewId="0">
      <selection activeCell="B23" sqref="B23"/>
    </sheetView>
  </sheetViews>
  <sheetFormatPr baseColWidth="10" defaultRowHeight="14.5" x14ac:dyDescent="0.35"/>
  <cols>
    <col min="1" max="1" width="1.7265625" customWidth="1"/>
    <col min="2" max="2" width="31.81640625" customWidth="1"/>
    <col min="3" max="3" width="41.81640625" customWidth="1"/>
    <col min="4" max="4" width="14.54296875" customWidth="1"/>
    <col min="5" max="5" width="10.90625" customWidth="1"/>
    <col min="10" max="10" width="13.1796875" customWidth="1"/>
    <col min="11" max="11" width="13.26953125" customWidth="1"/>
    <col min="12" max="12" width="10.54296875" customWidth="1"/>
    <col min="13" max="13" width="10.81640625" customWidth="1"/>
  </cols>
  <sheetData>
    <row r="1" spans="1:29" ht="34" customHeight="1" x14ac:dyDescent="0.35">
      <c r="A1" s="22"/>
      <c r="B1" s="20" t="s">
        <v>104</v>
      </c>
      <c r="C1" s="22"/>
      <c r="D1" s="22"/>
      <c r="E1" s="22"/>
      <c r="F1" s="22"/>
      <c r="G1" s="22"/>
      <c r="H1" s="22"/>
      <c r="I1" s="22"/>
      <c r="J1" s="22"/>
      <c r="K1" s="66" t="s">
        <v>111</v>
      </c>
      <c r="L1" s="22"/>
      <c r="M1" s="136">
        <v>46099</v>
      </c>
      <c r="N1" s="136"/>
      <c r="O1" s="22"/>
      <c r="P1" s="22"/>
      <c r="Q1" s="22"/>
      <c r="R1" s="22"/>
    </row>
    <row r="3" spans="1:29" x14ac:dyDescent="0.35">
      <c r="B3" s="77" t="s">
        <v>103</v>
      </c>
      <c r="C3" s="77"/>
      <c r="D3" s="78" t="s">
        <v>105</v>
      </c>
      <c r="E3" s="78" t="s">
        <v>64</v>
      </c>
      <c r="F3" s="78" t="s">
        <v>123</v>
      </c>
      <c r="G3" s="78" t="s">
        <v>64</v>
      </c>
      <c r="H3" s="78" t="s">
        <v>15</v>
      </c>
      <c r="I3" s="78" t="s">
        <v>64</v>
      </c>
      <c r="J3" s="78" t="s">
        <v>59</v>
      </c>
      <c r="K3" s="78" t="s">
        <v>64</v>
      </c>
      <c r="L3" s="78" t="s">
        <v>57</v>
      </c>
      <c r="M3" s="78" t="s">
        <v>64</v>
      </c>
      <c r="N3" s="78" t="s">
        <v>58</v>
      </c>
      <c r="O3" s="78" t="s">
        <v>64</v>
      </c>
      <c r="P3" s="78" t="s">
        <v>163</v>
      </c>
      <c r="Q3" s="78" t="s">
        <v>64</v>
      </c>
      <c r="R3" s="78" t="s">
        <v>164</v>
      </c>
      <c r="S3" s="78" t="s">
        <v>64</v>
      </c>
      <c r="T3" s="78" t="s">
        <v>165</v>
      </c>
      <c r="U3" s="78" t="s">
        <v>64</v>
      </c>
      <c r="V3" s="78" t="s">
        <v>166</v>
      </c>
      <c r="W3" s="78" t="s">
        <v>64</v>
      </c>
    </row>
    <row r="4" spans="1:29" x14ac:dyDescent="0.35">
      <c r="D4">
        <f>COUNTA(Tabelle1[Projektname/Bezeichnung des Vorhabens])</f>
        <v>4</v>
      </c>
      <c r="E4" s="54">
        <f>D4/D4</f>
        <v>1</v>
      </c>
      <c r="F4">
        <f>COUNTIF(Tabelle1[Budgeteinbehalt],"Ja")</f>
        <v>1</v>
      </c>
      <c r="G4" s="54">
        <f>F4/$D$4</f>
        <v>0.25</v>
      </c>
      <c r="H4">
        <f>COUNTIF(Tabelle1[PAG],H3)</f>
        <v>1</v>
      </c>
      <c r="I4" s="54">
        <f>H4/$D$4</f>
        <v>0.25</v>
      </c>
      <c r="J4">
        <f>COUNTIF(Tabelle1[PAG],J3)</f>
        <v>2</v>
      </c>
      <c r="K4" s="54">
        <f>J4/$D$4</f>
        <v>0.5</v>
      </c>
      <c r="L4">
        <f>COUNTIF(Tabelle1[PAG],L3)</f>
        <v>1</v>
      </c>
      <c r="M4" s="54">
        <f>L4/$D$4</f>
        <v>0.25</v>
      </c>
      <c r="N4">
        <f>COUNTIF(Tabelle1[PAG],N3)</f>
        <v>0</v>
      </c>
      <c r="O4" s="54">
        <f>N4/$D$4</f>
        <v>0</v>
      </c>
      <c r="P4">
        <f>COUNTIF(Tabelle1[Leistungsbereich],P3)</f>
        <v>1</v>
      </c>
      <c r="Q4" s="54">
        <f>P4/$D$4</f>
        <v>0.25</v>
      </c>
      <c r="R4">
        <f>COUNTIF(Tabelle1[Leistungsbereich],R3)</f>
        <v>0</v>
      </c>
      <c r="S4" s="54">
        <f>R4/$D$4</f>
        <v>0</v>
      </c>
      <c r="T4">
        <f>COUNTIF(Tabelle1[Leistungsbereich],T3)</f>
        <v>2</v>
      </c>
      <c r="U4" s="54">
        <f>T4/$D$4</f>
        <v>0.5</v>
      </c>
      <c r="V4">
        <f>COUNTIF(Tabelle1[Leistungsbereich],V3)</f>
        <v>1</v>
      </c>
      <c r="W4" s="54">
        <f>V4/$D$4</f>
        <v>0.25</v>
      </c>
    </row>
    <row r="5" spans="1:29" x14ac:dyDescent="0.35">
      <c r="D5">
        <f>$D$4-D4</f>
        <v>0</v>
      </c>
      <c r="M5" s="54"/>
      <c r="N5">
        <f>$D$4-H4</f>
        <v>3</v>
      </c>
      <c r="O5" s="54"/>
      <c r="P5">
        <f>$D$4-J4</f>
        <v>2</v>
      </c>
      <c r="Q5" s="54"/>
      <c r="R5">
        <f>$D$4-L4</f>
        <v>3</v>
      </c>
      <c r="S5" s="54"/>
      <c r="T5">
        <f>$D$4-N4</f>
        <v>4</v>
      </c>
      <c r="U5" s="54"/>
      <c r="V5">
        <f>$D$4-P4</f>
        <v>3</v>
      </c>
      <c r="W5" s="54"/>
      <c r="X5">
        <f>$D$4-R4</f>
        <v>4</v>
      </c>
      <c r="Y5" s="54"/>
      <c r="Z5">
        <f>$D$4-T4</f>
        <v>2</v>
      </c>
      <c r="AA5" s="54"/>
      <c r="AB5">
        <f>$D$4-V4</f>
        <v>3</v>
      </c>
      <c r="AC5" s="54"/>
    </row>
    <row r="7" spans="1:29" x14ac:dyDescent="0.35">
      <c r="B7" s="77" t="s">
        <v>141</v>
      </c>
      <c r="C7" s="77"/>
      <c r="D7" s="78" t="s">
        <v>105</v>
      </c>
      <c r="E7" s="78" t="s">
        <v>64</v>
      </c>
      <c r="F7" s="78" t="s">
        <v>15</v>
      </c>
      <c r="G7" s="78" t="s">
        <v>153</v>
      </c>
      <c r="H7" s="78" t="s">
        <v>59</v>
      </c>
      <c r="I7" s="78" t="s">
        <v>154</v>
      </c>
      <c r="J7" s="78" t="s">
        <v>57</v>
      </c>
      <c r="K7" s="78" t="s">
        <v>155</v>
      </c>
      <c r="L7" s="78" t="s">
        <v>58</v>
      </c>
      <c r="M7" s="78" t="s">
        <v>156</v>
      </c>
    </row>
    <row r="8" spans="1:29" x14ac:dyDescent="0.35">
      <c r="C8" t="str">
        <f>Parameter!K4</f>
        <v>LV25-27</v>
      </c>
      <c r="D8">
        <f>COUNTIF(Tabelle1[LV-Periode],Arbeitsbereich!C8)</f>
        <v>4</v>
      </c>
      <c r="E8" s="54">
        <f>D8/$D$4</f>
        <v>1</v>
      </c>
      <c r="F8">
        <f>COUNTIFS(Tabelle1[LV-Periode],$C8,Tabelle1[PAG],$F$7)</f>
        <v>1</v>
      </c>
      <c r="G8" s="54">
        <f>F8/$H$4</f>
        <v>1</v>
      </c>
      <c r="H8">
        <f>COUNTIFS(Tabelle1[LV-Periode],$C8,Tabelle1[PAG],$H$7)</f>
        <v>2</v>
      </c>
      <c r="I8" s="54">
        <f>H8/$J$4</f>
        <v>1</v>
      </c>
      <c r="J8">
        <f>COUNTIFS(Tabelle1[LV-Periode],$C8,Tabelle1[PAG],$J$7)</f>
        <v>1</v>
      </c>
      <c r="K8" s="54">
        <f>J8/$L$4</f>
        <v>1</v>
      </c>
      <c r="L8">
        <f>COUNTIFS(Tabelle1[LV-Periode],$C8,Tabelle1[PAG],$L$7)</f>
        <v>0</v>
      </c>
      <c r="M8" s="54" t="e">
        <f>L8/$N$4</f>
        <v>#DIV/0!</v>
      </c>
    </row>
    <row r="9" spans="1:29" x14ac:dyDescent="0.35">
      <c r="C9" t="str">
        <f>Parameter!K5</f>
        <v>LV28-30</v>
      </c>
      <c r="D9">
        <f>COUNTIF(Tabelle1[LV-Periode],Arbeitsbereich!C9)</f>
        <v>0</v>
      </c>
      <c r="E9" s="54">
        <f>D9/$D$4</f>
        <v>0</v>
      </c>
      <c r="F9">
        <f>COUNTIFS(Tabelle1[LV-Periode],$C9,Tabelle1[PAG],$F$7)</f>
        <v>0</v>
      </c>
      <c r="G9" s="54">
        <f>F9/$H$4</f>
        <v>0</v>
      </c>
      <c r="H9">
        <f>COUNTIFS(Tabelle1[LV-Periode],$C9,Tabelle1[PAG],$H$7)</f>
        <v>0</v>
      </c>
      <c r="I9" s="54">
        <f>H9/$J$4</f>
        <v>0</v>
      </c>
      <c r="J9">
        <f>COUNTIFS(Tabelle1[LV-Periode],$C9,Tabelle1[PAG],$J$7)</f>
        <v>0</v>
      </c>
      <c r="K9" s="54">
        <f>J9/$L$4</f>
        <v>0</v>
      </c>
      <c r="L9">
        <f>COUNTIFS(Tabelle1[LV-Periode],$C9,Tabelle1[PAG],$L$7)</f>
        <v>0</v>
      </c>
      <c r="M9" s="54" t="e">
        <f>L9/$N$4</f>
        <v>#DIV/0!</v>
      </c>
    </row>
    <row r="10" spans="1:29" x14ac:dyDescent="0.35">
      <c r="C10" t="str">
        <f>Parameter!K6</f>
        <v>Nein</v>
      </c>
      <c r="D10">
        <f>COUNTIF(Tabelle1[LV-Periode],Arbeitsbereich!C10)</f>
        <v>0</v>
      </c>
      <c r="E10" s="54">
        <f>D10/$D$4</f>
        <v>0</v>
      </c>
      <c r="F10">
        <f>COUNTIFS(Tabelle1[LV-Periode],$C10,Tabelle1[PAG],$F$7)</f>
        <v>0</v>
      </c>
      <c r="G10" s="54">
        <f>F10/$H$4</f>
        <v>0</v>
      </c>
      <c r="H10">
        <f>COUNTIFS(Tabelle1[LV-Periode],$C10,Tabelle1[PAG],$H$7)</f>
        <v>0</v>
      </c>
      <c r="I10" s="54">
        <f>H10/$J$4</f>
        <v>0</v>
      </c>
      <c r="J10">
        <f>COUNTIFS(Tabelle1[LV-Periode],$C10,Tabelle1[PAG],$J$7)</f>
        <v>0</v>
      </c>
      <c r="K10" s="54">
        <f>J10/$L$4</f>
        <v>0</v>
      </c>
      <c r="L10">
        <f>COUNTIFS(Tabelle1[LV-Periode],$C10,Tabelle1[PAG],$L$7)</f>
        <v>0</v>
      </c>
      <c r="M10" s="54" t="e">
        <f>L10/$N$4</f>
        <v>#DIV/0!</v>
      </c>
    </row>
    <row r="11" spans="1:29" x14ac:dyDescent="0.35">
      <c r="C11" t="s">
        <v>145</v>
      </c>
      <c r="D11">
        <f>COUNTIF(Tabelle1[LV-Periode],"")</f>
        <v>111</v>
      </c>
      <c r="E11" s="54">
        <f>D11/$D$4</f>
        <v>27.75</v>
      </c>
      <c r="F11">
        <f>COUNTIFS(Tabelle1[LV-Periode],"",Tabelle1[PAG],$F$7)</f>
        <v>0</v>
      </c>
      <c r="G11" s="54">
        <f>F11/$H$4</f>
        <v>0</v>
      </c>
      <c r="H11">
        <f>COUNTIFS(Tabelle1[LV-Periode],"",Tabelle1[PAG],$H$7)</f>
        <v>0</v>
      </c>
      <c r="I11" s="54">
        <f>H11/$J$4</f>
        <v>0</v>
      </c>
      <c r="J11">
        <f>COUNTIFS(Tabelle1[LV-Periode],"",Tabelle1[PAG],$J$7)</f>
        <v>0</v>
      </c>
      <c r="K11" s="54">
        <f>J11/$L$4</f>
        <v>0</v>
      </c>
      <c r="L11">
        <f>COUNTIFS(Tabelle1[LV-Periode],"",Tabelle1[PAG],$L$7)</f>
        <v>0</v>
      </c>
      <c r="M11" s="54" t="e">
        <f>L11/$N$4</f>
        <v>#DIV/0!</v>
      </c>
    </row>
    <row r="12" spans="1:29" x14ac:dyDescent="0.35">
      <c r="E12" s="54"/>
    </row>
    <row r="13" spans="1:29" x14ac:dyDescent="0.35">
      <c r="B13" s="77" t="s">
        <v>159</v>
      </c>
      <c r="C13" s="77"/>
      <c r="D13" s="78" t="s">
        <v>105</v>
      </c>
      <c r="E13" s="78" t="s">
        <v>64</v>
      </c>
      <c r="F13" s="78" t="s">
        <v>123</v>
      </c>
      <c r="G13" s="78" t="s">
        <v>64</v>
      </c>
      <c r="H13" s="78" t="s">
        <v>260</v>
      </c>
      <c r="I13" s="78" t="s">
        <v>261</v>
      </c>
    </row>
    <row r="14" spans="1:29" x14ac:dyDescent="0.35">
      <c r="C14" t="s">
        <v>259</v>
      </c>
      <c r="D14">
        <f>COUNTIF(Tabelle1[Projektauftrag],Arbeitsbereich!C14)</f>
        <v>2</v>
      </c>
      <c r="E14" s="54">
        <f>D14/D4</f>
        <v>0.5</v>
      </c>
      <c r="F14">
        <f>COUNTIFS(Tabelle1[Projektauftrag],$C14,Tabelle1[Budgeteinbehalt],"ja")</f>
        <v>0</v>
      </c>
      <c r="G14" s="54">
        <f>F14/$F$4</f>
        <v>0</v>
      </c>
      <c r="H14" s="54">
        <f>E14+E15</f>
        <v>0.75</v>
      </c>
      <c r="I14" s="54">
        <f>G14+G15</f>
        <v>0</v>
      </c>
    </row>
    <row r="15" spans="1:29" x14ac:dyDescent="0.35">
      <c r="C15" t="s">
        <v>249</v>
      </c>
      <c r="D15">
        <f>COUNTIF(Tabelle1[Projektauftrag],Arbeitsbereich!C15)</f>
        <v>1</v>
      </c>
      <c r="E15" s="54">
        <f>D15/D4</f>
        <v>0.25</v>
      </c>
      <c r="F15">
        <f>COUNTIFS(Tabelle1[Projektauftrag],$C15,Tabelle1[Budgeteinbehalt],"ja")</f>
        <v>0</v>
      </c>
      <c r="G15" s="54">
        <f>F15/$F$4</f>
        <v>0</v>
      </c>
    </row>
    <row r="16" spans="1:29" x14ac:dyDescent="0.35">
      <c r="C16" t="s">
        <v>61</v>
      </c>
      <c r="D16">
        <f>COUNTIF(Tabelle1[Projektauftrag],Arbeitsbereich!C16)</f>
        <v>1</v>
      </c>
      <c r="E16" s="54">
        <f>D16/D4</f>
        <v>0.25</v>
      </c>
      <c r="F16">
        <f>COUNTIFS(Tabelle1[Projektauftrag],$C16,Tabelle1[Budgeteinbehalt],"ja")</f>
        <v>1</v>
      </c>
      <c r="G16" s="54">
        <f>F16/$F$4</f>
        <v>1</v>
      </c>
    </row>
    <row r="17" spans="2:7" x14ac:dyDescent="0.35">
      <c r="C17" t="s">
        <v>200</v>
      </c>
      <c r="D17">
        <f>COUNTIF(Tabelle1[Projektauftrag],Arbeitsbereich!C17)</f>
        <v>0</v>
      </c>
      <c r="E17" s="54">
        <f>D17/$D$4</f>
        <v>0</v>
      </c>
      <c r="F17">
        <f>COUNTIFS(Tabelle1[Projektauftrag],$C17,Tabelle1[Budgeteinbehalt],"ja")</f>
        <v>0</v>
      </c>
      <c r="G17" s="54">
        <f>F17/$F$4</f>
        <v>0</v>
      </c>
    </row>
    <row r="18" spans="2:7" x14ac:dyDescent="0.35">
      <c r="E18" s="54"/>
    </row>
    <row r="19" spans="2:7" x14ac:dyDescent="0.35">
      <c r="B19" s="77" t="s">
        <v>65</v>
      </c>
      <c r="C19" s="77"/>
      <c r="D19" s="78" t="s">
        <v>105</v>
      </c>
      <c r="E19" s="78" t="s">
        <v>64</v>
      </c>
      <c r="F19" s="78" t="s">
        <v>123</v>
      </c>
      <c r="G19" s="78" t="s">
        <v>64</v>
      </c>
    </row>
    <row r="20" spans="2:7" x14ac:dyDescent="0.35">
      <c r="C20" t="s">
        <v>35</v>
      </c>
      <c r="D20">
        <f>COUNTIF(Tabelle1[Projektstatusbericht (PSB)],Arbeitsbereich!C20)</f>
        <v>4</v>
      </c>
      <c r="E20" s="54">
        <f>D20/$D$4</f>
        <v>1</v>
      </c>
      <c r="F20">
        <f>COUNTIFS(Tabelle1[Projektstatusbericht (PSB)],$C20,Tabelle1[Budgeteinbehalt],"ja")</f>
        <v>1</v>
      </c>
      <c r="G20" s="54">
        <f>F20/$F$4</f>
        <v>1</v>
      </c>
    </row>
    <row r="21" spans="2:7" x14ac:dyDescent="0.35">
      <c r="B21" t="s">
        <v>235</v>
      </c>
      <c r="C21" t="s">
        <v>36</v>
      </c>
      <c r="D21">
        <f>D4-D20</f>
        <v>0</v>
      </c>
      <c r="E21" s="54">
        <f>D21/$D$4</f>
        <v>0</v>
      </c>
      <c r="F21">
        <f>COUNTIFS(Tabelle1[Projektstatusbericht (PSB)],$C21,Tabelle1[Budgeteinbehalt],"ja")</f>
        <v>0</v>
      </c>
      <c r="G21" s="54">
        <f>F21/$F$4</f>
        <v>0</v>
      </c>
    </row>
    <row r="22" spans="2:7" x14ac:dyDescent="0.35">
      <c r="E22" s="54"/>
    </row>
    <row r="23" spans="2:7" x14ac:dyDescent="0.35">
      <c r="B23" s="77" t="s">
        <v>143</v>
      </c>
      <c r="C23" s="77"/>
      <c r="D23" s="78" t="s">
        <v>105</v>
      </c>
      <c r="E23" s="78" t="s">
        <v>64</v>
      </c>
      <c r="F23" s="78" t="s">
        <v>123</v>
      </c>
      <c r="G23" s="78" t="s">
        <v>64</v>
      </c>
    </row>
    <row r="24" spans="2:7" x14ac:dyDescent="0.35">
      <c r="C24" t="s">
        <v>35</v>
      </c>
      <c r="D24">
        <f>COUNTIF(Tabelle1[Lenkungs-ausschuss],Arbeitsbereich!C24)</f>
        <v>1</v>
      </c>
      <c r="E24" s="54">
        <f>D24/$D$4</f>
        <v>0.25</v>
      </c>
      <c r="F24">
        <f>COUNTIFS(Tabelle1[Lenkungs-ausschuss],$C24,Tabelle1[Budgeteinbehalt],"ja")</f>
        <v>0</v>
      </c>
      <c r="G24" s="54">
        <f>F24/$F$4</f>
        <v>0</v>
      </c>
    </row>
    <row r="25" spans="2:7" x14ac:dyDescent="0.35">
      <c r="C25" t="s">
        <v>36</v>
      </c>
      <c r="D25">
        <f>D4-D24</f>
        <v>3</v>
      </c>
      <c r="E25" s="54">
        <f>D25/$D$4</f>
        <v>0.75</v>
      </c>
      <c r="F25">
        <f>COUNTIFS(Tabelle1[Lenkungs-ausschuss],$C25,Tabelle1[Budgeteinbehalt],"ja")</f>
        <v>0</v>
      </c>
      <c r="G25" s="54">
        <f>F25/$F$4</f>
        <v>0</v>
      </c>
    </row>
    <row r="26" spans="2:7" x14ac:dyDescent="0.35">
      <c r="E26" s="54"/>
    </row>
    <row r="27" spans="2:7" x14ac:dyDescent="0.35">
      <c r="B27" s="77" t="s">
        <v>144</v>
      </c>
      <c r="C27" s="77"/>
      <c r="D27" s="78" t="s">
        <v>105</v>
      </c>
      <c r="E27" s="78" t="s">
        <v>64</v>
      </c>
      <c r="F27" s="78" t="s">
        <v>123</v>
      </c>
      <c r="G27" s="78" t="s">
        <v>64</v>
      </c>
    </row>
    <row r="28" spans="2:7" x14ac:dyDescent="0.35">
      <c r="C28" t="s">
        <v>35</v>
      </c>
      <c r="D28">
        <f>COUNTIF(Tabelle1[Projekt mit externen Kooperationspartnern?],Arbeitsbereich!C28)</f>
        <v>1</v>
      </c>
      <c r="E28" s="54">
        <f>D28/$D$4</f>
        <v>0.25</v>
      </c>
      <c r="F28">
        <f>COUNTIFS(Tabelle1[Projekt mit externen Kooperationspartnern?],$C28,Tabelle1[Budgeteinbehalt],"ja")</f>
        <v>0</v>
      </c>
      <c r="G28" s="54">
        <f>F28/$F$4</f>
        <v>0</v>
      </c>
    </row>
    <row r="29" spans="2:7" x14ac:dyDescent="0.35">
      <c r="C29" t="s">
        <v>36</v>
      </c>
      <c r="D29">
        <f>D4-D28</f>
        <v>3</v>
      </c>
      <c r="E29" s="54">
        <f>D29/$D$4</f>
        <v>0.75</v>
      </c>
      <c r="F29">
        <f>COUNTIFS(Tabelle1[Projekt mit externen Kooperationspartnern?],$C29,Tabelle1[Budgeteinbehalt],"ja")</f>
        <v>0</v>
      </c>
      <c r="G29" s="54">
        <f>F29/$F$4</f>
        <v>0</v>
      </c>
    </row>
    <row r="31" spans="2:7" x14ac:dyDescent="0.35">
      <c r="B31" s="77" t="s">
        <v>180</v>
      </c>
      <c r="C31" s="77"/>
      <c r="D31" s="78" t="s">
        <v>105</v>
      </c>
      <c r="E31" s="78" t="s">
        <v>64</v>
      </c>
      <c r="F31" s="78"/>
      <c r="G31" s="78"/>
    </row>
    <row r="32" spans="2:7" x14ac:dyDescent="0.35">
      <c r="C32" t="s">
        <v>35</v>
      </c>
      <c r="D32">
        <f>COUNTIF(Tabelle1[Budgeteinbehalt],Arbeitsbereich!C32)</f>
        <v>1</v>
      </c>
      <c r="E32" s="54">
        <f>D32/$D$4</f>
        <v>0.25</v>
      </c>
      <c r="G32" s="54"/>
    </row>
    <row r="33" spans="2:7" x14ac:dyDescent="0.35">
      <c r="C33" t="s">
        <v>36</v>
      </c>
      <c r="D33">
        <f>COUNTIF(Tabelle1[Budgeteinbehalt],Arbeitsbereich!C33)</f>
        <v>0</v>
      </c>
      <c r="E33" s="54">
        <f>D33/$D$4</f>
        <v>0</v>
      </c>
      <c r="G33" s="54"/>
    </row>
    <row r="35" spans="2:7" x14ac:dyDescent="0.35">
      <c r="B35" s="77" t="s">
        <v>162</v>
      </c>
      <c r="C35" s="77"/>
      <c r="D35" s="78" t="s">
        <v>105</v>
      </c>
      <c r="E35" s="78"/>
      <c r="F35" s="78" t="s">
        <v>123</v>
      </c>
      <c r="G35" s="78" t="s">
        <v>64</v>
      </c>
    </row>
    <row r="36" spans="2:7" x14ac:dyDescent="0.35">
      <c r="C36" s="126" t="s">
        <v>163</v>
      </c>
      <c r="D36">
        <f>IF(COUNTIF(Tabelle1[Leistungsbereich],Arbeitsbereich!C36)=0,NA(),COUNTIF(Tabelle1[Leistungsbereich],Arbeitsbereich!C36))</f>
        <v>1</v>
      </c>
      <c r="F36">
        <f>COUNTIFS(Tabelle1[Leistungsbereich],$C36,Tabelle1[Budgeteinbehalt],"ja")</f>
        <v>0</v>
      </c>
      <c r="G36" s="54">
        <f>F36/$F$4</f>
        <v>0</v>
      </c>
    </row>
    <row r="37" spans="2:7" x14ac:dyDescent="0.35">
      <c r="C37" s="127" t="s">
        <v>164</v>
      </c>
      <c r="D37" t="e">
        <f>IF(COUNTIF(Tabelle1[Leistungsbereich],Arbeitsbereich!C37)=0,NA(),COUNTIF(Tabelle1[Leistungsbereich],Arbeitsbereich!C37))</f>
        <v>#N/A</v>
      </c>
      <c r="F37">
        <f>COUNTIFS(Tabelle1[Leistungsbereich],$C37,Tabelle1[Budgeteinbehalt],"ja")</f>
        <v>0</v>
      </c>
      <c r="G37" s="54">
        <f>F37/$F$4</f>
        <v>0</v>
      </c>
    </row>
    <row r="38" spans="2:7" x14ac:dyDescent="0.35">
      <c r="C38" s="128" t="s">
        <v>165</v>
      </c>
      <c r="D38">
        <f>IF(COUNTIF(Tabelle1[Leistungsbereich],Arbeitsbereich!C38)=0,NA(),COUNTIF(Tabelle1[Leistungsbereich],Arbeitsbereich!C38))</f>
        <v>2</v>
      </c>
      <c r="F38">
        <f>COUNTIFS(Tabelle1[Leistungsbereich],$C38,Tabelle1[Budgeteinbehalt],"ja")</f>
        <v>1</v>
      </c>
      <c r="G38" s="54">
        <f>F38/$F$4</f>
        <v>1</v>
      </c>
    </row>
    <row r="39" spans="2:7" x14ac:dyDescent="0.35">
      <c r="C39" s="129" t="s">
        <v>166</v>
      </c>
      <c r="D39">
        <f>IF(COUNTIF(Tabelle1[Leistungsbereich],Arbeitsbereich!C39)=0,NA(),COUNTIF(Tabelle1[Leistungsbereich],Arbeitsbereich!C39))</f>
        <v>1</v>
      </c>
      <c r="F39">
        <f>COUNTIFS(Tabelle1[Leistungsbereich],$C39,Tabelle1[Budgeteinbehalt],"ja")</f>
        <v>0</v>
      </c>
      <c r="G39" s="54">
        <f>F39/$F$4</f>
        <v>0</v>
      </c>
    </row>
    <row r="40" spans="2:7" x14ac:dyDescent="0.35">
      <c r="C40" t="s">
        <v>96</v>
      </c>
      <c r="D40" t="e">
        <f>SUM(D36:D39)</f>
        <v>#N/A</v>
      </c>
      <c r="G40" s="54"/>
    </row>
    <row r="41" spans="2:7" x14ac:dyDescent="0.35">
      <c r="G41" s="54"/>
    </row>
    <row r="42" spans="2:7" x14ac:dyDescent="0.35">
      <c r="B42" s="77" t="s">
        <v>181</v>
      </c>
      <c r="C42" s="77"/>
      <c r="D42" s="78" t="s">
        <v>105</v>
      </c>
      <c r="E42" s="78"/>
      <c r="F42" s="78" t="s">
        <v>123</v>
      </c>
      <c r="G42" s="78" t="s">
        <v>64</v>
      </c>
    </row>
    <row r="43" spans="2:7" x14ac:dyDescent="0.35">
      <c r="B43" t="s">
        <v>166</v>
      </c>
      <c r="C43" t="s">
        <v>230</v>
      </c>
      <c r="D43" t="e">
        <f>IF(COUNTIF(Tabelle1[Kapitelzuordnung],Arbeitsbereich!C43)=0,NA(),COUNTIF(Tabelle1[Kapitelzuordnung],Arbeitsbereich!C43))</f>
        <v>#N/A</v>
      </c>
      <c r="E43" s="54" t="e">
        <f t="shared" ref="E43:E55" si="0">D43/$D$4</f>
        <v>#N/A</v>
      </c>
      <c r="F43">
        <f>COUNTIFS(Tabelle1[Kapitelzuordnung],C43,Tabelle1[Budgeteinbehalt],"ja")</f>
        <v>0</v>
      </c>
      <c r="G43" s="54">
        <f>F43/$F$4</f>
        <v>0</v>
      </c>
    </row>
    <row r="44" spans="2:7" x14ac:dyDescent="0.35">
      <c r="B44" t="s">
        <v>166</v>
      </c>
      <c r="C44" t="s">
        <v>229</v>
      </c>
      <c r="D44" t="e">
        <f>IF(COUNTIF(Tabelle1[Kapitelzuordnung],Arbeitsbereich!C44)=0,NA(),COUNTIF(Tabelle1[Kapitelzuordnung],Arbeitsbereich!C44))</f>
        <v>#N/A</v>
      </c>
      <c r="E44" s="54" t="e">
        <f t="shared" si="0"/>
        <v>#N/A</v>
      </c>
      <c r="F44">
        <f>COUNTIFS(Tabelle1[Kapitelzuordnung],C44,Tabelle1[Budgeteinbehalt],"ja")</f>
        <v>0</v>
      </c>
      <c r="G44" s="54">
        <f>F44/$F$4</f>
        <v>0</v>
      </c>
    </row>
    <row r="45" spans="2:7" x14ac:dyDescent="0.35">
      <c r="B45" t="s">
        <v>166</v>
      </c>
      <c r="C45" t="s">
        <v>228</v>
      </c>
      <c r="D45" t="e">
        <f>IF(COUNTIF(Tabelle1[Kapitelzuordnung],Arbeitsbereich!C45)=0,NA(),COUNTIF(Tabelle1[Kapitelzuordnung],Arbeitsbereich!C45))</f>
        <v>#N/A</v>
      </c>
      <c r="E45" s="54" t="e">
        <f t="shared" si="0"/>
        <v>#N/A</v>
      </c>
      <c r="F45">
        <f>COUNTIFS(Tabelle1[Kapitelzuordnung],C45,Tabelle1[Budgeteinbehalt],"ja")</f>
        <v>0</v>
      </c>
      <c r="G45" s="54">
        <f>F45/$F$4</f>
        <v>0</v>
      </c>
    </row>
    <row r="46" spans="2:7" x14ac:dyDescent="0.35">
      <c r="B46" t="s">
        <v>166</v>
      </c>
      <c r="C46" t="s">
        <v>121</v>
      </c>
      <c r="D46" t="e">
        <f>IF(COUNTIF(Tabelle1[Kapitelzuordnung],Arbeitsbereich!C46)=0,NA(),COUNTIF(Tabelle1[Kapitelzuordnung],Arbeitsbereich!C46))</f>
        <v>#N/A</v>
      </c>
      <c r="E46" s="54" t="e">
        <f t="shared" si="0"/>
        <v>#N/A</v>
      </c>
      <c r="F46">
        <f>COUNTIFS(Tabelle1[Kapitelzuordnung],C46,Tabelle1[Budgeteinbehalt],"ja")</f>
        <v>0</v>
      </c>
      <c r="G46" s="54">
        <f>F46/$F$4</f>
        <v>0</v>
      </c>
    </row>
    <row r="47" spans="2:7" x14ac:dyDescent="0.35">
      <c r="B47" t="s">
        <v>166</v>
      </c>
      <c r="C47" t="s">
        <v>227</v>
      </c>
      <c r="D47">
        <f>IF(COUNTIF(Tabelle1[Kapitelzuordnung],Arbeitsbereich!C47)=0,NA(),COUNTIF(Tabelle1[Kapitelzuordnung],Arbeitsbereich!C47))</f>
        <v>1</v>
      </c>
      <c r="E47" s="54">
        <f t="shared" si="0"/>
        <v>0.25</v>
      </c>
      <c r="F47">
        <f>COUNTIFS(Tabelle1[Kapitelzuordnung],C47,Tabelle1[Budgeteinbehalt],"ja")</f>
        <v>0</v>
      </c>
      <c r="G47" s="54">
        <f>F47/$F$4</f>
        <v>0</v>
      </c>
    </row>
    <row r="48" spans="2:7" x14ac:dyDescent="0.35">
      <c r="B48" t="s">
        <v>165</v>
      </c>
      <c r="C48" t="s">
        <v>226</v>
      </c>
      <c r="D48">
        <f>IF(COUNTIF(Tabelle1[Kapitelzuordnung],Arbeitsbereich!C48)=0,NA(),COUNTIF(Tabelle1[Kapitelzuordnung],Arbeitsbereich!C48))</f>
        <v>1</v>
      </c>
      <c r="E48" s="54">
        <f t="shared" si="0"/>
        <v>0.25</v>
      </c>
      <c r="F48">
        <f>COUNTIFS(Tabelle1[Kapitelzuordnung],C48,Tabelle1[Budgeteinbehalt],"ja")</f>
        <v>1</v>
      </c>
      <c r="G48" s="54">
        <f>F48/$F$4</f>
        <v>1</v>
      </c>
    </row>
    <row r="49" spans="2:7" x14ac:dyDescent="0.35">
      <c r="B49" t="s">
        <v>165</v>
      </c>
      <c r="C49" t="s">
        <v>225</v>
      </c>
      <c r="D49" t="e">
        <f>IF(COUNTIF(Tabelle1[Kapitelzuordnung],Arbeitsbereich!C49)=0,NA(),COUNTIF(Tabelle1[Kapitelzuordnung],Arbeitsbereich!C49))</f>
        <v>#N/A</v>
      </c>
      <c r="E49" s="54" t="e">
        <f t="shared" si="0"/>
        <v>#N/A</v>
      </c>
      <c r="F49">
        <f>COUNTIFS(Tabelle1[Kapitelzuordnung],C49,Tabelle1[Budgeteinbehalt],"ja")</f>
        <v>0</v>
      </c>
      <c r="G49" s="54">
        <f>F49/$F$4</f>
        <v>0</v>
      </c>
    </row>
    <row r="50" spans="2:7" x14ac:dyDescent="0.35">
      <c r="B50" t="s">
        <v>165</v>
      </c>
      <c r="C50" t="s">
        <v>224</v>
      </c>
      <c r="D50" t="e">
        <f>IF(COUNTIF(Tabelle1[Kapitelzuordnung],Arbeitsbereich!C50)=0,NA(),COUNTIF(Tabelle1[Kapitelzuordnung],Arbeitsbereich!C50))</f>
        <v>#N/A</v>
      </c>
      <c r="E50" s="54" t="e">
        <f t="shared" si="0"/>
        <v>#N/A</v>
      </c>
      <c r="F50">
        <f>COUNTIFS(Tabelle1[Kapitelzuordnung],C50,Tabelle1[Budgeteinbehalt],"ja")</f>
        <v>0</v>
      </c>
      <c r="G50" s="54">
        <f>F50/$F$4</f>
        <v>0</v>
      </c>
    </row>
    <row r="51" spans="2:7" x14ac:dyDescent="0.35">
      <c r="B51" t="s">
        <v>165</v>
      </c>
      <c r="C51" t="s">
        <v>223</v>
      </c>
      <c r="D51" t="e">
        <f>IF(COUNTIF(Tabelle1[Kapitelzuordnung],Arbeitsbereich!C51)=0,NA(),COUNTIF(Tabelle1[Kapitelzuordnung],Arbeitsbereich!C51))</f>
        <v>#N/A</v>
      </c>
      <c r="E51" s="54" t="e">
        <f t="shared" si="0"/>
        <v>#N/A</v>
      </c>
      <c r="F51">
        <f>COUNTIFS(Tabelle1[Kapitelzuordnung],C51,Tabelle1[Budgeteinbehalt],"ja")</f>
        <v>0</v>
      </c>
      <c r="G51" s="54">
        <f>F51/$F$4</f>
        <v>0</v>
      </c>
    </row>
    <row r="52" spans="2:7" x14ac:dyDescent="0.35">
      <c r="B52" t="s">
        <v>164</v>
      </c>
      <c r="C52" t="s">
        <v>222</v>
      </c>
      <c r="D52" t="e">
        <f>IF(COUNTIF(Tabelle1[Kapitelzuordnung],Arbeitsbereich!C52)=0,NA(),COUNTIF(Tabelle1[Kapitelzuordnung],Arbeitsbereich!C52))</f>
        <v>#N/A</v>
      </c>
      <c r="E52" s="54" t="e">
        <f t="shared" si="0"/>
        <v>#N/A</v>
      </c>
      <c r="F52">
        <f>COUNTIFS(Tabelle1[Kapitelzuordnung],C52,Tabelle1[Budgeteinbehalt],"ja")</f>
        <v>0</v>
      </c>
      <c r="G52" s="54">
        <f>F52/$F$4</f>
        <v>0</v>
      </c>
    </row>
    <row r="53" spans="2:7" x14ac:dyDescent="0.35">
      <c r="B53" t="s">
        <v>164</v>
      </c>
      <c r="C53" t="s">
        <v>221</v>
      </c>
      <c r="D53" t="e">
        <f>IF(COUNTIF(Tabelle1[Kapitelzuordnung],Arbeitsbereich!C53)=0,NA(),COUNTIF(Tabelle1[Kapitelzuordnung],Arbeitsbereich!C53))</f>
        <v>#N/A</v>
      </c>
      <c r="E53" s="54" t="e">
        <f t="shared" si="0"/>
        <v>#N/A</v>
      </c>
      <c r="F53">
        <f>COUNTIFS(Tabelle1[Kapitelzuordnung],C53,Tabelle1[Budgeteinbehalt],"ja")</f>
        <v>0</v>
      </c>
      <c r="G53" s="54">
        <f>F53/$F$4</f>
        <v>0</v>
      </c>
    </row>
    <row r="54" spans="2:7" x14ac:dyDescent="0.35">
      <c r="B54" t="s">
        <v>164</v>
      </c>
      <c r="C54" t="s">
        <v>220</v>
      </c>
      <c r="D54" t="e">
        <f>IF(COUNTIF(Tabelle1[Kapitelzuordnung],Arbeitsbereich!C54)=0,NA(),COUNTIF(Tabelle1[Kapitelzuordnung],Arbeitsbereich!C54))</f>
        <v>#N/A</v>
      </c>
      <c r="E54" s="54" t="e">
        <f t="shared" si="0"/>
        <v>#N/A</v>
      </c>
      <c r="F54">
        <f>COUNTIFS(Tabelle1[Kapitelzuordnung],C54,Tabelle1[Budgeteinbehalt],"ja")</f>
        <v>0</v>
      </c>
      <c r="G54" s="54">
        <f>F54/$F$4</f>
        <v>0</v>
      </c>
    </row>
    <row r="55" spans="2:7" x14ac:dyDescent="0.35">
      <c r="B55" t="s">
        <v>164</v>
      </c>
      <c r="C55" t="s">
        <v>219</v>
      </c>
      <c r="D55" t="e">
        <f>IF(COUNTIF(Tabelle1[Kapitelzuordnung],Arbeitsbereich!C55)=0,NA(),COUNTIF(Tabelle1[Kapitelzuordnung],Arbeitsbereich!C55))</f>
        <v>#N/A</v>
      </c>
      <c r="E55" s="54" t="e">
        <f t="shared" si="0"/>
        <v>#N/A</v>
      </c>
      <c r="F55">
        <f>COUNTIFS(Tabelle1[Kapitelzuordnung],C55,Tabelle1[Budgeteinbehalt],"ja")</f>
        <v>0</v>
      </c>
      <c r="G55" s="54">
        <f>F55/$F$4</f>
        <v>0</v>
      </c>
    </row>
    <row r="56" spans="2:7" x14ac:dyDescent="0.35">
      <c r="B56" t="s">
        <v>163</v>
      </c>
      <c r="C56" t="s">
        <v>218</v>
      </c>
      <c r="D56" t="e">
        <f>IF(COUNTIF(Tabelle1[Kapitelzuordnung],Arbeitsbereich!C56)=0,NA(),COUNTIF(Tabelle1[Kapitelzuordnung],Arbeitsbereich!C56))</f>
        <v>#N/A</v>
      </c>
      <c r="E56" s="54" t="e">
        <f t="shared" ref="E56" si="1">D56/$D$4</f>
        <v>#N/A</v>
      </c>
      <c r="F56">
        <f>COUNTIFS(Tabelle1[Kapitelzuordnung],C56,Tabelle1[Budgeteinbehalt],"ja")</f>
        <v>0</v>
      </c>
      <c r="G56" s="54">
        <f>F56/$F$4</f>
        <v>0</v>
      </c>
    </row>
    <row r="57" spans="2:7" x14ac:dyDescent="0.35">
      <c r="B57" t="s">
        <v>163</v>
      </c>
      <c r="C57" t="s">
        <v>217</v>
      </c>
      <c r="D57" t="e">
        <f>IF(COUNTIF(Tabelle1[Kapitelzuordnung],Arbeitsbereich!C57)=0,NA(),COUNTIF(Tabelle1[Kapitelzuordnung],Arbeitsbereich!C57))</f>
        <v>#N/A</v>
      </c>
      <c r="E57" s="54" t="e">
        <f>D57/$D$4</f>
        <v>#N/A</v>
      </c>
      <c r="F57">
        <f>COUNTIFS(Tabelle1[Kapitelzuordnung],C57,Tabelle1[Budgeteinbehalt],"ja")</f>
        <v>0</v>
      </c>
      <c r="G57" s="54">
        <f>F57/$F$4</f>
        <v>0</v>
      </c>
    </row>
    <row r="58" spans="2:7" x14ac:dyDescent="0.35">
      <c r="B58" t="s">
        <v>163</v>
      </c>
      <c r="C58" t="s">
        <v>208</v>
      </c>
      <c r="D58" t="e">
        <f>IF(COUNTIF(Tabelle1[Kapitelzuordnung],Arbeitsbereich!C58)=0,NA(),COUNTIF(Tabelle1[Kapitelzuordnung],Arbeitsbereich!C58))</f>
        <v>#N/A</v>
      </c>
      <c r="E58" s="54" t="e">
        <f>D58/$D$4</f>
        <v>#N/A</v>
      </c>
      <c r="F58">
        <f>COUNTIFS(Tabelle1[Kapitelzuordnung],C58,Tabelle1[Budgeteinbehalt],"ja")</f>
        <v>0</v>
      </c>
      <c r="G58" s="54">
        <f>F58/$F$4</f>
        <v>0</v>
      </c>
    </row>
    <row r="59" spans="2:7" x14ac:dyDescent="0.35">
      <c r="B59" t="s">
        <v>163</v>
      </c>
      <c r="C59" t="s">
        <v>167</v>
      </c>
      <c r="D59" t="e">
        <f>IF(COUNTIF(Tabelle1[Kapitelzuordnung],Arbeitsbereich!C59)=0,NA(),COUNTIF(Tabelle1[Kapitelzuordnung],Arbeitsbereich!C59))</f>
        <v>#N/A</v>
      </c>
      <c r="E59" s="54" t="e">
        <f>D59/$D$4</f>
        <v>#N/A</v>
      </c>
      <c r="F59">
        <f>COUNTIFS(Tabelle1[Kapitelzuordnung],C59,Tabelle1[Budgeteinbehalt],"ja")</f>
        <v>0</v>
      </c>
      <c r="G59" s="54">
        <f>F59/$F$4</f>
        <v>0</v>
      </c>
    </row>
    <row r="60" spans="2:7" x14ac:dyDescent="0.35">
      <c r="B60" t="s">
        <v>163</v>
      </c>
      <c r="C60" t="s">
        <v>210</v>
      </c>
      <c r="D60" t="e">
        <f>IF(COUNTIF(Tabelle1[Kapitelzuordnung],Arbeitsbereich!C60)=0,NA(),COUNTIF(Tabelle1[Kapitelzuordnung],Arbeitsbereich!C60))</f>
        <v>#N/A</v>
      </c>
      <c r="E60" s="54" t="e">
        <f>D60/$D$4</f>
        <v>#N/A</v>
      </c>
      <c r="F60">
        <f>COUNTIFS(Tabelle1[Kapitelzuordnung],C60,Tabelle1[Budgeteinbehalt],"ja")</f>
        <v>0</v>
      </c>
      <c r="G60" s="54">
        <f>F60/$F$4</f>
        <v>0</v>
      </c>
    </row>
    <row r="61" spans="2:7" x14ac:dyDescent="0.35">
      <c r="C61" t="s">
        <v>96</v>
      </c>
      <c r="D61" t="e">
        <f>SUM(D43:D60)</f>
        <v>#N/A</v>
      </c>
      <c r="E61" s="54" t="e">
        <f>SUM(E43:E60)</f>
        <v>#N/A</v>
      </c>
      <c r="F61">
        <f>SUM(F43:F60)</f>
        <v>1</v>
      </c>
      <c r="G61" s="54">
        <f>SUM(G43:G60)</f>
        <v>1</v>
      </c>
    </row>
    <row r="63" spans="2:7" x14ac:dyDescent="0.35">
      <c r="B63" s="77" t="str">
        <f>Parameter!P3</f>
        <v>Projektphase</v>
      </c>
      <c r="C63" s="77"/>
      <c r="D63" s="78" t="s">
        <v>105</v>
      </c>
      <c r="E63" s="78" t="s">
        <v>64</v>
      </c>
      <c r="F63" s="78" t="s">
        <v>123</v>
      </c>
      <c r="G63" s="78" t="s">
        <v>64</v>
      </c>
    </row>
    <row r="64" spans="2:7" x14ac:dyDescent="0.35">
      <c r="C64" t="str">
        <f>Parameter!P4</f>
        <v>Idee erfasst/noch nicht gestartet</v>
      </c>
      <c r="D64">
        <f>IF(COUNTIF(Portfolio_Daten!$AG$5:$AG$119,Arbeitsbereich!C64)=0,NA(),COUNTIF(Portfolio_Daten!$AG5:$AG119,Arbeitsbereich!C64))</f>
        <v>1</v>
      </c>
      <c r="E64" s="54">
        <f>D64/$D$4</f>
        <v>0.25</v>
      </c>
      <c r="F64">
        <f>COUNTIFS(Tabelle1[Projektphase],$C64,Tabelle1[Budgeteinbehalt],"ja")</f>
        <v>1</v>
      </c>
      <c r="G64" s="54">
        <f>F64/$F$4</f>
        <v>1</v>
      </c>
    </row>
    <row r="65" spans="2:28" x14ac:dyDescent="0.35">
      <c r="C65" t="str">
        <f>Parameter!P5</f>
        <v>Planung</v>
      </c>
      <c r="D65">
        <f>IF(COUNTIF(Portfolio_Daten!$AG$5:$AG$119,Arbeitsbereich!C65)=0,NA(),COUNTIF(Portfolio_Daten!$AG5:$AG$119,Arbeitsbereich!C65))</f>
        <v>2</v>
      </c>
      <c r="E65" s="54">
        <f t="shared" ref="E65:E67" si="2">D65/$D$4</f>
        <v>0.5</v>
      </c>
      <c r="F65">
        <f>COUNTIFS(Tabelle1[Projektphase],$C65,Tabelle1[Budgeteinbehalt],"ja")</f>
        <v>0</v>
      </c>
      <c r="G65" s="54">
        <f>F65/$F$4</f>
        <v>0</v>
      </c>
    </row>
    <row r="66" spans="2:28" x14ac:dyDescent="0.35">
      <c r="C66" t="str">
        <f>Parameter!P6</f>
        <v>In Arbeit</v>
      </c>
      <c r="D66">
        <f>IF(COUNTIF(Portfolio_Daten!$AG$5:$AG$119,Arbeitsbereich!C66)=0,NA(),COUNTIF(Portfolio_Daten!$AG5:$AG$119,Arbeitsbereich!C66))</f>
        <v>1</v>
      </c>
      <c r="E66" s="54">
        <f t="shared" si="2"/>
        <v>0.25</v>
      </c>
      <c r="F66">
        <f>COUNTIFS(Tabelle1[Projektphase],$C66,Tabelle1[Budgeteinbehalt],"ja")</f>
        <v>0</v>
      </c>
      <c r="G66" s="54">
        <f>F66/$F$4</f>
        <v>0</v>
      </c>
    </row>
    <row r="67" spans="2:28" x14ac:dyDescent="0.35">
      <c r="C67" t="s">
        <v>14</v>
      </c>
      <c r="D67" t="e">
        <f>IF(COUNTIF(Portfolio_Daten!$AG$5:$AG$119,Arbeitsbereich!C67)=0,NA(),COUNTIF(Portfolio_Daten!$AG$5:$AG119,Arbeitsbereich!C67))</f>
        <v>#N/A</v>
      </c>
      <c r="E67" s="54" t="e">
        <f t="shared" si="2"/>
        <v>#N/A</v>
      </c>
      <c r="F67">
        <f>COUNTIFS(Tabelle1[Projektphase],$C67,Tabelle1[Budgeteinbehalt],"ja")</f>
        <v>0</v>
      </c>
      <c r="G67" s="54">
        <f>F67/$F$4</f>
        <v>0</v>
      </c>
    </row>
    <row r="68" spans="2:28" x14ac:dyDescent="0.35">
      <c r="C68" t="str">
        <f>Parameter!P7</f>
        <v>Blockiert</v>
      </c>
      <c r="D68" t="e">
        <f>IF(COUNTIF(Portfolio_Daten!$AG$5:$AG$119,Arbeitsbereich!C68)=0,NA(),COUNTIF(Portfolio_Daten!$AG5:$AG$119,Arbeitsbereich!C68))</f>
        <v>#N/A</v>
      </c>
      <c r="E68" s="54" t="e">
        <f>D68/$D$4</f>
        <v>#N/A</v>
      </c>
      <c r="F68">
        <f>COUNTIFS(Tabelle1[Projektphase],$C68,Tabelle1[Budgeteinbehalt],"ja")</f>
        <v>0</v>
      </c>
      <c r="G68" s="54">
        <f>F68/$F$4</f>
        <v>0</v>
      </c>
    </row>
    <row r="69" spans="2:28" x14ac:dyDescent="0.35">
      <c r="C69" t="str">
        <f>Parameter!P9</f>
        <v>Abgebrochen</v>
      </c>
      <c r="D69" t="e">
        <f>IF(COUNTIF(Portfolio_Daten!$AG$5:$AG$119,Arbeitsbereich!C69)=0,NA(),COUNTIF(Portfolio_Daten!$AG$5:$AG$119,Arbeitsbereich!C69))</f>
        <v>#N/A</v>
      </c>
      <c r="E69" s="54" t="e">
        <f>D69/$D$4</f>
        <v>#N/A</v>
      </c>
      <c r="F69">
        <f>COUNTIFS(Tabelle1[Projektphase],$C69,Tabelle1[Budgeteinbehalt],"ja")</f>
        <v>0</v>
      </c>
      <c r="G69" s="54">
        <f>F69/$F$4</f>
        <v>0</v>
      </c>
    </row>
    <row r="71" spans="2:28" x14ac:dyDescent="0.35">
      <c r="B71" s="77" t="str">
        <f>Parameter!V3</f>
        <v>Priorität</v>
      </c>
      <c r="C71" s="77"/>
      <c r="D71" s="78" t="s">
        <v>105</v>
      </c>
      <c r="E71" s="78" t="s">
        <v>64</v>
      </c>
      <c r="F71" s="78" t="s">
        <v>123</v>
      </c>
      <c r="G71" s="78" t="s">
        <v>64</v>
      </c>
    </row>
    <row r="72" spans="2:28" x14ac:dyDescent="0.35">
      <c r="C72" t="str">
        <f>Parameter!V6</f>
        <v>Gering</v>
      </c>
      <c r="D72">
        <f>COUNTIF(Tabelle1[Priorität],Arbeitsbereich!C72)</f>
        <v>2</v>
      </c>
      <c r="E72" s="50">
        <f>D72/$D$4</f>
        <v>0.5</v>
      </c>
      <c r="F72">
        <f>COUNTIFS(Tabelle1[Priorität],$C72,Tabelle1[Budgeteinbehalt],"ja")</f>
        <v>1</v>
      </c>
      <c r="G72" s="54">
        <f>F72/$F$4</f>
        <v>1</v>
      </c>
    </row>
    <row r="73" spans="2:28" x14ac:dyDescent="0.35">
      <c r="C73" t="str">
        <f>Parameter!V5</f>
        <v>Mittel</v>
      </c>
      <c r="D73">
        <f>COUNTIF(Tabelle1[Priorität],Arbeitsbereich!C73)</f>
        <v>1</v>
      </c>
      <c r="E73" s="50">
        <f t="shared" ref="E73:E74" si="3">D73/$D$4</f>
        <v>0.25</v>
      </c>
      <c r="F73">
        <f>COUNTIFS(Tabelle1[Priorität],$C73,Tabelle1[Budgeteinbehalt],"ja")</f>
        <v>0</v>
      </c>
      <c r="G73" s="54">
        <f>F73/$F$4</f>
        <v>0</v>
      </c>
    </row>
    <row r="74" spans="2:28" x14ac:dyDescent="0.35">
      <c r="C74" t="str">
        <f>Parameter!V4</f>
        <v>Hoch</v>
      </c>
      <c r="D74">
        <f>COUNTIF(Tabelle1[Priorität],Arbeitsbereich!C74)</f>
        <v>1</v>
      </c>
      <c r="E74" s="50">
        <f t="shared" si="3"/>
        <v>0.25</v>
      </c>
      <c r="F74">
        <f>COUNTIFS(Tabelle1[Priorität],$C74,Tabelle1[Budgeteinbehalt],"ja")</f>
        <v>0</v>
      </c>
      <c r="G74" s="54">
        <f>F74/$F$4</f>
        <v>0</v>
      </c>
    </row>
    <row r="75" spans="2:28" x14ac:dyDescent="0.35">
      <c r="C75" t="s">
        <v>145</v>
      </c>
      <c r="E75" s="50"/>
    </row>
    <row r="77" spans="2:28" x14ac:dyDescent="0.35">
      <c r="O77" s="137" t="s">
        <v>123</v>
      </c>
      <c r="P77" s="137"/>
      <c r="Q77" s="137"/>
      <c r="R77" s="137"/>
      <c r="S77" s="137"/>
      <c r="T77" s="137"/>
      <c r="U77" s="137"/>
      <c r="V77" s="137"/>
      <c r="W77" s="137"/>
      <c r="X77" s="137"/>
      <c r="Y77" s="137"/>
      <c r="Z77" s="137"/>
    </row>
    <row r="78" spans="2:28" x14ac:dyDescent="0.35">
      <c r="B78" s="77" t="str">
        <f>Parameter!Y3</f>
        <v>Risiko</v>
      </c>
      <c r="C78" s="77" t="s">
        <v>95</v>
      </c>
      <c r="D78" s="78" t="s">
        <v>85</v>
      </c>
      <c r="E78" s="78"/>
      <c r="F78" s="78" t="s">
        <v>250</v>
      </c>
      <c r="G78" s="78" t="s">
        <v>90</v>
      </c>
      <c r="H78" s="78" t="s">
        <v>87</v>
      </c>
      <c r="I78" s="78" t="s">
        <v>88</v>
      </c>
      <c r="J78" s="78" t="s">
        <v>89</v>
      </c>
      <c r="K78" s="78" t="s">
        <v>90</v>
      </c>
      <c r="L78" s="78" t="s">
        <v>91</v>
      </c>
      <c r="M78" s="78" t="s">
        <v>92</v>
      </c>
      <c r="N78" s="78" t="s">
        <v>93</v>
      </c>
      <c r="O78" s="78" t="s">
        <v>94</v>
      </c>
      <c r="P78" s="77" t="s">
        <v>95</v>
      </c>
      <c r="Q78" s="78" t="s">
        <v>85</v>
      </c>
      <c r="R78" s="78"/>
      <c r="S78" s="78" t="s">
        <v>250</v>
      </c>
      <c r="T78" s="78" t="s">
        <v>86</v>
      </c>
      <c r="U78" s="78" t="s">
        <v>87</v>
      </c>
      <c r="V78" s="78" t="s">
        <v>88</v>
      </c>
      <c r="W78" s="78" t="s">
        <v>89</v>
      </c>
      <c r="X78" s="78" t="s">
        <v>90</v>
      </c>
      <c r="Y78" s="78" t="s">
        <v>91</v>
      </c>
      <c r="Z78" s="78" t="s">
        <v>92</v>
      </c>
      <c r="AA78" s="78" t="s">
        <v>93</v>
      </c>
      <c r="AB78" s="78" t="s">
        <v>94</v>
      </c>
    </row>
    <row r="79" spans="2:28" x14ac:dyDescent="0.35">
      <c r="C79" t="str">
        <f>Parameter!Y8</f>
        <v>Sehr Gering</v>
      </c>
      <c r="D79">
        <f>COUNTIF(Tabelle1[Risiko],Arbeitsbereich!C79)</f>
        <v>0</v>
      </c>
      <c r="E79" t="str">
        <f>C79</f>
        <v>Sehr Gering</v>
      </c>
      <c r="F79">
        <v>0</v>
      </c>
      <c r="G79">
        <v>0</v>
      </c>
      <c r="P79" t="str">
        <f>C79</f>
        <v>Sehr Gering</v>
      </c>
      <c r="Q79">
        <f>COUNTIFS(Tabelle1[Risiko],P79,Tabelle1[Budgeteinbehalt],"ja")</f>
        <v>0</v>
      </c>
      <c r="R79" t="str">
        <f>P79</f>
        <v>Sehr Gering</v>
      </c>
      <c r="S79">
        <v>0</v>
      </c>
      <c r="T79">
        <v>0</v>
      </c>
    </row>
    <row r="80" spans="2:28" x14ac:dyDescent="0.35">
      <c r="C80" t="str">
        <f>Parameter!Y7</f>
        <v>Gering</v>
      </c>
      <c r="D80">
        <f>COUNTIF(Tabelle1[Risiko],Arbeitsbereich!C80)</f>
        <v>1</v>
      </c>
      <c r="E80" t="str">
        <f t="shared" ref="E80:E83" si="4">C80</f>
        <v>Gering</v>
      </c>
      <c r="F80">
        <v>1</v>
      </c>
      <c r="G80">
        <v>1</v>
      </c>
      <c r="P80" t="str">
        <f>C80</f>
        <v>Gering</v>
      </c>
      <c r="Q80">
        <f>COUNTIFS(Tabelle1[Risiko],P80,Tabelle1[Budgeteinbehalt],"ja")</f>
        <v>0</v>
      </c>
      <c r="R80" t="str">
        <f t="shared" ref="R80:R83" si="5">P80</f>
        <v>Gering</v>
      </c>
      <c r="S80">
        <v>0</v>
      </c>
      <c r="T80">
        <v>0</v>
      </c>
    </row>
    <row r="81" spans="2:20" x14ac:dyDescent="0.35">
      <c r="C81" t="str">
        <f>Parameter!Y6</f>
        <v>Mittel</v>
      </c>
      <c r="D81">
        <f>COUNTIF(Tabelle1[Risiko],Arbeitsbereich!C81)</f>
        <v>2</v>
      </c>
      <c r="E81" t="str">
        <f t="shared" si="4"/>
        <v>Mittel</v>
      </c>
      <c r="F81">
        <v>1</v>
      </c>
      <c r="G81">
        <v>2</v>
      </c>
      <c r="P81" t="str">
        <f>C81</f>
        <v>Mittel</v>
      </c>
      <c r="Q81">
        <f>COUNTIFS(Tabelle1[Risiko],P81,Tabelle1[Budgeteinbehalt],"ja")</f>
        <v>1</v>
      </c>
      <c r="R81" t="str">
        <f t="shared" si="5"/>
        <v>Mittel</v>
      </c>
      <c r="S81">
        <v>1</v>
      </c>
      <c r="T81">
        <v>1</v>
      </c>
    </row>
    <row r="82" spans="2:20" x14ac:dyDescent="0.35">
      <c r="C82" t="str">
        <f>Parameter!Y5</f>
        <v>Hoch</v>
      </c>
      <c r="D82">
        <f>COUNTIF(Tabelle1[Risiko],Arbeitsbereich!C82)</f>
        <v>1</v>
      </c>
      <c r="E82" t="str">
        <f t="shared" si="4"/>
        <v>Hoch</v>
      </c>
      <c r="F82">
        <v>1</v>
      </c>
      <c r="G82">
        <v>1</v>
      </c>
      <c r="P82" t="str">
        <f>C82</f>
        <v>Hoch</v>
      </c>
      <c r="Q82">
        <f>COUNTIFS(Tabelle1[Risiko],P82,Tabelle1[Budgeteinbehalt],"ja")</f>
        <v>0</v>
      </c>
      <c r="R82" t="str">
        <f t="shared" si="5"/>
        <v>Hoch</v>
      </c>
      <c r="S82">
        <v>0</v>
      </c>
      <c r="T82">
        <v>0</v>
      </c>
    </row>
    <row r="83" spans="2:20" x14ac:dyDescent="0.35">
      <c r="C83" t="str">
        <f>Parameter!Y4</f>
        <v>Sehr Hoch</v>
      </c>
      <c r="D83">
        <f>COUNTIF(Tabelle1[Risiko],Arbeitsbereich!C83)</f>
        <v>0</v>
      </c>
      <c r="E83" t="str">
        <f t="shared" si="4"/>
        <v>Sehr Hoch</v>
      </c>
      <c r="F83">
        <v>1</v>
      </c>
      <c r="G83">
        <v>0</v>
      </c>
      <c r="P83" t="str">
        <f>C83</f>
        <v>Sehr Hoch</v>
      </c>
      <c r="Q83">
        <f>COUNTIFS(Tabelle1[Risiko],P83,Tabelle1[Budgeteinbehalt],"ja")</f>
        <v>0</v>
      </c>
      <c r="R83" t="str">
        <f t="shared" si="5"/>
        <v>Sehr Hoch</v>
      </c>
      <c r="S83">
        <v>0</v>
      </c>
      <c r="T83">
        <v>0</v>
      </c>
    </row>
    <row r="84" spans="2:20" x14ac:dyDescent="0.35">
      <c r="C84" t="s">
        <v>160</v>
      </c>
      <c r="D84">
        <f>SUM(D79:D83)</f>
        <v>4</v>
      </c>
      <c r="F84">
        <v>4</v>
      </c>
      <c r="G84">
        <v>4</v>
      </c>
      <c r="P84" t="s">
        <v>160</v>
      </c>
      <c r="Q84">
        <f>SUM(Q79:Q83)</f>
        <v>1</v>
      </c>
      <c r="S84">
        <v>1</v>
      </c>
      <c r="T84">
        <v>1</v>
      </c>
    </row>
    <row r="86" spans="2:20" x14ac:dyDescent="0.35">
      <c r="B86" s="77" t="str">
        <f>Parameter!Y3</f>
        <v>Risiko</v>
      </c>
      <c r="C86" s="77" t="s">
        <v>109</v>
      </c>
      <c r="D86" s="78" t="s">
        <v>105</v>
      </c>
      <c r="E86" s="78" t="s">
        <v>163</v>
      </c>
      <c r="F86" s="78" t="s">
        <v>164</v>
      </c>
      <c r="G86" s="78" t="s">
        <v>165</v>
      </c>
      <c r="H86" s="78" t="s">
        <v>166</v>
      </c>
    </row>
    <row r="87" spans="2:20" x14ac:dyDescent="0.35">
      <c r="C87" t="str">
        <f>Parameter!Y8</f>
        <v>Sehr Gering</v>
      </c>
      <c r="D87">
        <f>COUNTIF(Tabelle1[Risiko],Arbeitsbereich!C87)</f>
        <v>0</v>
      </c>
      <c r="E87" t="e">
        <f>IF(COUNTIFS(Tabelle1[Risiko],C87, Tabelle1[Leistungsbereich],$E$86)=0, NA(), COUNTIFS(Tabelle1[Risiko],C87, Tabelle1[Leistungsbereich],$E$86))</f>
        <v>#N/A</v>
      </c>
      <c r="F87" t="e">
        <f>IF(COUNTIFS(Tabelle1[Risiko],C87, Tabelle1[Leistungsbereich],$F$86)=0, NA(), COUNTIFS(Tabelle1[Risiko],C87, Tabelle1[Leistungsbereich],$F$86))</f>
        <v>#N/A</v>
      </c>
      <c r="G87" t="e">
        <f>IF(COUNTIFS(Tabelle1[Risiko],C87, Tabelle1[Leistungsbereich],$G$86)=0, NA(), COUNTIFS(Tabelle1[Risiko],C87, Tabelle1[Leistungsbereich],$G$86))</f>
        <v>#N/A</v>
      </c>
      <c r="H87" t="e">
        <f>IF(COUNTIFS(Tabelle1[Risiko],C87, Tabelle1[Leistungsbereich],$H$86)=0, NA(), COUNTIFS(Tabelle1[Risiko],C87, Tabelle1[Leistungsbereich],$H$86))</f>
        <v>#N/A</v>
      </c>
    </row>
    <row r="88" spans="2:20" x14ac:dyDescent="0.35">
      <c r="C88" t="str">
        <f>Parameter!Y7</f>
        <v>Gering</v>
      </c>
      <c r="D88">
        <f>COUNTIF(Tabelle1[Risiko],Arbeitsbereich!C88)</f>
        <v>1</v>
      </c>
      <c r="E88" t="e">
        <f>IF(COUNTIFS(Tabelle1[Risiko],C88, Tabelle1[Leistungsbereich],$E$86)=0, NA(), COUNTIFS(Tabelle1[Risiko],C88, Tabelle1[Leistungsbereich],$E$86))</f>
        <v>#N/A</v>
      </c>
      <c r="F88" t="e">
        <f>IF(COUNTIFS(Tabelle1[Risiko],C88, Tabelle1[Leistungsbereich],$F$86)=0, NA(), COUNTIFS(Tabelle1[Risiko],C88, Tabelle1[Leistungsbereich],$F$86))</f>
        <v>#N/A</v>
      </c>
      <c r="G88">
        <f>IF(COUNTIFS(Tabelle1[Risiko],C88, Tabelle1[Leistungsbereich],$G$86)=0, NA(), COUNTIFS(Tabelle1[Risiko],C88, Tabelle1[Leistungsbereich],$G$86))</f>
        <v>1</v>
      </c>
      <c r="H88" t="e">
        <f>IF(COUNTIFS(Tabelle1[Risiko],C88, Tabelle1[Leistungsbereich],$H$86)=0, NA(), COUNTIFS(Tabelle1[Risiko],C88, Tabelle1[Leistungsbereich],$H$86))</f>
        <v>#N/A</v>
      </c>
    </row>
    <row r="89" spans="2:20" x14ac:dyDescent="0.35">
      <c r="C89" t="str">
        <f>Parameter!Y6</f>
        <v>Mittel</v>
      </c>
      <c r="D89">
        <f>COUNTIF(Tabelle1[Risiko],Arbeitsbereich!C89)</f>
        <v>2</v>
      </c>
      <c r="E89">
        <f>IF(COUNTIFS(Tabelle1[Risiko],C89, Tabelle1[Leistungsbereich],$E$86)=0, NA(), COUNTIFS(Tabelle1[Risiko],C89, Tabelle1[Leistungsbereich],$E$86))</f>
        <v>1</v>
      </c>
      <c r="F89" t="e">
        <f>IF(COUNTIFS(Tabelle1[Risiko],C89, Tabelle1[Leistungsbereich],$F$86)=0, NA(), COUNTIFS(Tabelle1[Risiko],C89, Tabelle1[Leistungsbereich],$F$86))</f>
        <v>#N/A</v>
      </c>
      <c r="G89">
        <f>IF(COUNTIFS(Tabelle1[Risiko],C89, Tabelle1[Leistungsbereich],$G$86)=0, NA(), COUNTIFS(Tabelle1[Risiko],C89, Tabelle1[Leistungsbereich],$G$86))</f>
        <v>1</v>
      </c>
      <c r="H89" t="e">
        <f>IF(COUNTIFS(Tabelle1[Risiko],C89, Tabelle1[Leistungsbereich],$H$86)=0, NA(), COUNTIFS(Tabelle1[Risiko],C89, Tabelle1[Leistungsbereich],$H$86))</f>
        <v>#N/A</v>
      </c>
    </row>
    <row r="90" spans="2:20" x14ac:dyDescent="0.35">
      <c r="C90" t="str">
        <f>Parameter!Y5</f>
        <v>Hoch</v>
      </c>
      <c r="D90">
        <f>COUNTIF(Tabelle1[Risiko],Arbeitsbereich!C90)</f>
        <v>1</v>
      </c>
      <c r="E90" t="e">
        <f>IF(COUNTIFS(Tabelle1[Risiko],C90, Tabelle1[Leistungsbereich],$E$86)=0, NA(), COUNTIFS(Tabelle1[Risiko],C90, Tabelle1[Leistungsbereich],$E$86))</f>
        <v>#N/A</v>
      </c>
      <c r="F90" t="e">
        <f>IF(COUNTIFS(Tabelle1[Risiko],C90, Tabelle1[Leistungsbereich],$F$86)=0, NA(), COUNTIFS(Tabelle1[Risiko],C90, Tabelle1[Leistungsbereich],$F$86))</f>
        <v>#N/A</v>
      </c>
      <c r="G90" t="e">
        <f>IF(COUNTIFS(Tabelle1[Risiko],C90, Tabelle1[Leistungsbereich],$G$86)=0, NA(), COUNTIFS(Tabelle1[Risiko],C90, Tabelle1[Leistungsbereich],$G$86))</f>
        <v>#N/A</v>
      </c>
      <c r="H90">
        <f>IF(COUNTIFS(Tabelle1[Risiko],C90, Tabelle1[Leistungsbereich],$H$86)=0, NA(), COUNTIFS(Tabelle1[Risiko],C90, Tabelle1[Leistungsbereich],$H$86))</f>
        <v>1</v>
      </c>
    </row>
    <row r="91" spans="2:20" x14ac:dyDescent="0.35">
      <c r="C91" t="str">
        <f>Parameter!Y4</f>
        <v>Sehr Hoch</v>
      </c>
      <c r="D91">
        <f>COUNTIF(Tabelle1[Risiko],Arbeitsbereich!C91)</f>
        <v>0</v>
      </c>
      <c r="E91" t="e">
        <f>IF(COUNTIFS(Tabelle1[Risiko],C91, Tabelle1[Leistungsbereich],$E$86)=0, NA(), COUNTIFS(Tabelle1[Risiko],C91, Tabelle1[Leistungsbereich],$E$86))</f>
        <v>#N/A</v>
      </c>
      <c r="F91" t="e">
        <f>IF(COUNTIFS(Tabelle1[Risiko],C91, Tabelle1[Leistungsbereich],$F$86)=0, NA(), COUNTIFS(Tabelle1[Risiko],C91, Tabelle1[Leistungsbereich],$F$86))</f>
        <v>#N/A</v>
      </c>
      <c r="G91" t="e">
        <f>IF(COUNTIFS(Tabelle1[Risiko],C91, Tabelle1[Leistungsbereich],$G$86)=0, NA(), COUNTIFS(Tabelle1[Risiko],C91, Tabelle1[Leistungsbereich],$G$86))</f>
        <v>#N/A</v>
      </c>
      <c r="H91" t="e">
        <f>IF(COUNTIFS(Tabelle1[Risiko],C91, Tabelle1[Leistungsbereich],$H$86)=0, NA(), COUNTIFS(Tabelle1[Risiko],C91, Tabelle1[Leistungsbereich],$H$86))</f>
        <v>#N/A</v>
      </c>
    </row>
    <row r="93" spans="2:20" x14ac:dyDescent="0.35">
      <c r="B93" s="77" t="str">
        <f>Parameter!AA3</f>
        <v>PAG</v>
      </c>
      <c r="C93" s="77"/>
      <c r="D93" s="78" t="s">
        <v>105</v>
      </c>
      <c r="E93" s="78" t="s">
        <v>64</v>
      </c>
      <c r="F93" s="78" t="s">
        <v>123</v>
      </c>
      <c r="G93" s="78" t="s">
        <v>64</v>
      </c>
    </row>
    <row r="94" spans="2:20" x14ac:dyDescent="0.35">
      <c r="C94" t="str">
        <f>Parameter!AA4</f>
        <v>Rektor</v>
      </c>
      <c r="D94">
        <f>COUNTIF(Tabelle1[PAG],Arbeitsbereich!C94)</f>
        <v>1</v>
      </c>
      <c r="E94" s="50">
        <f>D94/$D$4</f>
        <v>0.25</v>
      </c>
      <c r="F94">
        <f>COUNTIFS(Tabelle1[PAG],$C94,Tabelle1[Budgeteinbehalt],"ja")</f>
        <v>0</v>
      </c>
      <c r="G94" s="54">
        <f>F94/$F$4</f>
        <v>0</v>
      </c>
    </row>
    <row r="95" spans="2:20" x14ac:dyDescent="0.35">
      <c r="C95" t="str">
        <f>Parameter!AA5</f>
        <v>VRLK</v>
      </c>
      <c r="D95">
        <f>COUNTIF(Tabelle1[PAG],Arbeitsbereich!C95)</f>
        <v>2</v>
      </c>
      <c r="E95" s="50">
        <f>D95/$D$4</f>
        <v>0.5</v>
      </c>
      <c r="F95">
        <f>COUNTIFS(Tabelle1[PAG],$C95,Tabelle1[Budgeteinbehalt],"ja")</f>
        <v>1</v>
      </c>
      <c r="G95" s="54">
        <f>F95/$F$4</f>
        <v>1</v>
      </c>
    </row>
    <row r="96" spans="2:20" x14ac:dyDescent="0.35">
      <c r="C96" t="str">
        <f>Parameter!AA6</f>
        <v>VRFDI</v>
      </c>
      <c r="D96">
        <f>COUNTIF(Tabelle1[PAG],Arbeitsbereich!C96)</f>
        <v>1</v>
      </c>
      <c r="E96" s="50">
        <f>D96/$D$4</f>
        <v>0.25</v>
      </c>
      <c r="F96">
        <f>COUNTIFS(Tabelle1[PAG],$C96,Tabelle1[Budgeteinbehalt],"ja")</f>
        <v>0</v>
      </c>
      <c r="G96" s="54">
        <f>F96/$F$4</f>
        <v>0</v>
      </c>
    </row>
    <row r="97" spans="2:33" x14ac:dyDescent="0.35">
      <c r="C97" t="str">
        <f>Parameter!AA7</f>
        <v>VRFIN</v>
      </c>
      <c r="D97">
        <f>COUNTIF(Tabelle1[PAG],Arbeitsbereich!C97)</f>
        <v>0</v>
      </c>
      <c r="E97" s="50">
        <f>D97/$D$4</f>
        <v>0</v>
      </c>
      <c r="F97">
        <f>COUNTIFS(Tabelle1[PAG],$C97,Tabelle1[Budgeteinbehalt],"ja")</f>
        <v>0</v>
      </c>
      <c r="G97" s="54">
        <f>F97/$F$4</f>
        <v>0</v>
      </c>
    </row>
    <row r="98" spans="2:33" x14ac:dyDescent="0.35">
      <c r="E98" s="50"/>
    </row>
    <row r="99" spans="2:33" x14ac:dyDescent="0.35">
      <c r="B99" s="77" t="str">
        <f>Tabelle1[[#Headers],[Ampelstatus Gesamt]]</f>
        <v>Ampelstatus Gesamt</v>
      </c>
      <c r="C99" s="77"/>
      <c r="D99" s="78" t="s">
        <v>105</v>
      </c>
      <c r="E99" s="78" t="s">
        <v>64</v>
      </c>
      <c r="F99" s="78" t="s">
        <v>123</v>
      </c>
      <c r="G99" s="78" t="s">
        <v>64</v>
      </c>
      <c r="H99" s="78" t="s">
        <v>15</v>
      </c>
      <c r="I99" s="78" t="s">
        <v>64</v>
      </c>
      <c r="J99" s="78" t="s">
        <v>59</v>
      </c>
      <c r="K99" s="78" t="s">
        <v>64</v>
      </c>
      <c r="L99" s="78" t="s">
        <v>57</v>
      </c>
      <c r="M99" s="78" t="s">
        <v>64</v>
      </c>
      <c r="N99" s="78" t="s">
        <v>58</v>
      </c>
      <c r="O99" s="78" t="s">
        <v>64</v>
      </c>
    </row>
    <row r="100" spans="2:33" x14ac:dyDescent="0.35">
      <c r="C100" t="str">
        <f>Parameter!$AC$4</f>
        <v>In Ordnung</v>
      </c>
      <c r="D100">
        <f>COUNTIF(Tabelle1[Ampelstatus Gesamt],Arbeitsbereich!C100)</f>
        <v>2</v>
      </c>
      <c r="E100" s="50">
        <f>D100/$D$4</f>
        <v>0.5</v>
      </c>
      <c r="F100">
        <f>COUNTIFS(Tabelle1[Ampelstatus Gesamt],$C100,Tabelle1[Budgeteinbehalt],"ja")</f>
        <v>0</v>
      </c>
      <c r="G100" s="54">
        <f>F100/$F$4</f>
        <v>0</v>
      </c>
      <c r="H100">
        <f>COUNTIFS(Tabelle1[Ampelstatus Gesamt],$C100,Tabelle1[PAG],H99)</f>
        <v>0</v>
      </c>
      <c r="I100" s="54">
        <f>H100/$H$4</f>
        <v>0</v>
      </c>
      <c r="J100">
        <f>COUNTIFS(Tabelle1[Ampelstatus Gesamt],$C100,Tabelle1[PAG],J$99)</f>
        <v>1</v>
      </c>
      <c r="K100" s="54">
        <f>J100/$J$4</f>
        <v>0.5</v>
      </c>
      <c r="L100">
        <f>COUNTIFS(Tabelle1[Ampelstatus Gesamt],$C100,Tabelle1[PAG],L$99)</f>
        <v>1</v>
      </c>
      <c r="M100" s="54">
        <f>L100/$L$4</f>
        <v>1</v>
      </c>
      <c r="N100">
        <f>COUNTIFS(Tabelle1[Ampelstatus Gesamt],$C100,Tabelle1[PAG],N$99)</f>
        <v>0</v>
      </c>
      <c r="O100" s="54" t="e">
        <f>N100/$N$4</f>
        <v>#DIV/0!</v>
      </c>
    </row>
    <row r="101" spans="2:33" x14ac:dyDescent="0.35">
      <c r="C101" t="str">
        <f>Parameter!$AC$5</f>
        <v>Vorsicht</v>
      </c>
      <c r="D101">
        <f>COUNTIF(Tabelle1[Ampelstatus Gesamt],Arbeitsbereich!C101)</f>
        <v>1</v>
      </c>
      <c r="E101" s="50">
        <f>D101/$D$4</f>
        <v>0.25</v>
      </c>
      <c r="F101">
        <f>COUNTIFS(Tabelle1[Ampelstatus Gesamt],$C101,Tabelle1[Budgeteinbehalt],"ja")</f>
        <v>1</v>
      </c>
      <c r="G101" s="54">
        <f>F101/$F$4</f>
        <v>1</v>
      </c>
      <c r="H101">
        <f>COUNTIFS(Tabelle1[Ampelstatus Gesamt],$C101,Tabelle1[PAG],H$99)</f>
        <v>0</v>
      </c>
      <c r="I101" s="54">
        <f>H101/$H$4</f>
        <v>0</v>
      </c>
      <c r="J101">
        <f>COUNTIFS(Tabelle1[Ampelstatus Gesamt],$C101,Tabelle1[PAG],J$99)</f>
        <v>1</v>
      </c>
      <c r="K101" s="54">
        <f>J101/$J$4</f>
        <v>0.5</v>
      </c>
      <c r="L101">
        <f>COUNTIFS(Tabelle1[Ampelstatus Gesamt],$C101,Tabelle1[PAG],L$99)</f>
        <v>0</v>
      </c>
      <c r="M101" s="54">
        <f>L101/$L$4</f>
        <v>0</v>
      </c>
      <c r="N101">
        <f>COUNTIFS(Tabelle1[Ampelstatus Gesamt],$C101,Tabelle1[PAG],N$99)</f>
        <v>0</v>
      </c>
      <c r="O101" s="54" t="e">
        <f>N101/$N$4</f>
        <v>#DIV/0!</v>
      </c>
    </row>
    <row r="102" spans="2:33" x14ac:dyDescent="0.35">
      <c r="C102" t="str">
        <f>Parameter!$AC$6</f>
        <v>Krise</v>
      </c>
      <c r="D102">
        <f>COUNTIF(Tabelle1[Ampelstatus Gesamt],Arbeitsbereich!C102)</f>
        <v>1</v>
      </c>
      <c r="E102" s="50">
        <f>D102/$D$4</f>
        <v>0.25</v>
      </c>
      <c r="F102">
        <f>COUNTIFS(Tabelle1[Ampelstatus Gesamt],$C102,Tabelle1[Budgeteinbehalt],"ja")</f>
        <v>0</v>
      </c>
      <c r="G102" s="54">
        <f>F102/$F$4</f>
        <v>0</v>
      </c>
      <c r="H102">
        <f>COUNTIFS(Tabelle1[Ampelstatus Gesamt],$C102,Tabelle1[PAG],H$99)</f>
        <v>1</v>
      </c>
      <c r="I102" s="54">
        <f>H102/$H$4</f>
        <v>1</v>
      </c>
      <c r="J102">
        <f>COUNTIFS(Tabelle1[Ampelstatus Gesamt],$C102,Tabelle1[PAG],J$99)</f>
        <v>0</v>
      </c>
      <c r="K102" s="54">
        <f>J102/$J$4</f>
        <v>0</v>
      </c>
      <c r="L102">
        <f>COUNTIFS(Tabelle1[Ampelstatus Gesamt],$C102,Tabelle1[PAG],L$99)</f>
        <v>0</v>
      </c>
      <c r="M102" s="54">
        <f>L102/$L$4</f>
        <v>0</v>
      </c>
      <c r="N102">
        <f>COUNTIFS(Tabelle1[Ampelstatus Gesamt],$C102,Tabelle1[PAG],N$99)</f>
        <v>0</v>
      </c>
      <c r="O102" s="54" t="e">
        <f>N102/$N$4</f>
        <v>#DIV/0!</v>
      </c>
    </row>
    <row r="104" spans="2:33" x14ac:dyDescent="0.35">
      <c r="B104" s="77" t="s">
        <v>60</v>
      </c>
      <c r="C104" s="77"/>
      <c r="D104" s="78" t="s">
        <v>105</v>
      </c>
      <c r="E104" s="78" t="s">
        <v>123</v>
      </c>
      <c r="F104" s="78" t="s">
        <v>15</v>
      </c>
      <c r="G104" s="78" t="s">
        <v>59</v>
      </c>
      <c r="H104" s="78" t="s">
        <v>57</v>
      </c>
      <c r="I104" s="78" t="s">
        <v>58</v>
      </c>
      <c r="J104" s="78" t="s">
        <v>163</v>
      </c>
      <c r="K104" s="78" t="s">
        <v>164</v>
      </c>
      <c r="L104" s="78" t="s">
        <v>165</v>
      </c>
      <c r="M104" s="78" t="s">
        <v>166</v>
      </c>
    </row>
    <row r="105" spans="2:33" x14ac:dyDescent="0.35">
      <c r="C105" s="54" t="s">
        <v>62</v>
      </c>
      <c r="D105" s="54">
        <f>AVERAGE(Tabelle1[Fertigstellungs-grad (%)])</f>
        <v>0.10750000000000001</v>
      </c>
      <c r="E105" s="54">
        <f>AVERAGEIFS(Tabelle1[Fertigstellungs-grad (%)], Tabelle1[Budgeteinbehalt],"Ja")</f>
        <v>0</v>
      </c>
      <c r="F105" s="54">
        <f>AVERAGEIFS(Tabelle1[Fertigstellungs-grad (%)], Tabelle1[PAG],"Rektor")</f>
        <v>0.1</v>
      </c>
      <c r="G105" s="54">
        <f>AVERAGEIFS(Tabelle1[Fertigstellungs-grad (%)], Tabelle1[PAG],"VRLK")</f>
        <v>0</v>
      </c>
      <c r="H105" s="54">
        <f>AVERAGEIFS(Tabelle1[Fertigstellungs-grad (%)], Tabelle1[PAG],"VRFDI")</f>
        <v>0.33</v>
      </c>
      <c r="I105" s="54" t="e">
        <f>AVERAGEIFS(Tabelle1[Fertigstellungs-grad (%)], Tabelle1[PAG],"VRFIN")</f>
        <v>#DIV/0!</v>
      </c>
      <c r="J105" s="54">
        <f>AVERAGEIFS(Tabelle1[Fertigstellungs-grad (%)], Tabelle1[Leistungsbereich],J104)</f>
        <v>0.33</v>
      </c>
      <c r="K105" s="54" t="e">
        <f>AVERAGEIFS(Tabelle1[Fertigstellungs-grad (%)], Tabelle1[Leistungsbereich],K104)</f>
        <v>#DIV/0!</v>
      </c>
      <c r="L105" s="54">
        <f>AVERAGEIFS(Tabelle1[Fertigstellungs-grad (%)], Tabelle1[Leistungsbereich],L104)</f>
        <v>0</v>
      </c>
      <c r="M105" s="54">
        <f>AVERAGEIFS(Tabelle1[Fertigstellungs-grad (%)], Tabelle1[Leistungsbereich],M104)</f>
        <v>0.1</v>
      </c>
    </row>
    <row r="106" spans="2:33" x14ac:dyDescent="0.35">
      <c r="C106" t="s">
        <v>61</v>
      </c>
      <c r="D106" s="54">
        <f t="shared" ref="D106:I106" si="6">1-D105</f>
        <v>0.89249999999999996</v>
      </c>
      <c r="E106" s="54">
        <f t="shared" si="6"/>
        <v>1</v>
      </c>
      <c r="F106" s="54">
        <f t="shared" si="6"/>
        <v>0.9</v>
      </c>
      <c r="G106" s="54">
        <f t="shared" si="6"/>
        <v>1</v>
      </c>
      <c r="H106" s="54">
        <f t="shared" si="6"/>
        <v>0.66999999999999993</v>
      </c>
      <c r="I106" s="54" t="e">
        <f t="shared" si="6"/>
        <v>#DIV/0!</v>
      </c>
      <c r="J106" s="54">
        <f t="shared" ref="J106" si="7">1-J105</f>
        <v>0.66999999999999993</v>
      </c>
      <c r="K106" s="54" t="e">
        <f t="shared" ref="K106" si="8">1-K105</f>
        <v>#DIV/0!</v>
      </c>
      <c r="L106" s="54">
        <f t="shared" ref="L106" si="9">1-L105</f>
        <v>1</v>
      </c>
      <c r="M106" s="54">
        <f t="shared" ref="M106" si="10">1-M105</f>
        <v>0.9</v>
      </c>
    </row>
    <row r="107" spans="2:33" x14ac:dyDescent="0.35">
      <c r="D107" s="54"/>
    </row>
    <row r="108" spans="2:33" x14ac:dyDescent="0.35">
      <c r="B108" s="77" t="s">
        <v>50</v>
      </c>
      <c r="C108" s="77"/>
      <c r="D108" s="78" t="s">
        <v>105</v>
      </c>
      <c r="E108" s="78" t="s">
        <v>108</v>
      </c>
      <c r="F108" s="78" t="s">
        <v>64</v>
      </c>
      <c r="G108" s="78" t="s">
        <v>15</v>
      </c>
      <c r="H108" s="78" t="s">
        <v>108</v>
      </c>
      <c r="I108" s="78" t="s">
        <v>64</v>
      </c>
      <c r="J108" s="78" t="s">
        <v>59</v>
      </c>
      <c r="K108" s="78" t="s">
        <v>108</v>
      </c>
      <c r="L108" s="78" t="s">
        <v>64</v>
      </c>
      <c r="M108" s="78" t="s">
        <v>57</v>
      </c>
      <c r="N108" s="78" t="s">
        <v>108</v>
      </c>
      <c r="O108" s="78" t="s">
        <v>64</v>
      </c>
      <c r="P108" s="78" t="s">
        <v>58</v>
      </c>
      <c r="Q108" s="78" t="s">
        <v>108</v>
      </c>
      <c r="R108" s="78" t="s">
        <v>64</v>
      </c>
      <c r="S108" s="78" t="s">
        <v>123</v>
      </c>
      <c r="T108" s="78" t="s">
        <v>108</v>
      </c>
      <c r="U108" s="78" t="s">
        <v>64</v>
      </c>
      <c r="V108" s="78" t="s">
        <v>163</v>
      </c>
      <c r="W108" s="78" t="s">
        <v>108</v>
      </c>
      <c r="X108" s="78" t="s">
        <v>64</v>
      </c>
      <c r="Y108" s="78" t="s">
        <v>164</v>
      </c>
      <c r="Z108" s="78" t="s">
        <v>108</v>
      </c>
      <c r="AA108" s="78" t="s">
        <v>64</v>
      </c>
      <c r="AB108" s="78" t="s">
        <v>165</v>
      </c>
      <c r="AC108" s="78" t="s">
        <v>108</v>
      </c>
      <c r="AD108" s="78" t="s">
        <v>64</v>
      </c>
      <c r="AE108" s="78" t="s">
        <v>166</v>
      </c>
      <c r="AF108" s="78" t="s">
        <v>108</v>
      </c>
      <c r="AG108" s="78" t="s">
        <v>64</v>
      </c>
    </row>
    <row r="109" spans="2:33" x14ac:dyDescent="0.35">
      <c r="C109" t="s">
        <v>142</v>
      </c>
      <c r="D109" s="56">
        <f>SUM(Tabelle1[Plankosten 25-27])</f>
        <v>2083125</v>
      </c>
      <c r="E109" s="55" t="str">
        <f>TEXT(D109/1000000,"€ 0,0") &amp; " Mio"</f>
        <v>€ 2,1 Mio</v>
      </c>
      <c r="F109" s="54">
        <f>1-F110</f>
        <v>0.99519951995199518</v>
      </c>
      <c r="G109" s="56">
        <f>SUMIFS(Tabelle1[Plankosten 25-27], Tabelle1[PAG], G108)</f>
        <v>1713125</v>
      </c>
      <c r="H109" s="55" t="str">
        <f>TEXT(G109/1000000,"€ 0,00") &amp; " Mio"</f>
        <v>€ 1,71 Mio</v>
      </c>
      <c r="I109" s="54">
        <f>1-I110</f>
        <v>1</v>
      </c>
      <c r="J109" s="56">
        <f>SUMIFS(Tabelle1[Plankosten 25-27], Tabelle1[PAG], J108)</f>
        <v>0</v>
      </c>
      <c r="K109" s="55" t="str">
        <f>TEXT(J109/1000000,"€ 0,00") &amp; " Mio"</f>
        <v>€ 0,00 Mio</v>
      </c>
      <c r="L109" s="54" t="e">
        <f>1-L110</f>
        <v>#DIV/0!</v>
      </c>
      <c r="M109" s="56">
        <f>SUMIFS(Tabelle1[Plankosten 25-27], Tabelle1[PAG], M108)</f>
        <v>370000</v>
      </c>
      <c r="N109" s="55" t="str">
        <f>TEXT(M109/1000000,"€ 0,00") &amp; " Mio"</f>
        <v>€ 0,37 Mio</v>
      </c>
      <c r="O109" s="54">
        <f>1-O110</f>
        <v>0.97297297297297303</v>
      </c>
      <c r="P109" s="56">
        <f>SUMIFS(Tabelle1[Plankosten 25-27], Tabelle1[PAG], P108)</f>
        <v>0</v>
      </c>
      <c r="Q109" s="55" t="str">
        <f>TEXT(P109/1000000,"€ 0,00") &amp; " Mio"</f>
        <v>€ 0,00 Mio</v>
      </c>
      <c r="R109" s="54" t="e">
        <f>1-R110</f>
        <v>#DIV/0!</v>
      </c>
      <c r="S109" s="56">
        <f>SUMIFS(Tabelle1[Plankosten 25-27], Tabelle1[Budgeteinbehalt], "ja")</f>
        <v>0</v>
      </c>
      <c r="T109" s="55" t="str">
        <f>TEXT(S109/1000000,"€ 0,00") &amp; " Mio"</f>
        <v>€ 0,00 Mio</v>
      </c>
      <c r="U109" s="54" t="e">
        <f>1-U110</f>
        <v>#DIV/0!</v>
      </c>
      <c r="V109" s="56">
        <f>SUMIFS(Tabelle1[Plankosten 25-27], Tabelle1[Leistungsbereich],V108)</f>
        <v>370000</v>
      </c>
      <c r="W109" s="55" t="str">
        <f>TEXT(V109/1000000,"€ 0,00") &amp; " Mio"</f>
        <v>€ 0,37 Mio</v>
      </c>
      <c r="X109" s="54">
        <f>1-X110</f>
        <v>0.97297297297297303</v>
      </c>
      <c r="Y109" s="56">
        <f>SUMIFS(Tabelle1[Plankosten 25-27], Tabelle1[Leistungsbereich],Y108)</f>
        <v>0</v>
      </c>
      <c r="Z109" s="55" t="str">
        <f>TEXT(Y109/1000000,"€ 0,00") &amp; " Mio"</f>
        <v>€ 0,00 Mio</v>
      </c>
      <c r="AA109" s="54" t="e">
        <f>1-AA110</f>
        <v>#DIV/0!</v>
      </c>
      <c r="AB109" s="56">
        <f>SUMIFS(Tabelle1[Plankosten 25-27], Tabelle1[Leistungsbereich],AB108)</f>
        <v>0</v>
      </c>
      <c r="AC109" s="55" t="str">
        <f>TEXT(AB109/1000000,"€ 0,00") &amp; " Mio"</f>
        <v>€ 0,00 Mio</v>
      </c>
      <c r="AD109" s="54" t="e">
        <f>1-AD110</f>
        <v>#DIV/0!</v>
      </c>
      <c r="AE109" s="56">
        <f>SUMIFS(Tabelle1[Plankosten 25-27], Tabelle1[Leistungsbereich],AE108)</f>
        <v>1713125</v>
      </c>
      <c r="AF109" s="55" t="str">
        <f>TEXT(AE109/1000000,"€ 0,00") &amp; " Mio"</f>
        <v>€ 1,71 Mio</v>
      </c>
      <c r="AG109" s="54">
        <f>1-AG110</f>
        <v>1</v>
      </c>
    </row>
    <row r="110" spans="2:33" x14ac:dyDescent="0.35">
      <c r="C110" t="s">
        <v>51</v>
      </c>
      <c r="D110" s="56">
        <f>SUM(Tabelle1[Ist-Kosten (Gesamt)])</f>
        <v>10000</v>
      </c>
      <c r="E110" s="55" t="str">
        <f>TEXT(D110/1000000,"€ 0,0") &amp; " Mio"</f>
        <v>€ 0,0 Mio</v>
      </c>
      <c r="F110" s="54">
        <f>D110/D109</f>
        <v>4.8004800480048009E-3</v>
      </c>
      <c r="G110" s="56">
        <f>SUMIFS(Tabelle1[Ist-Kosten (Gesamt)], Tabelle1[PAG], G108)</f>
        <v>0</v>
      </c>
      <c r="H110" s="55" t="str">
        <f>TEXT(G110/1000000,"€ 0,00") &amp; " Mio"</f>
        <v>€ 0,00 Mio</v>
      </c>
      <c r="I110" s="54">
        <f>G110/G109</f>
        <v>0</v>
      </c>
      <c r="J110" s="56">
        <f>SUMIFS(Tabelle1[Ist-Kosten (Gesamt)], Tabelle1[PAG], J108)</f>
        <v>0</v>
      </c>
      <c r="K110" s="55" t="str">
        <f>TEXT(J110/1000000,"€ 0,00") &amp; " Mio"</f>
        <v>€ 0,00 Mio</v>
      </c>
      <c r="L110" s="54" t="e">
        <f>J110/J109</f>
        <v>#DIV/0!</v>
      </c>
      <c r="M110" s="56">
        <f>SUMIFS(Tabelle1[Ist-Kosten (Gesamt)], Tabelle1[PAG], M108)</f>
        <v>10000</v>
      </c>
      <c r="N110" s="55" t="str">
        <f>TEXT(M110/1000000,"€ 0,00") &amp; " Mio"</f>
        <v>€ 0,01 Mio</v>
      </c>
      <c r="O110" s="54">
        <f>M110/M109</f>
        <v>2.7027027027027029E-2</v>
      </c>
      <c r="P110" s="56">
        <f>SUMIFS(Tabelle1[Ist-Kosten (Gesamt)], Tabelle1[PAG], P108)</f>
        <v>0</v>
      </c>
      <c r="Q110" s="55" t="str">
        <f>TEXT(P110/1000000,"€ 0,00") &amp; " Mio"</f>
        <v>€ 0,00 Mio</v>
      </c>
      <c r="R110" s="54" t="e">
        <f>P110/P109</f>
        <v>#DIV/0!</v>
      </c>
      <c r="S110" s="56">
        <f>SUMIFS(Tabelle1[Ist-Kosten (Gesamt)], Tabelle1[Budgeteinbehalt], "ja")</f>
        <v>0</v>
      </c>
      <c r="T110" s="55" t="str">
        <f>TEXT(S110/1000000,"€ 0,00") &amp; " Mio"</f>
        <v>€ 0,00 Mio</v>
      </c>
      <c r="U110" s="54" t="e">
        <f>S110/S109</f>
        <v>#DIV/0!</v>
      </c>
      <c r="V110" s="56">
        <f>SUMIFS(Tabelle1[Ist-Kosten (Gesamt)],  Tabelle1[Leistungsbereich],V108)</f>
        <v>10000</v>
      </c>
      <c r="W110" s="55" t="str">
        <f>TEXT(V110/1000000,"€ 0,00") &amp; " Mio"</f>
        <v>€ 0,01 Mio</v>
      </c>
      <c r="X110" s="54">
        <f>V110/V109</f>
        <v>2.7027027027027029E-2</v>
      </c>
      <c r="Y110" s="56">
        <f>SUMIFS(Tabelle1[Ist-Kosten (Gesamt)],  Tabelle1[Leistungsbereich],Y108)</f>
        <v>0</v>
      </c>
      <c r="Z110" s="55" t="str">
        <f>TEXT(Y110/1000000,"€ 0,00") &amp; " Mio"</f>
        <v>€ 0,00 Mio</v>
      </c>
      <c r="AA110" s="54" t="e">
        <f>Y110/Y109</f>
        <v>#DIV/0!</v>
      </c>
      <c r="AB110" s="56">
        <f>SUMIFS(Tabelle1[Ist-Kosten (Gesamt)],  Tabelle1[Leistungsbereich],AB108)</f>
        <v>0</v>
      </c>
      <c r="AC110" s="55" t="str">
        <f>TEXT(AB110/1000000,"€ 0,00") &amp; " Mio"</f>
        <v>€ 0,00 Mio</v>
      </c>
      <c r="AD110" s="54" t="e">
        <f>AB110/AB109</f>
        <v>#DIV/0!</v>
      </c>
      <c r="AE110" s="56">
        <f>SUMIFS(Tabelle1[Ist-Kosten (Gesamt)],  Tabelle1[Leistungsbereich],AE108)</f>
        <v>0</v>
      </c>
      <c r="AF110" s="55" t="str">
        <f>TEXT(AE110/1000000,"€ 0,00") &amp; " Mio"</f>
        <v>€ 0,00 Mio</v>
      </c>
      <c r="AG110" s="54">
        <f>AE110/AE109</f>
        <v>0</v>
      </c>
    </row>
    <row r="112" spans="2:33" x14ac:dyDescent="0.35">
      <c r="B112" s="77" t="s">
        <v>67</v>
      </c>
      <c r="C112" s="77"/>
      <c r="D112" s="78" t="s">
        <v>105</v>
      </c>
      <c r="E112" s="78" t="s">
        <v>123</v>
      </c>
      <c r="F112" s="78" t="s">
        <v>15</v>
      </c>
      <c r="G112" s="78" t="s">
        <v>59</v>
      </c>
      <c r="H112" s="78" t="s">
        <v>57</v>
      </c>
      <c r="I112" s="78" t="s">
        <v>58</v>
      </c>
      <c r="J112" s="78" t="s">
        <v>163</v>
      </c>
      <c r="K112" s="78" t="s">
        <v>164</v>
      </c>
      <c r="L112" s="78" t="s">
        <v>165</v>
      </c>
      <c r="M112" s="78" t="s">
        <v>166</v>
      </c>
    </row>
    <row r="113" spans="2:28" x14ac:dyDescent="0.35">
      <c r="C113" t="s">
        <v>68</v>
      </c>
      <c r="D113" s="57">
        <f>AVERAGE(Tabelle1[Dauer in Werktagen
errechnet])</f>
        <v>612.33333333333337</v>
      </c>
      <c r="E113" s="57" t="e">
        <f>AVERAGEIFS(Tabelle1[Dauer in Werktagen
errechnet], Tabelle1[Budgeteinbehalt],"Ja")</f>
        <v>#DIV/0!</v>
      </c>
      <c r="F113" s="57">
        <f>AVERAGEIFS(Tabelle1[Dauer in Werktagen
errechnet], Tabelle1[PAG],"Rektor")</f>
        <v>744</v>
      </c>
      <c r="G113" s="57">
        <f>AVERAGEIFS(Tabelle1[Dauer in Werktagen
errechnet], Tabelle1[PAG],"VRLK")</f>
        <v>497</v>
      </c>
      <c r="H113" s="57">
        <f>AVERAGEIFS(Tabelle1[Dauer in Werktagen
errechnet], Tabelle1[PAG],"VRFDI")</f>
        <v>596</v>
      </c>
      <c r="I113" s="57" t="e">
        <f>AVERAGEIFS(Tabelle1[Dauer in Werktagen
errechnet], Tabelle1[PAG],"VRFIN")</f>
        <v>#DIV/0!</v>
      </c>
      <c r="J113" s="57">
        <f>AVERAGEIFS(Tabelle1[Dauer in Werktagen
errechnet], Tabelle1[Leistungsbereich],J112)</f>
        <v>596</v>
      </c>
      <c r="K113" s="57" t="e">
        <f>AVERAGEIFS(Tabelle1[Dauer in Werktagen
errechnet], Tabelle1[Leistungsbereich],K112)</f>
        <v>#DIV/0!</v>
      </c>
      <c r="L113" s="57">
        <f>AVERAGEIFS(Tabelle1[Dauer in Werktagen
errechnet], Tabelle1[Leistungsbereich],L112)</f>
        <v>497</v>
      </c>
      <c r="M113" s="57">
        <f>AVERAGEIFS(Tabelle1[Dauer in Werktagen
errechnet], Tabelle1[Leistungsbereich],M112)</f>
        <v>744</v>
      </c>
    </row>
    <row r="114" spans="2:28" x14ac:dyDescent="0.35">
      <c r="C114" t="s">
        <v>107</v>
      </c>
      <c r="D114" s="57">
        <f>D113/21</f>
        <v>29.158730158730162</v>
      </c>
      <c r="E114" s="57" t="e">
        <f t="shared" ref="E114:H114" si="11">E113/21</f>
        <v>#DIV/0!</v>
      </c>
      <c r="F114" s="57">
        <f>F113/21</f>
        <v>35.428571428571431</v>
      </c>
      <c r="G114" s="57">
        <f t="shared" si="11"/>
        <v>23.666666666666668</v>
      </c>
      <c r="H114" s="57">
        <f t="shared" si="11"/>
        <v>28.38095238095238</v>
      </c>
      <c r="I114" s="57" t="e">
        <f>I113/21</f>
        <v>#DIV/0!</v>
      </c>
      <c r="J114" s="57">
        <f t="shared" ref="J114:M114" si="12">J113/21</f>
        <v>28.38095238095238</v>
      </c>
      <c r="K114" s="57" t="e">
        <f t="shared" si="12"/>
        <v>#DIV/0!</v>
      </c>
      <c r="L114" s="57">
        <f t="shared" si="12"/>
        <v>23.666666666666668</v>
      </c>
      <c r="M114" s="57">
        <f t="shared" si="12"/>
        <v>35.428571428571431</v>
      </c>
    </row>
    <row r="115" spans="2:28" x14ac:dyDescent="0.35">
      <c r="D115" s="57"/>
      <c r="E115" s="57"/>
    </row>
    <row r="116" spans="2:28" x14ac:dyDescent="0.35">
      <c r="B116" s="77" t="s">
        <v>106</v>
      </c>
      <c r="C116" s="77"/>
      <c r="D116" s="78" t="s">
        <v>72</v>
      </c>
      <c r="E116" s="78" t="s">
        <v>76</v>
      </c>
      <c r="F116" s="78" t="s">
        <v>105</v>
      </c>
      <c r="G116" s="78" t="s">
        <v>64</v>
      </c>
      <c r="H116" s="78" t="s">
        <v>123</v>
      </c>
      <c r="I116" s="78" t="s">
        <v>66</v>
      </c>
    </row>
    <row r="117" spans="2:28" x14ac:dyDescent="0.35">
      <c r="C117" t="s">
        <v>71</v>
      </c>
      <c r="E117" t="s">
        <v>75</v>
      </c>
      <c r="F117">
        <f>COUNTIF(Tabelle1[Dauer in Werktagen
errechnet],"&gt;=253")</f>
        <v>3</v>
      </c>
      <c r="G117" s="54">
        <f>F117/$D$4</f>
        <v>0.75</v>
      </c>
      <c r="H117">
        <f>COUNTIFS(Tabelle1[Dauer in Werktagen
errechnet],"&gt;=253",Tabelle1[Budgeteinbehalt],"ja")</f>
        <v>0</v>
      </c>
      <c r="I117" s="54">
        <f>H117/$F$4</f>
        <v>0</v>
      </c>
    </row>
    <row r="118" spans="2:28" x14ac:dyDescent="0.35">
      <c r="C118" t="s">
        <v>70</v>
      </c>
      <c r="D118">
        <f>21*12</f>
        <v>252</v>
      </c>
      <c r="E118" t="s">
        <v>74</v>
      </c>
      <c r="F118">
        <f>COUNTIFS(Tabelle1[Dauer in Werktagen
errechnet],"&gt;=106",Tabelle1[Dauer in Werktagen
errechnet],"&lt;=252")</f>
        <v>0</v>
      </c>
      <c r="G118" s="54">
        <f t="shared" ref="G118" si="13">F118/$D$4</f>
        <v>0</v>
      </c>
      <c r="H118">
        <f>COUNTIFS(Tabelle1[Dauer in Werktagen
errechnet],"&gt;=106",Tabelle1[Dauer in Werktagen
errechnet],"&lt;=252",Tabelle1[Budgeteinbehalt],"ja")</f>
        <v>0</v>
      </c>
      <c r="I118" s="54">
        <f>H118/$F$4</f>
        <v>0</v>
      </c>
    </row>
    <row r="119" spans="2:28" x14ac:dyDescent="0.35">
      <c r="C119" t="s">
        <v>69</v>
      </c>
      <c r="D119">
        <f>21*5</f>
        <v>105</v>
      </c>
      <c r="E119" t="s">
        <v>73</v>
      </c>
      <c r="F119">
        <f>COUNTIF(Tabelle1[Dauer in Werktagen
errechnet],"&lt;=105")</f>
        <v>0</v>
      </c>
      <c r="G119" s="54">
        <f>F119/$D$4</f>
        <v>0</v>
      </c>
      <c r="H119">
        <f>COUNTIFS(Tabelle1[Dauer in Werktagen
errechnet],"&lt;=105",Tabelle1[Budgeteinbehalt],"ja")</f>
        <v>0</v>
      </c>
      <c r="I119" s="54">
        <f>H119/$F$4</f>
        <v>0</v>
      </c>
    </row>
    <row r="120" spans="2:28" x14ac:dyDescent="0.35">
      <c r="C120" t="s">
        <v>145</v>
      </c>
      <c r="F120">
        <f>D4-(SUM(F117:F119))</f>
        <v>1</v>
      </c>
      <c r="G120" s="54"/>
    </row>
    <row r="122" spans="2:28" x14ac:dyDescent="0.35">
      <c r="D122" s="137" t="s">
        <v>105</v>
      </c>
      <c r="E122" s="137"/>
      <c r="F122" s="137"/>
      <c r="G122" s="137"/>
      <c r="H122" s="137"/>
      <c r="I122" s="137"/>
      <c r="J122" s="137"/>
      <c r="K122" s="137"/>
      <c r="L122" s="137"/>
      <c r="M122" s="137"/>
      <c r="N122" s="137"/>
      <c r="O122" s="137" t="s">
        <v>123</v>
      </c>
      <c r="P122" s="137"/>
      <c r="Q122" s="137"/>
      <c r="R122" s="137"/>
      <c r="S122" s="137"/>
      <c r="T122" s="137"/>
      <c r="U122" s="137"/>
      <c r="V122" s="137"/>
      <c r="W122" s="137"/>
      <c r="X122" s="137"/>
      <c r="Y122" s="137"/>
      <c r="Z122" s="137"/>
      <c r="AA122" s="137"/>
      <c r="AB122" s="137"/>
    </row>
    <row r="123" spans="2:28" x14ac:dyDescent="0.35">
      <c r="B123" s="77" t="s">
        <v>97</v>
      </c>
      <c r="C123" s="77"/>
      <c r="D123" s="78" t="str">
        <f>Parameter!$P$4</f>
        <v>Idee erfasst/noch nicht gestartet</v>
      </c>
      <c r="E123" s="78" t="str">
        <f>Parameter!$P$5</f>
        <v>Planung</v>
      </c>
      <c r="F123" s="78" t="str">
        <f>Parameter!$P$6</f>
        <v>In Arbeit</v>
      </c>
      <c r="G123" s="78" t="s">
        <v>14</v>
      </c>
      <c r="H123" s="78" t="str">
        <f>Parameter!$P$7</f>
        <v>Blockiert</v>
      </c>
      <c r="I123" s="78" t="str">
        <f>Parameter!$P$9</f>
        <v>Abgebrochen</v>
      </c>
      <c r="J123" s="78" t="s">
        <v>98</v>
      </c>
      <c r="K123" s="78" t="s">
        <v>99</v>
      </c>
      <c r="L123" s="78" t="s">
        <v>100</v>
      </c>
      <c r="M123" s="78" t="s">
        <v>102</v>
      </c>
      <c r="N123" s="78" t="s">
        <v>101</v>
      </c>
      <c r="O123" s="78" t="s">
        <v>216</v>
      </c>
      <c r="P123" s="78"/>
      <c r="Q123" s="78" t="str">
        <f>Parameter!$P$4</f>
        <v>Idee erfasst/noch nicht gestartet</v>
      </c>
      <c r="R123" s="78" t="str">
        <f>Parameter!$P$5</f>
        <v>Planung</v>
      </c>
      <c r="S123" s="78" t="str">
        <f>Parameter!$P$6</f>
        <v>In Arbeit</v>
      </c>
      <c r="T123" s="78" t="s">
        <v>14</v>
      </c>
      <c r="U123" s="78" t="str">
        <f>Parameter!$P$7</f>
        <v>Blockiert</v>
      </c>
      <c r="V123" s="78" t="str">
        <f>Parameter!$P$9</f>
        <v>Abgebrochen</v>
      </c>
      <c r="W123" s="78" t="s">
        <v>98</v>
      </c>
      <c r="X123" s="78" t="s">
        <v>99</v>
      </c>
      <c r="Y123" s="78" t="s">
        <v>100</v>
      </c>
      <c r="Z123" s="78" t="s">
        <v>102</v>
      </c>
      <c r="AA123" s="78" t="s">
        <v>101</v>
      </c>
      <c r="AB123" s="78" t="s">
        <v>216</v>
      </c>
    </row>
    <row r="124" spans="2:28" x14ac:dyDescent="0.35">
      <c r="C124" t="str">
        <f>Parameter!V6</f>
        <v>Gering</v>
      </c>
      <c r="D124">
        <f>COUNTIFS(Tabelle1[Priorität], $C124, Tabelle1[Projektphase], $D$123)</f>
        <v>1</v>
      </c>
      <c r="E124">
        <f>COUNTIFS(Tabelle1[Priorität], $C124, Tabelle1[Projektphase], $E$123)</f>
        <v>1</v>
      </c>
      <c r="F124">
        <f>COUNTIFS(Tabelle1[Priorität], $C124, Tabelle1[Projektphase], $F$123)</f>
        <v>0</v>
      </c>
      <c r="G124">
        <f>COUNTIFS(Tabelle1[Priorität], $C124, Tabelle1[Projektphase], $G$123)</f>
        <v>0</v>
      </c>
      <c r="H124">
        <f>COUNTIFS(Tabelle1[Priorität], $C124, Tabelle1[Projektphase], $H$123)</f>
        <v>0</v>
      </c>
      <c r="I124">
        <f>COUNTIFS(Tabelle1[Priorität], $C124, Tabelle1[Projektphase], $I$123)</f>
        <v>0</v>
      </c>
      <c r="J124" s="65">
        <f>IF(D124/$D$127=0,"",D124/$D$127)</f>
        <v>1</v>
      </c>
      <c r="K124" s="65">
        <f>IF(E124/$E$127=0,"",E124/$E$127)</f>
        <v>0.5</v>
      </c>
      <c r="L124" s="65" t="str">
        <f>IF(F124/$F$127=0,"",F124/$F$127)</f>
        <v/>
      </c>
      <c r="M124" s="65" t="e">
        <f>IF(G124/$G$127=0,"",G124/$G$127)</f>
        <v>#DIV/0!</v>
      </c>
      <c r="N124" s="65" t="str">
        <f>IFERROR(H124/$H$127,"")</f>
        <v/>
      </c>
      <c r="O124" s="65" t="str">
        <f>IFERROR(I124/$I$127,"")</f>
        <v/>
      </c>
      <c r="P124" t="str">
        <f>C124</f>
        <v>Gering</v>
      </c>
      <c r="Q124">
        <f>COUNTIFS(Tabelle1[Priorität], $C124, Tabelle1[Projektphase], $Q$123,Tabelle1[Budgeteinbehalt],"ja")</f>
        <v>1</v>
      </c>
      <c r="R124">
        <f>COUNTIFS(Tabelle1[Priorität], $C124, Tabelle1[Projektphase], $R$123,Tabelle1[Budgeteinbehalt],"ja")</f>
        <v>0</v>
      </c>
      <c r="S124">
        <f>COUNTIFS(Tabelle1[Priorität], $C124, Tabelle1[Projektphase], $S$123,Tabelle1[Budgeteinbehalt],"ja")</f>
        <v>0</v>
      </c>
      <c r="T124">
        <f>COUNTIFS(Tabelle1[Priorität], $C124, Tabelle1[Projektphase], $T$123,Tabelle1[Budgeteinbehalt],"ja")</f>
        <v>0</v>
      </c>
      <c r="U124">
        <f>COUNTIFS(Tabelle1[Priorität], $C124, Tabelle1[Projektphase], $U$123,Tabelle1[Budgeteinbehalt],"ja")</f>
        <v>0</v>
      </c>
      <c r="V124">
        <f>COUNTIFS(Tabelle1[Priorität], $C124, Tabelle1[Projektphase], $V$123,Tabelle1[Budgeteinbehalt],"ja")</f>
        <v>0</v>
      </c>
      <c r="W124" s="65">
        <f>IF(Q124/$Q$127=0,"",Q124/$Q$127)</f>
        <v>1</v>
      </c>
      <c r="X124" s="65" t="e">
        <f>IF(R124/$R$127=0,"",R124/$R$127)</f>
        <v>#DIV/0!</v>
      </c>
      <c r="Y124" s="65" t="e">
        <f>IF(S124/$S$127=0,"",S124/$S$127)</f>
        <v>#DIV/0!</v>
      </c>
      <c r="Z124" s="65" t="e">
        <f>IF(T124/$T$127=0,"",T124/$T$127)</f>
        <v>#DIV/0!</v>
      </c>
      <c r="AA124" s="65" t="str">
        <f>IFERROR(U124/$U$127,"")</f>
        <v/>
      </c>
      <c r="AB124" s="65" t="str">
        <f>IFERROR(V124/$V$127,"")</f>
        <v/>
      </c>
    </row>
    <row r="125" spans="2:28" x14ac:dyDescent="0.35">
      <c r="C125" t="str">
        <f>Parameter!V5</f>
        <v>Mittel</v>
      </c>
      <c r="D125">
        <f>COUNTIFS(Tabelle1[Priorität], $C125, Tabelle1[Projektphase], $D$123)</f>
        <v>0</v>
      </c>
      <c r="E125">
        <f>COUNTIFS(Tabelle1[Priorität], $C125, Tabelle1[Projektphase], $E$123)</f>
        <v>0</v>
      </c>
      <c r="F125">
        <f>COUNTIFS(Tabelle1[Priorität], $C125, Tabelle1[Projektphase], $F$123)</f>
        <v>1</v>
      </c>
      <c r="G125">
        <f>COUNTIFS(Tabelle1[Priorität], $C125, Tabelle1[Projektphase], $G$123)</f>
        <v>0</v>
      </c>
      <c r="H125">
        <f>COUNTIFS(Tabelle1[Priorität], $C125, Tabelle1[Projektphase], $H$123)</f>
        <v>0</v>
      </c>
      <c r="I125">
        <f>COUNTIFS(Tabelle1[Priorität], $C125, Tabelle1[Projektphase], $I$123)</f>
        <v>0</v>
      </c>
      <c r="J125" s="65" t="str">
        <f>IF(D125/$D$127=0,"",D125/$D$127)</f>
        <v/>
      </c>
      <c r="K125" s="65" t="str">
        <f>IF(E125/$E$127=0,"",E125/$E$127)</f>
        <v/>
      </c>
      <c r="L125" s="65">
        <f>IF(F125/$F$127=0,"",F125/$F$127)</f>
        <v>1</v>
      </c>
      <c r="M125" s="65" t="e">
        <f>IF(G125/$G$127=0,"",G125/$G$127)</f>
        <v>#DIV/0!</v>
      </c>
      <c r="N125" s="65" t="str">
        <f>IFERROR(H125/$H$127,"")</f>
        <v/>
      </c>
      <c r="O125" s="65" t="str">
        <f>IFERROR(I125/$I$127,"")</f>
        <v/>
      </c>
      <c r="P125" t="str">
        <f t="shared" ref="P125:P126" si="14">C125</f>
        <v>Mittel</v>
      </c>
      <c r="Q125">
        <f>COUNTIFS(Tabelle1[Priorität], $C125, Tabelle1[Projektphase], $Q$123,Tabelle1[Budgeteinbehalt],"ja")</f>
        <v>0</v>
      </c>
      <c r="R125">
        <f>COUNTIFS(Tabelle1[Priorität], $C125, Tabelle1[Projektphase], $R$123,Tabelle1[Budgeteinbehalt],"ja")</f>
        <v>0</v>
      </c>
      <c r="S125">
        <f>COUNTIFS(Tabelle1[Priorität], $C125, Tabelle1[Projektphase], $S$123,Tabelle1[Budgeteinbehalt],"ja")</f>
        <v>0</v>
      </c>
      <c r="T125">
        <f>COUNTIFS(Tabelle1[Priorität], $C125, Tabelle1[Projektphase], $T$123,Tabelle1[Budgeteinbehalt],"ja")</f>
        <v>0</v>
      </c>
      <c r="U125">
        <f>COUNTIFS(Tabelle1[Priorität], $C125, Tabelle1[Projektphase], $U$123,Tabelle1[Budgeteinbehalt],"ja")</f>
        <v>0</v>
      </c>
      <c r="V125">
        <f>COUNTIFS(Tabelle1[Priorität], $C125, Tabelle1[Projektphase], $V$123,Tabelle1[Budgeteinbehalt],"ja")</f>
        <v>0</v>
      </c>
      <c r="W125" s="65" t="str">
        <f>IF(Q125/$Q$127=0,"",Q125/$Q$127)</f>
        <v/>
      </c>
      <c r="X125" s="65" t="e">
        <f>IF(R125/$R$127=0,"",R125/$R$127)</f>
        <v>#DIV/0!</v>
      </c>
      <c r="Y125" s="65" t="e">
        <f>IF(S125/$S$127=0,"",S125/$S$127)</f>
        <v>#DIV/0!</v>
      </c>
      <c r="Z125" s="65" t="e">
        <f>IF(T125/$T$127=0,"",T125/$T$127)</f>
        <v>#DIV/0!</v>
      </c>
      <c r="AA125" s="65" t="str">
        <f>IFERROR(U125/$U$127,"")</f>
        <v/>
      </c>
      <c r="AB125" s="65" t="str">
        <f>IFERROR(V125/$V$127,"")</f>
        <v/>
      </c>
    </row>
    <row r="126" spans="2:28" x14ac:dyDescent="0.35">
      <c r="C126" t="str">
        <f>Parameter!V4</f>
        <v>Hoch</v>
      </c>
      <c r="D126">
        <f>COUNTIFS(Tabelle1[Priorität], $C126, Tabelle1[Projektphase], $D$123)</f>
        <v>0</v>
      </c>
      <c r="E126">
        <f>COUNTIFS(Tabelle1[Priorität], $C126, Tabelle1[Projektphase], $E$123)</f>
        <v>1</v>
      </c>
      <c r="F126">
        <f>COUNTIFS(Tabelle1[Priorität], $C126, Tabelle1[Projektphase], $F$123)</f>
        <v>0</v>
      </c>
      <c r="G126">
        <f>COUNTIFS(Tabelle1[Priorität], $C126, Tabelle1[Projektphase], $G$123)</f>
        <v>0</v>
      </c>
      <c r="H126">
        <f>COUNTIFS(Tabelle1[Priorität], $C126, Tabelle1[Projektphase], $H$123)</f>
        <v>0</v>
      </c>
      <c r="I126">
        <f>COUNTIFS(Tabelle1[Priorität], $C126, Tabelle1[Projektphase], $I$123)</f>
        <v>0</v>
      </c>
      <c r="J126" s="65" t="str">
        <f>IF(D126/$D$127=0,"",D126/$D$127)</f>
        <v/>
      </c>
      <c r="K126" s="65">
        <f>IF(E126/$E$127=0,"",E126/$E$127)</f>
        <v>0.5</v>
      </c>
      <c r="L126" s="65" t="str">
        <f>IF(F126/$F$127=0,"",F126/$F$127)</f>
        <v/>
      </c>
      <c r="M126" s="65" t="e">
        <f>IF(G126/$G$127=0,"",G126/$G$127)</f>
        <v>#DIV/0!</v>
      </c>
      <c r="N126" s="65" t="str">
        <f>IFERROR(H126/$H$127,"")</f>
        <v/>
      </c>
      <c r="O126" s="65" t="str">
        <f>IFERROR(I126/$I$127,"")</f>
        <v/>
      </c>
      <c r="P126" t="str">
        <f t="shared" si="14"/>
        <v>Hoch</v>
      </c>
      <c r="Q126">
        <f>COUNTIFS(Tabelle1[Priorität], $C126, Tabelle1[Projektphase], $Q$123,Tabelle1[Budgeteinbehalt],"ja")</f>
        <v>0</v>
      </c>
      <c r="R126">
        <f>COUNTIFS(Tabelle1[Priorität], $C126, Tabelle1[Projektphase], $R$123,Tabelle1[Budgeteinbehalt],"ja")</f>
        <v>0</v>
      </c>
      <c r="S126">
        <f>COUNTIFS(Tabelle1[Priorität], $C126, Tabelle1[Projektphase], $S$123,Tabelle1[Budgeteinbehalt],"ja")</f>
        <v>0</v>
      </c>
      <c r="T126">
        <f>COUNTIFS(Tabelle1[Priorität], $C126, Tabelle1[Projektphase], $T$123,Tabelle1[Budgeteinbehalt],"ja")</f>
        <v>0</v>
      </c>
      <c r="U126">
        <f>COUNTIFS(Tabelle1[Priorität], $C126, Tabelle1[Projektphase], $U$123,Tabelle1[Budgeteinbehalt],"ja")</f>
        <v>0</v>
      </c>
      <c r="V126">
        <f>COUNTIFS(Tabelle1[Priorität], $C126, Tabelle1[Projektphase], $V$123,Tabelle1[Budgeteinbehalt],"ja")</f>
        <v>0</v>
      </c>
      <c r="W126" s="65" t="str">
        <f>IF(Q126/$Q$127=0,"",Q126/$Q$127)</f>
        <v/>
      </c>
      <c r="X126" s="65" t="e">
        <f>IF(R126/$R$127=0,"",R126/$R$127)</f>
        <v>#DIV/0!</v>
      </c>
      <c r="Y126" s="65" t="e">
        <f>IF(S126/$S$127=0,"",S126/$S$127)</f>
        <v>#DIV/0!</v>
      </c>
      <c r="Z126" s="65" t="e">
        <f>IF(T126/$T$127=0,"",T126/$T$127)</f>
        <v>#DIV/0!</v>
      </c>
      <c r="AA126" s="65" t="str">
        <f>IFERROR(U126/$U$127,"")</f>
        <v/>
      </c>
      <c r="AB126" s="65" t="str">
        <f>IFERROR(V126/$V$127,"")</f>
        <v/>
      </c>
    </row>
    <row r="127" spans="2:28" x14ac:dyDescent="0.35">
      <c r="C127" t="s">
        <v>96</v>
      </c>
      <c r="D127">
        <f>SUM(D124:D126)</f>
        <v>1</v>
      </c>
      <c r="E127">
        <f t="shared" ref="E127:H127" si="15">SUM(E124:E126)</f>
        <v>2</v>
      </c>
      <c r="F127">
        <f t="shared" si="15"/>
        <v>1</v>
      </c>
      <c r="G127">
        <f>SUM(G124:G126)</f>
        <v>0</v>
      </c>
      <c r="H127">
        <f t="shared" si="15"/>
        <v>0</v>
      </c>
      <c r="I127">
        <f>SUM(I124:I126)</f>
        <v>0</v>
      </c>
      <c r="P127" t="s">
        <v>96</v>
      </c>
      <c r="Q127">
        <f>SUM(Q124:Q126)</f>
        <v>1</v>
      </c>
      <c r="R127">
        <f t="shared" ref="R127:U127" si="16">SUM(R124:R126)</f>
        <v>0</v>
      </c>
      <c r="S127">
        <f t="shared" si="16"/>
        <v>0</v>
      </c>
      <c r="T127">
        <f>SUM(T124:T126)</f>
        <v>0</v>
      </c>
      <c r="U127">
        <f t="shared" si="16"/>
        <v>0</v>
      </c>
      <c r="V127">
        <f>SUM(V124:V126)</f>
        <v>0</v>
      </c>
      <c r="W127" s="65"/>
      <c r="X127" s="65"/>
      <c r="Y127" s="65"/>
      <c r="Z127" s="65"/>
      <c r="AA127" s="65" t="str">
        <f t="shared" ref="AA127" si="17">IF(U127/$Q$127=0,"",U127/$Q$127)</f>
        <v/>
      </c>
    </row>
    <row r="129" spans="2:13" x14ac:dyDescent="0.35">
      <c r="B129" s="77" t="s">
        <v>123</v>
      </c>
      <c r="C129" s="77"/>
      <c r="D129" s="78" t="s">
        <v>105</v>
      </c>
      <c r="E129" s="78" t="s">
        <v>64</v>
      </c>
      <c r="F129" s="78" t="s">
        <v>15</v>
      </c>
      <c r="G129" s="78" t="s">
        <v>153</v>
      </c>
      <c r="H129" s="78" t="s">
        <v>59</v>
      </c>
      <c r="I129" s="78" t="s">
        <v>154</v>
      </c>
      <c r="J129" s="78" t="s">
        <v>57</v>
      </c>
      <c r="K129" s="78" t="s">
        <v>155</v>
      </c>
      <c r="L129" s="78" t="s">
        <v>58</v>
      </c>
      <c r="M129" s="78" t="s">
        <v>156</v>
      </c>
    </row>
    <row r="130" spans="2:13" x14ac:dyDescent="0.35">
      <c r="C130" t="s">
        <v>35</v>
      </c>
      <c r="D130">
        <f>COUNTIF(Tabelle1[Budgeteinbehalt],C130)</f>
        <v>1</v>
      </c>
      <c r="E130" s="54">
        <f>D130/D4</f>
        <v>0.25</v>
      </c>
      <c r="F130">
        <f>COUNTIFS(Tabelle1[Budgeteinbehalt],C130,Tabelle1[PAG],$F$129)</f>
        <v>0</v>
      </c>
      <c r="G130" s="54">
        <f>F130/H4</f>
        <v>0</v>
      </c>
      <c r="H130">
        <f>COUNTIFS(Tabelle1[Budgeteinbehalt],C130,Tabelle1[PAG],$H$129)</f>
        <v>1</v>
      </c>
      <c r="I130" s="54">
        <f>H130/J4</f>
        <v>0.5</v>
      </c>
      <c r="J130">
        <f>COUNTIFS(Tabelle1[Budgeteinbehalt],C130,Tabelle1[PAG],$J$129)</f>
        <v>0</v>
      </c>
      <c r="K130" s="54">
        <f>J130/L4</f>
        <v>0</v>
      </c>
      <c r="L130">
        <f>COUNTIFS(Tabelle1[Budgeteinbehalt],C130,Tabelle1[PAG],$L$129)</f>
        <v>0</v>
      </c>
      <c r="M130" s="54" t="e">
        <f>L130/N4</f>
        <v>#DIV/0!</v>
      </c>
    </row>
    <row r="131" spans="2:13" x14ac:dyDescent="0.35">
      <c r="C131" t="s">
        <v>36</v>
      </c>
      <c r="D131">
        <f>COUNTIF(Tabelle1[Budgeteinbehalt],C131)</f>
        <v>0</v>
      </c>
      <c r="E131" s="54">
        <f>D131/D4</f>
        <v>0</v>
      </c>
      <c r="F131">
        <f>COUNTIFS(Tabelle1[Budgeteinbehalt],C131,Tabelle1[PAG],$F$129)</f>
        <v>0</v>
      </c>
      <c r="G131" s="54">
        <f>F131/H4</f>
        <v>0</v>
      </c>
      <c r="H131">
        <f>COUNTIFS(Tabelle1[Budgeteinbehalt],C131,Tabelle1[PAG],$H$129)</f>
        <v>0</v>
      </c>
      <c r="I131" s="54">
        <f>H131/J4</f>
        <v>0</v>
      </c>
      <c r="J131">
        <f>COUNTIFS(Tabelle1[Budgeteinbehalt],C131,Tabelle1[PAG],$J$129)</f>
        <v>0</v>
      </c>
      <c r="K131" s="54">
        <f>J131/L4</f>
        <v>0</v>
      </c>
      <c r="L131">
        <f>COUNTIFS(Tabelle1[Budgeteinbehalt],C131,Tabelle1[PAG],$L$129)</f>
        <v>0</v>
      </c>
      <c r="M131" s="54" t="e">
        <f>L131/N4</f>
        <v>#DIV/0!</v>
      </c>
    </row>
    <row r="133" spans="2:13" x14ac:dyDescent="0.35">
      <c r="B133" s="77" t="s">
        <v>236</v>
      </c>
      <c r="C133" s="77"/>
    </row>
    <row r="134" spans="2:13" x14ac:dyDescent="0.35">
      <c r="C134" t="s">
        <v>301</v>
      </c>
      <c r="D134">
        <f>COUNTIF(Tabelle1[PL/
Ansprechperson],C134)</f>
        <v>0</v>
      </c>
    </row>
    <row r="135" spans="2:13" x14ac:dyDescent="0.35">
      <c r="C135" t="s">
        <v>301</v>
      </c>
      <c r="D135">
        <f>COUNTIF(Tabelle1[PL/
Ansprechperson],C135)</f>
        <v>0</v>
      </c>
    </row>
    <row r="136" spans="2:13" x14ac:dyDescent="0.35">
      <c r="C136" t="s">
        <v>301</v>
      </c>
      <c r="D136">
        <f>COUNTIF(Tabelle1[PL/
Ansprechperson],C136)</f>
        <v>0</v>
      </c>
    </row>
    <row r="137" spans="2:13" x14ac:dyDescent="0.35">
      <c r="C137" t="s">
        <v>301</v>
      </c>
      <c r="D137">
        <f>COUNTIF(Tabelle1[PL/
Ansprechperson],C137)</f>
        <v>0</v>
      </c>
    </row>
    <row r="138" spans="2:13" x14ac:dyDescent="0.35">
      <c r="C138" t="s">
        <v>301</v>
      </c>
      <c r="D138">
        <f>COUNTIF(Tabelle1[PL/
Ansprechperson],C138)</f>
        <v>0</v>
      </c>
    </row>
    <row r="139" spans="2:13" x14ac:dyDescent="0.35">
      <c r="D139">
        <f>COUNTIF(Tabelle1[PL/
Ansprechperson],C139)</f>
        <v>0</v>
      </c>
    </row>
    <row r="140" spans="2:13" x14ac:dyDescent="0.35">
      <c r="D140">
        <f>COUNTIF(Tabelle1[PL/
Ansprechperson],C140)</f>
        <v>0</v>
      </c>
    </row>
    <row r="141" spans="2:13" x14ac:dyDescent="0.35">
      <c r="D141">
        <f>COUNTIF(Tabelle1[PL/
Ansprechperson],C141)</f>
        <v>0</v>
      </c>
    </row>
    <row r="142" spans="2:13" x14ac:dyDescent="0.35">
      <c r="D142">
        <f>COUNTIF(Tabelle1[PL/
Ansprechperson],C142)</f>
        <v>0</v>
      </c>
    </row>
    <row r="143" spans="2:13" x14ac:dyDescent="0.35">
      <c r="D143">
        <f>COUNTIF(Tabelle1[PL/
Ansprechperson],C143)</f>
        <v>0</v>
      </c>
    </row>
    <row r="144" spans="2:13" x14ac:dyDescent="0.35">
      <c r="D144">
        <f>COUNTIF(Tabelle1[PL/
Ansprechperson],C144)</f>
        <v>0</v>
      </c>
    </row>
    <row r="145" spans="4:4" x14ac:dyDescent="0.35">
      <c r="D145">
        <f>COUNTIF(Tabelle1[PL/
Ansprechperson],C145)</f>
        <v>0</v>
      </c>
    </row>
    <row r="146" spans="4:4" x14ac:dyDescent="0.35">
      <c r="D146">
        <f>COUNTIF(Tabelle1[PL/
Ansprechperson],C146)</f>
        <v>0</v>
      </c>
    </row>
    <row r="147" spans="4:4" x14ac:dyDescent="0.35">
      <c r="D147">
        <f>COUNTIF(Tabelle1[PL/
Ansprechperson],C147)</f>
        <v>0</v>
      </c>
    </row>
    <row r="148" spans="4:4" x14ac:dyDescent="0.35">
      <c r="D148">
        <f>COUNTIF(Tabelle1[PL/
Ansprechperson],C148)</f>
        <v>0</v>
      </c>
    </row>
    <row r="149" spans="4:4" x14ac:dyDescent="0.35">
      <c r="D149">
        <f>COUNTIF(Tabelle1[PL/
Ansprechperson],C149)</f>
        <v>0</v>
      </c>
    </row>
    <row r="150" spans="4:4" x14ac:dyDescent="0.35">
      <c r="D150">
        <f>COUNTIF(Tabelle1[PL/
Ansprechperson],C150)</f>
        <v>0</v>
      </c>
    </row>
    <row r="151" spans="4:4" x14ac:dyDescent="0.35">
      <c r="D151">
        <f>COUNTIF(Tabelle1[PL/
Ansprechperson],C151)</f>
        <v>0</v>
      </c>
    </row>
    <row r="152" spans="4:4" x14ac:dyDescent="0.35">
      <c r="D152">
        <f>COUNTIF(Tabelle1[PL/
Ansprechperson],C152)</f>
        <v>0</v>
      </c>
    </row>
    <row r="153" spans="4:4" x14ac:dyDescent="0.35">
      <c r="D153">
        <f>COUNTIF(Tabelle1[PL/
Ansprechperson],C153)</f>
        <v>0</v>
      </c>
    </row>
    <row r="154" spans="4:4" x14ac:dyDescent="0.35">
      <c r="D154">
        <f>COUNTIF(Tabelle1[PL/
Ansprechperson],C154)</f>
        <v>0</v>
      </c>
    </row>
    <row r="155" spans="4:4" x14ac:dyDescent="0.35">
      <c r="D155">
        <f>COUNTIF(Tabelle1[PL/
Ansprechperson],C155)</f>
        <v>0</v>
      </c>
    </row>
    <row r="156" spans="4:4" x14ac:dyDescent="0.35">
      <c r="D156">
        <f>COUNTIF(Tabelle1[PL/
Ansprechperson],C156)</f>
        <v>0</v>
      </c>
    </row>
    <row r="157" spans="4:4" x14ac:dyDescent="0.35">
      <c r="D157">
        <f>COUNTIF(Tabelle1[PL/
Ansprechperson],C157)</f>
        <v>0</v>
      </c>
    </row>
    <row r="158" spans="4:4" x14ac:dyDescent="0.35">
      <c r="D158">
        <f>COUNTIF(Tabelle1[PL/
Ansprechperson],C158)</f>
        <v>0</v>
      </c>
    </row>
    <row r="159" spans="4:4" x14ac:dyDescent="0.35">
      <c r="D159">
        <f>COUNTIF(Tabelle1[PL/
Ansprechperson],C159)</f>
        <v>0</v>
      </c>
    </row>
    <row r="160" spans="4:4" x14ac:dyDescent="0.35">
      <c r="D160">
        <f>COUNTIF(Tabelle1[PL/
Ansprechperson],C160)</f>
        <v>0</v>
      </c>
    </row>
    <row r="161" spans="4:4" x14ac:dyDescent="0.35">
      <c r="D161">
        <f>COUNTIF(Tabelle1[PL/
Ansprechperson],C161)</f>
        <v>0</v>
      </c>
    </row>
    <row r="162" spans="4:4" x14ac:dyDescent="0.35">
      <c r="D162">
        <f>COUNTIF(Tabelle1[PL/
Ansprechperson],C162)</f>
        <v>0</v>
      </c>
    </row>
    <row r="163" spans="4:4" x14ac:dyDescent="0.35">
      <c r="D163">
        <f>COUNTIF(Tabelle1[PL/
Ansprechperson],C163)</f>
        <v>0</v>
      </c>
    </row>
    <row r="164" spans="4:4" x14ac:dyDescent="0.35">
      <c r="D164">
        <f>COUNTIF(Tabelle1[PL/
Ansprechperson],C164)</f>
        <v>0</v>
      </c>
    </row>
    <row r="165" spans="4:4" x14ac:dyDescent="0.35">
      <c r="D165">
        <f>COUNTIF(Tabelle1[PL/
Ansprechperson],C165)</f>
        <v>0</v>
      </c>
    </row>
    <row r="166" spans="4:4" x14ac:dyDescent="0.35">
      <c r="D166">
        <f>COUNTIF(Tabelle1[PL/
Ansprechperson],C166)</f>
        <v>0</v>
      </c>
    </row>
    <row r="167" spans="4:4" x14ac:dyDescent="0.35">
      <c r="D167">
        <f>COUNTIF(Tabelle1[PL/
Ansprechperson],C167)</f>
        <v>0</v>
      </c>
    </row>
    <row r="168" spans="4:4" x14ac:dyDescent="0.35">
      <c r="D168">
        <f>COUNTIF(Tabelle1[PL/
Ansprechperson],C168)</f>
        <v>0</v>
      </c>
    </row>
    <row r="169" spans="4:4" x14ac:dyDescent="0.35">
      <c r="D169">
        <f>COUNTIF(Tabelle1[PL/
Ansprechperson],C169)</f>
        <v>0</v>
      </c>
    </row>
    <row r="170" spans="4:4" x14ac:dyDescent="0.35">
      <c r="D170">
        <f>COUNTIF(Tabelle1[PL/
Ansprechperson],C170)</f>
        <v>0</v>
      </c>
    </row>
    <row r="171" spans="4:4" x14ac:dyDescent="0.35">
      <c r="D171">
        <f>COUNTIF(Tabelle1[PL/
Ansprechperson],C171)</f>
        <v>0</v>
      </c>
    </row>
    <row r="172" spans="4:4" x14ac:dyDescent="0.35">
      <c r="D172">
        <f>COUNTIF(Tabelle1[PL/
Ansprechperson],C172)</f>
        <v>0</v>
      </c>
    </row>
    <row r="173" spans="4:4" x14ac:dyDescent="0.35">
      <c r="D173">
        <f>COUNTIF(Tabelle1[PL/
Ansprechperson],C173)</f>
        <v>0</v>
      </c>
    </row>
    <row r="174" spans="4:4" x14ac:dyDescent="0.35">
      <c r="D174">
        <f>COUNTIF(Tabelle1[PL/
Ansprechperson],C174)</f>
        <v>0</v>
      </c>
    </row>
    <row r="175" spans="4:4" x14ac:dyDescent="0.35">
      <c r="D175">
        <f>COUNTIF(Tabelle1[PL/
Ansprechperson],C175)</f>
        <v>0</v>
      </c>
    </row>
    <row r="176" spans="4:4" x14ac:dyDescent="0.35">
      <c r="D176">
        <f>COUNTIF(Tabelle1[PL/
Ansprechperson],C176)</f>
        <v>0</v>
      </c>
    </row>
    <row r="177" spans="2:4" x14ac:dyDescent="0.35">
      <c r="D177">
        <f>COUNTIF(Tabelle1[PL/
Ansprechperson],C177)</f>
        <v>0</v>
      </c>
    </row>
    <row r="178" spans="2:4" x14ac:dyDescent="0.35">
      <c r="D178">
        <f>COUNTIF(Tabelle1[PL/
Ansprechperson],C178)</f>
        <v>0</v>
      </c>
    </row>
    <row r="179" spans="2:4" x14ac:dyDescent="0.35">
      <c r="D179">
        <f>COUNTIF(Tabelle1[PL/
Ansprechperson],C179)</f>
        <v>0</v>
      </c>
    </row>
    <row r="180" spans="2:4" x14ac:dyDescent="0.35">
      <c r="D180">
        <f>COUNTIF(Tabelle1[PL/
Ansprechperson],C180)</f>
        <v>0</v>
      </c>
    </row>
    <row r="181" spans="2:4" x14ac:dyDescent="0.35">
      <c r="D181">
        <f>COUNTIF(Tabelle1[PL/
Ansprechperson],C181)</f>
        <v>0</v>
      </c>
    </row>
    <row r="182" spans="2:4" x14ac:dyDescent="0.35">
      <c r="C182" t="s">
        <v>160</v>
      </c>
      <c r="D182">
        <f>SUM(D134:D181)</f>
        <v>0</v>
      </c>
    </row>
    <row r="184" spans="2:4" x14ac:dyDescent="0.35">
      <c r="B184" s="77" t="s">
        <v>237</v>
      </c>
      <c r="C184" s="77"/>
    </row>
    <row r="185" spans="2:4" x14ac:dyDescent="0.35">
      <c r="B185" t="s">
        <v>15</v>
      </c>
      <c r="C185" t="s">
        <v>302</v>
      </c>
      <c r="D185" t="e">
        <f>COUNTIF(#REF!,C185)</f>
        <v>#REF!</v>
      </c>
    </row>
    <row r="186" spans="2:4" x14ac:dyDescent="0.35">
      <c r="B186" t="s">
        <v>15</v>
      </c>
      <c r="C186" t="s">
        <v>303</v>
      </c>
      <c r="D186" t="e">
        <f>COUNTIF(#REF!,C186)</f>
        <v>#REF!</v>
      </c>
    </row>
    <row r="187" spans="2:4" x14ac:dyDescent="0.35">
      <c r="B187" t="s">
        <v>15</v>
      </c>
      <c r="C187" t="s">
        <v>304</v>
      </c>
      <c r="D187" t="e">
        <f>COUNTIF(#REF!,C187)</f>
        <v>#REF!</v>
      </c>
    </row>
    <row r="188" spans="2:4" x14ac:dyDescent="0.35">
      <c r="B188" t="s">
        <v>15</v>
      </c>
      <c r="C188" t="s">
        <v>305</v>
      </c>
      <c r="D188" t="e">
        <f>COUNTIF(#REF!,C188)</f>
        <v>#REF!</v>
      </c>
    </row>
    <row r="189" spans="2:4" x14ac:dyDescent="0.35">
      <c r="B189" t="s">
        <v>15</v>
      </c>
      <c r="C189" t="s">
        <v>306</v>
      </c>
      <c r="D189" t="e">
        <f>COUNTIF(#REF!,C189)</f>
        <v>#REF!</v>
      </c>
    </row>
    <row r="190" spans="2:4" x14ac:dyDescent="0.35">
      <c r="B190" t="s">
        <v>57</v>
      </c>
      <c r="C190" t="s">
        <v>307</v>
      </c>
      <c r="D190" t="e">
        <f>COUNTIF(#REF!,C190)</f>
        <v>#REF!</v>
      </c>
    </row>
    <row r="191" spans="2:4" x14ac:dyDescent="0.35">
      <c r="B191" t="s">
        <v>57</v>
      </c>
      <c r="C191" t="s">
        <v>308</v>
      </c>
      <c r="D191" t="e">
        <f>COUNTIF(#REF!,C191)</f>
        <v>#REF!</v>
      </c>
    </row>
    <row r="192" spans="2:4" x14ac:dyDescent="0.35">
      <c r="B192" t="s">
        <v>57</v>
      </c>
      <c r="C192" t="s">
        <v>309</v>
      </c>
      <c r="D192" t="e">
        <f>COUNTIF(#REF!,C192)</f>
        <v>#REF!</v>
      </c>
    </row>
    <row r="193" spans="2:4" x14ac:dyDescent="0.35">
      <c r="B193" t="s">
        <v>57</v>
      </c>
      <c r="C193" t="s">
        <v>310</v>
      </c>
      <c r="D193" t="e">
        <f>COUNTIF(#REF!,C193)</f>
        <v>#REF!</v>
      </c>
    </row>
    <row r="194" spans="2:4" x14ac:dyDescent="0.35">
      <c r="B194" t="s">
        <v>57</v>
      </c>
      <c r="C194" t="s">
        <v>311</v>
      </c>
      <c r="D194" t="e">
        <f>COUNTIF(#REF!,C194)</f>
        <v>#REF!</v>
      </c>
    </row>
    <row r="195" spans="2:4" x14ac:dyDescent="0.35">
      <c r="B195" t="s">
        <v>57</v>
      </c>
      <c r="C195" t="s">
        <v>312</v>
      </c>
      <c r="D195" t="e">
        <f>COUNTIF(#REF!,C195)</f>
        <v>#REF!</v>
      </c>
    </row>
    <row r="196" spans="2:4" x14ac:dyDescent="0.35">
      <c r="B196" t="s">
        <v>58</v>
      </c>
      <c r="C196" t="s">
        <v>313</v>
      </c>
      <c r="D196" t="e">
        <f>COUNTIF(#REF!,C196)</f>
        <v>#REF!</v>
      </c>
    </row>
    <row r="197" spans="2:4" x14ac:dyDescent="0.35">
      <c r="B197" t="s">
        <v>58</v>
      </c>
      <c r="C197" t="s">
        <v>314</v>
      </c>
      <c r="D197" t="e">
        <f>COUNTIF(#REF!,C197)</f>
        <v>#REF!</v>
      </c>
    </row>
    <row r="198" spans="2:4" x14ac:dyDescent="0.35">
      <c r="B198" t="s">
        <v>58</v>
      </c>
      <c r="C198" t="s">
        <v>315</v>
      </c>
      <c r="D198" t="e">
        <f>COUNTIF(#REF!,C198)</f>
        <v>#REF!</v>
      </c>
    </row>
    <row r="199" spans="2:4" x14ac:dyDescent="0.35">
      <c r="B199" t="s">
        <v>58</v>
      </c>
      <c r="C199" t="s">
        <v>316</v>
      </c>
      <c r="D199" t="e">
        <f>COUNTIF(#REF!,C199)</f>
        <v>#REF!</v>
      </c>
    </row>
    <row r="200" spans="2:4" x14ac:dyDescent="0.35">
      <c r="B200" t="s">
        <v>58</v>
      </c>
      <c r="C200" t="s">
        <v>317</v>
      </c>
      <c r="D200" t="e">
        <f>COUNTIF(#REF!,C200)</f>
        <v>#REF!</v>
      </c>
    </row>
    <row r="201" spans="2:4" x14ac:dyDescent="0.35">
      <c r="B201" t="s">
        <v>58</v>
      </c>
      <c r="C201" t="s">
        <v>318</v>
      </c>
      <c r="D201" t="e">
        <f>COUNTIF(#REF!,C201)</f>
        <v>#REF!</v>
      </c>
    </row>
    <row r="202" spans="2:4" x14ac:dyDescent="0.35">
      <c r="B202" t="s">
        <v>58</v>
      </c>
      <c r="C202" t="s">
        <v>319</v>
      </c>
      <c r="D202" t="e">
        <f>COUNTIF(#REF!,C202)</f>
        <v>#REF!</v>
      </c>
    </row>
    <row r="203" spans="2:4" x14ac:dyDescent="0.35">
      <c r="B203" t="s">
        <v>58</v>
      </c>
      <c r="C203" t="s">
        <v>320</v>
      </c>
      <c r="D203" t="e">
        <f>COUNTIF(#REF!,C203)</f>
        <v>#REF!</v>
      </c>
    </row>
    <row r="204" spans="2:4" x14ac:dyDescent="0.35">
      <c r="B204" t="s">
        <v>59</v>
      </c>
      <c r="C204" t="s">
        <v>321</v>
      </c>
      <c r="D204" t="e">
        <f>COUNTIF(#REF!,C204)</f>
        <v>#REF!</v>
      </c>
    </row>
    <row r="205" spans="2:4" x14ac:dyDescent="0.35">
      <c r="B205" t="s">
        <v>59</v>
      </c>
      <c r="C205" t="s">
        <v>322</v>
      </c>
      <c r="D205" t="e">
        <f>COUNTIF(#REF!,C205)</f>
        <v>#REF!</v>
      </c>
    </row>
    <row r="206" spans="2:4" x14ac:dyDescent="0.35">
      <c r="B206" t="s">
        <v>59</v>
      </c>
      <c r="C206" t="s">
        <v>323</v>
      </c>
      <c r="D206" t="e">
        <f>COUNTIF(#REF!,C206)</f>
        <v>#REF!</v>
      </c>
    </row>
    <row r="207" spans="2:4" x14ac:dyDescent="0.35">
      <c r="B207" t="s">
        <v>59</v>
      </c>
      <c r="C207" t="s">
        <v>324</v>
      </c>
      <c r="D207" t="e">
        <f>COUNTIF(#REF!,C207)</f>
        <v>#REF!</v>
      </c>
    </row>
    <row r="208" spans="2:4" x14ac:dyDescent="0.35">
      <c r="C208" t="s">
        <v>160</v>
      </c>
      <c r="D208" t="e">
        <f>SUM(D185:D207)</f>
        <v>#REF!</v>
      </c>
    </row>
  </sheetData>
  <sortState xmlns:xlrd2="http://schemas.microsoft.com/office/spreadsheetml/2017/richdata2" ref="B185:D207">
    <sortCondition ref="B185:B207"/>
  </sortState>
  <mergeCells count="4">
    <mergeCell ref="M1:N1"/>
    <mergeCell ref="D122:N122"/>
    <mergeCell ref="O122:AB122"/>
    <mergeCell ref="O77:Z77"/>
  </mergeCells>
  <phoneticPr fontId="13" type="noConversion"/>
  <pageMargins left="0.7" right="0.7" top="0.78740157499999996" bottom="0.78740157499999996"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47776-9B3E-47BD-BFCB-4F987D72F8D5}">
  <sheetPr>
    <tabColor rgb="FFFFFF99"/>
  </sheetPr>
  <dimension ref="A1:AV122"/>
  <sheetViews>
    <sheetView showGridLines="0" zoomScale="49" zoomScaleNormal="30" workbookViewId="0">
      <pane xSplit="10" ySplit="4" topLeftCell="AD5" activePane="bottomRight" state="frozen"/>
      <selection activeCell="D14" sqref="D14"/>
      <selection pane="topRight" activeCell="D14" sqref="D14"/>
      <selection pane="bottomLeft" activeCell="D14" sqref="D14"/>
      <selection pane="bottomRight" activeCell="D9" sqref="D9"/>
    </sheetView>
  </sheetViews>
  <sheetFormatPr baseColWidth="10" defaultRowHeight="14.5" x14ac:dyDescent="0.35"/>
  <cols>
    <col min="1" max="1" width="1.7265625" customWidth="1"/>
    <col min="2" max="2" width="18.26953125" customWidth="1"/>
    <col min="3" max="3" width="21.453125" customWidth="1"/>
    <col min="4" max="4" width="32.26953125" customWidth="1"/>
    <col min="5" max="5" width="44.81640625" customWidth="1"/>
    <col min="6" max="6" width="65.54296875" customWidth="1"/>
    <col min="7" max="7" width="52.7265625" customWidth="1"/>
    <col min="8" max="8" width="35.1796875" hidden="1" customWidth="1"/>
    <col min="9" max="9" width="23.7265625" customWidth="1"/>
    <col min="10" max="10" width="26.81640625" style="6" customWidth="1"/>
    <col min="11" max="11" width="13.453125" customWidth="1"/>
    <col min="12" max="12" width="20.54296875" customWidth="1"/>
    <col min="13" max="13" width="22" style="6" customWidth="1"/>
    <col min="14" max="15" width="22.1796875" customWidth="1"/>
    <col min="16" max="16" width="24.453125" style="82" customWidth="1"/>
    <col min="17" max="17" width="20.81640625" style="85" customWidth="1"/>
    <col min="18" max="18" width="20.453125" customWidth="1"/>
    <col min="19" max="19" width="21.81640625" customWidth="1"/>
    <col min="20" max="26" width="13.1796875" customWidth="1"/>
    <col min="27" max="27" width="13.7265625" customWidth="1"/>
    <col min="28" max="32" width="16.1796875" customWidth="1"/>
    <col min="33" max="33" width="25" style="6" customWidth="1"/>
    <col min="34" max="34" width="20.36328125" customWidth="1"/>
    <col min="35" max="35" width="16.81640625" customWidth="1"/>
    <col min="36" max="36" width="14.1796875" customWidth="1"/>
    <col min="37" max="37" width="69.90625" customWidth="1"/>
    <col min="38" max="38" width="45.36328125" customWidth="1"/>
    <col min="39" max="39" width="29.6328125" customWidth="1"/>
    <col min="40" max="41" width="30.26953125" customWidth="1"/>
    <col min="42" max="42" width="21.08984375" customWidth="1"/>
    <col min="43" max="43" width="45.08984375" customWidth="1"/>
    <col min="44" max="44" width="29.90625" customWidth="1"/>
    <col min="45" max="45" width="53.453125" customWidth="1"/>
    <col min="46" max="46" width="59.54296875" customWidth="1"/>
    <col min="47" max="47" width="21.54296875" customWidth="1"/>
    <col min="48" max="48" width="41.7265625" customWidth="1"/>
  </cols>
  <sheetData>
    <row r="1" spans="1:48" ht="34" customHeight="1" x14ac:dyDescent="0.35">
      <c r="A1" s="53"/>
      <c r="B1" s="53"/>
      <c r="C1" s="53"/>
      <c r="D1" s="53"/>
      <c r="E1" s="22" t="s">
        <v>157</v>
      </c>
      <c r="F1" s="22"/>
      <c r="G1" s="22"/>
      <c r="H1" s="22"/>
      <c r="I1" s="22"/>
      <c r="J1" s="79"/>
      <c r="K1" s="49"/>
      <c r="L1" s="68" t="s">
        <v>111</v>
      </c>
      <c r="M1" s="95">
        <f>Arbeitsbereich!M1</f>
        <v>46099</v>
      </c>
      <c r="N1" s="53"/>
      <c r="O1" s="53"/>
      <c r="P1" s="81"/>
      <c r="Q1" s="96"/>
      <c r="R1" s="53"/>
      <c r="S1" s="53"/>
    </row>
    <row r="2" spans="1:48" ht="8.15" customHeight="1" x14ac:dyDescent="0.35"/>
    <row r="3" spans="1:48" ht="25" x14ac:dyDescent="0.35">
      <c r="B3" s="2"/>
      <c r="C3" s="2"/>
      <c r="D3" s="2"/>
      <c r="E3" s="48" t="s">
        <v>147</v>
      </c>
      <c r="F3" s="37" t="s">
        <v>13</v>
      </c>
      <c r="G3" s="48"/>
      <c r="H3" s="48"/>
      <c r="I3" s="48"/>
      <c r="J3" s="37"/>
      <c r="K3" s="2"/>
      <c r="L3" s="37"/>
      <c r="M3" s="85"/>
      <c r="N3" s="36"/>
      <c r="O3" s="36"/>
      <c r="P3" s="83"/>
      <c r="Q3" s="83"/>
      <c r="R3" s="36"/>
      <c r="S3" s="36"/>
      <c r="T3" s="36"/>
      <c r="U3" s="36"/>
      <c r="V3" s="36"/>
      <c r="W3" s="36"/>
      <c r="X3" s="36"/>
      <c r="Y3" s="36"/>
      <c r="Z3" s="36"/>
      <c r="AA3" s="36"/>
      <c r="AB3" s="36"/>
      <c r="AC3" s="36"/>
      <c r="AD3" s="36"/>
      <c r="AE3" s="36"/>
      <c r="AF3" s="36"/>
      <c r="AG3" s="158"/>
      <c r="AH3" s="2"/>
      <c r="AI3" s="2"/>
      <c r="AJ3" s="2"/>
      <c r="AK3" s="2"/>
      <c r="AL3" s="2"/>
      <c r="AM3" s="2"/>
      <c r="AN3" s="2"/>
      <c r="AO3" s="2"/>
      <c r="AP3" s="2"/>
      <c r="AQ3" s="2"/>
      <c r="AR3" s="2"/>
      <c r="AS3" s="2"/>
      <c r="AT3" s="2"/>
      <c r="AU3" s="2"/>
      <c r="AV3" s="3"/>
    </row>
    <row r="4" spans="1:48" ht="47.15" customHeight="1" x14ac:dyDescent="0.35">
      <c r="B4" s="24" t="s">
        <v>168</v>
      </c>
      <c r="C4" s="24" t="s">
        <v>162</v>
      </c>
      <c r="D4" s="24" t="s">
        <v>181</v>
      </c>
      <c r="E4" s="25" t="s">
        <v>152</v>
      </c>
      <c r="F4" s="25" t="s">
        <v>149</v>
      </c>
      <c r="G4" s="25" t="s">
        <v>169</v>
      </c>
      <c r="H4" s="25" t="s">
        <v>137</v>
      </c>
      <c r="I4" s="25" t="s">
        <v>10</v>
      </c>
      <c r="J4" s="25" t="s">
        <v>262</v>
      </c>
      <c r="K4" s="25" t="s">
        <v>263</v>
      </c>
      <c r="L4" s="25" t="s">
        <v>159</v>
      </c>
      <c r="M4" s="25" t="s">
        <v>146</v>
      </c>
      <c r="N4" s="25" t="s">
        <v>176</v>
      </c>
      <c r="O4" s="25" t="s">
        <v>150</v>
      </c>
      <c r="P4" s="25" t="s">
        <v>177</v>
      </c>
      <c r="Q4" s="25" t="s">
        <v>123</v>
      </c>
      <c r="R4" s="25" t="s">
        <v>37</v>
      </c>
      <c r="S4" s="25" t="s">
        <v>41</v>
      </c>
      <c r="T4" s="25" t="s">
        <v>0</v>
      </c>
      <c r="U4" s="25" t="s">
        <v>1</v>
      </c>
      <c r="V4" s="25" t="s">
        <v>128</v>
      </c>
      <c r="W4" s="25" t="s">
        <v>170</v>
      </c>
      <c r="X4" s="25" t="s">
        <v>172</v>
      </c>
      <c r="Y4" s="25" t="s">
        <v>173</v>
      </c>
      <c r="Z4" s="25" t="s">
        <v>174</v>
      </c>
      <c r="AA4" s="25" t="s">
        <v>171</v>
      </c>
      <c r="AB4" s="25" t="s">
        <v>245</v>
      </c>
      <c r="AC4" s="25" t="s">
        <v>246</v>
      </c>
      <c r="AD4" s="25" t="s">
        <v>247</v>
      </c>
      <c r="AE4" s="25" t="s">
        <v>175</v>
      </c>
      <c r="AF4" s="25" t="s">
        <v>129</v>
      </c>
      <c r="AG4" s="25" t="s">
        <v>63</v>
      </c>
      <c r="AH4" s="25" t="s">
        <v>43</v>
      </c>
      <c r="AI4" s="26" t="s">
        <v>271</v>
      </c>
      <c r="AJ4" s="26" t="s">
        <v>248</v>
      </c>
      <c r="AK4" s="26" t="s">
        <v>242</v>
      </c>
      <c r="AL4" s="26" t="s">
        <v>243</v>
      </c>
      <c r="AM4" s="26" t="s">
        <v>244</v>
      </c>
      <c r="AN4" s="25" t="s">
        <v>239</v>
      </c>
      <c r="AO4" s="26" t="s">
        <v>240</v>
      </c>
      <c r="AP4" s="25" t="s">
        <v>241</v>
      </c>
    </row>
    <row r="5" spans="1:48" ht="56" x14ac:dyDescent="0.35">
      <c r="B5" s="94" t="s">
        <v>265</v>
      </c>
      <c r="C5" s="97" t="s">
        <v>163</v>
      </c>
      <c r="D5" s="97" t="s">
        <v>266</v>
      </c>
      <c r="E5" s="80" t="s">
        <v>267</v>
      </c>
      <c r="F5" s="80" t="s">
        <v>268</v>
      </c>
      <c r="G5" s="80" t="s">
        <v>269</v>
      </c>
      <c r="H5" s="34"/>
      <c r="I5" s="29" t="s">
        <v>57</v>
      </c>
      <c r="J5" s="34" t="s">
        <v>270</v>
      </c>
      <c r="K5" s="30" t="s">
        <v>139</v>
      </c>
      <c r="L5" s="29" t="s">
        <v>259</v>
      </c>
      <c r="M5" s="29" t="s">
        <v>35</v>
      </c>
      <c r="N5" s="29"/>
      <c r="O5" s="29"/>
      <c r="P5" s="29"/>
      <c r="Q5" s="29"/>
      <c r="R5" s="29" t="s">
        <v>40</v>
      </c>
      <c r="S5" s="29" t="s">
        <v>40</v>
      </c>
      <c r="T5" s="91">
        <v>45689</v>
      </c>
      <c r="U5" s="91">
        <v>46568</v>
      </c>
      <c r="V5" s="76">
        <f>IF(U5="","",NETWORKDAYS(T5,U5,Parameter!$C$4:$C$51))</f>
        <v>596</v>
      </c>
      <c r="W5" s="98" t="s">
        <v>264</v>
      </c>
      <c r="X5" s="130">
        <v>250000</v>
      </c>
      <c r="Y5" s="130">
        <v>100000</v>
      </c>
      <c r="Z5" s="130">
        <v>20000</v>
      </c>
      <c r="AA5" s="153">
        <f>SUM(Tabelle1[[#This Row],[Plankosten 2025]:[Plankosten 2027]])</f>
        <v>370000</v>
      </c>
      <c r="AB5" s="130">
        <v>10000</v>
      </c>
      <c r="AC5" s="130"/>
      <c r="AD5" s="130"/>
      <c r="AE5" s="153">
        <f>SUM(Tabelle1[[#This Row],[Istkosten 2025]:[Istkosten 2027]])</f>
        <v>10000</v>
      </c>
      <c r="AF5" s="87">
        <f>IF(AA5="","",Tabelle1[[#This Row],[Ist-Kosten (Gesamt)]]/Tabelle1[[#This Row],[Plankosten 25-27]])</f>
        <v>2.7027027027027029E-2</v>
      </c>
      <c r="AG5" s="34" t="s">
        <v>3</v>
      </c>
      <c r="AH5" s="29" t="s">
        <v>46</v>
      </c>
      <c r="AI5" s="154">
        <v>0.33</v>
      </c>
      <c r="AJ5" s="155" t="s">
        <v>36</v>
      </c>
      <c r="AK5" s="156" t="s">
        <v>274</v>
      </c>
      <c r="AL5" s="97" t="s">
        <v>272</v>
      </c>
      <c r="AM5" s="97" t="s">
        <v>273</v>
      </c>
      <c r="AN5" s="97"/>
      <c r="AO5" s="94"/>
      <c r="AP5" s="94"/>
    </row>
    <row r="6" spans="1:48" ht="101.5" customHeight="1" x14ac:dyDescent="0.35">
      <c r="B6" s="94" t="s">
        <v>275</v>
      </c>
      <c r="C6" s="97" t="s">
        <v>165</v>
      </c>
      <c r="D6" s="97" t="s">
        <v>276</v>
      </c>
      <c r="E6" s="80" t="s">
        <v>277</v>
      </c>
      <c r="F6" s="80" t="s">
        <v>278</v>
      </c>
      <c r="G6" s="80" t="s">
        <v>279</v>
      </c>
      <c r="H6" s="34"/>
      <c r="I6" s="29" t="s">
        <v>59</v>
      </c>
      <c r="J6" s="34" t="s">
        <v>280</v>
      </c>
      <c r="K6" s="30" t="s">
        <v>139</v>
      </c>
      <c r="L6" s="29" t="s">
        <v>259</v>
      </c>
      <c r="M6" s="29" t="s">
        <v>35</v>
      </c>
      <c r="N6" s="29"/>
      <c r="O6" s="29"/>
      <c r="P6" s="29"/>
      <c r="Q6" s="29"/>
      <c r="R6" s="29" t="s">
        <v>83</v>
      </c>
      <c r="S6" s="29" t="s">
        <v>83</v>
      </c>
      <c r="T6" s="91">
        <v>46023</v>
      </c>
      <c r="U6" s="91">
        <v>46752</v>
      </c>
      <c r="V6" s="76">
        <f>IF(U6="","",NETWORKDAYS(T6,U6,Parameter!$C$4:$C$51))</f>
        <v>497</v>
      </c>
      <c r="W6" s="98" t="s">
        <v>126</v>
      </c>
      <c r="X6" s="130">
        <v>0</v>
      </c>
      <c r="Y6" s="130">
        <v>0</v>
      </c>
      <c r="Z6" s="130">
        <v>0</v>
      </c>
      <c r="AA6" s="153">
        <f>SUM(Tabelle1[[#This Row],[Plankosten 2025]:[Plankosten 2027]])</f>
        <v>0</v>
      </c>
      <c r="AB6" s="130">
        <v>0</v>
      </c>
      <c r="AC6" s="130"/>
      <c r="AD6" s="130"/>
      <c r="AE6" s="153">
        <f>SUM(Tabelle1[[#This Row],[Istkosten 2025]:[Istkosten 2027]])</f>
        <v>0</v>
      </c>
      <c r="AF6" s="87" t="e">
        <f>IF(AA6="","",Tabelle1[[#This Row],[Ist-Kosten (Gesamt)]]/Tabelle1[[#This Row],[Plankosten 25-27]])</f>
        <v>#DIV/0!</v>
      </c>
      <c r="AG6" s="34" t="s">
        <v>42</v>
      </c>
      <c r="AH6" s="29" t="s">
        <v>46</v>
      </c>
      <c r="AI6" s="154">
        <v>0</v>
      </c>
      <c r="AJ6" s="155" t="s">
        <v>35</v>
      </c>
      <c r="AK6" s="156" t="s">
        <v>281</v>
      </c>
      <c r="AL6" s="97" t="s">
        <v>178</v>
      </c>
      <c r="AM6" s="97"/>
      <c r="AN6" s="97"/>
      <c r="AO6" s="94"/>
      <c r="AP6" s="94"/>
    </row>
    <row r="7" spans="1:48" ht="28" x14ac:dyDescent="0.35">
      <c r="B7" s="94" t="s">
        <v>285</v>
      </c>
      <c r="C7" s="97" t="s">
        <v>165</v>
      </c>
      <c r="D7" s="97" t="s">
        <v>226</v>
      </c>
      <c r="E7" s="80" t="s">
        <v>286</v>
      </c>
      <c r="F7" s="157" t="s">
        <v>287</v>
      </c>
      <c r="G7" s="80" t="s">
        <v>294</v>
      </c>
      <c r="H7" s="34"/>
      <c r="I7" s="29" t="s">
        <v>59</v>
      </c>
      <c r="J7" s="34" t="s">
        <v>280</v>
      </c>
      <c r="K7" s="30" t="s">
        <v>139</v>
      </c>
      <c r="L7" s="29" t="s">
        <v>61</v>
      </c>
      <c r="M7" s="29" t="s">
        <v>35</v>
      </c>
      <c r="N7" s="29"/>
      <c r="O7" s="29"/>
      <c r="P7" s="29" t="s">
        <v>35</v>
      </c>
      <c r="Q7" s="29" t="s">
        <v>35</v>
      </c>
      <c r="R7" s="29" t="s">
        <v>83</v>
      </c>
      <c r="S7" s="29" t="s">
        <v>40</v>
      </c>
      <c r="T7" s="91"/>
      <c r="U7" s="91"/>
      <c r="V7" s="76" t="str">
        <f>IF(U7="","",NETWORKDAYS(T7,U7,Parameter!$C$4:$C$51))</f>
        <v/>
      </c>
      <c r="W7" s="98" t="s">
        <v>126</v>
      </c>
      <c r="X7" s="130">
        <v>0</v>
      </c>
      <c r="Y7" s="130">
        <v>0</v>
      </c>
      <c r="Z7" s="130">
        <v>0</v>
      </c>
      <c r="AA7" s="153">
        <f>SUM(Tabelle1[[#This Row],[Plankosten 2025]:[Plankosten 2027]])</f>
        <v>0</v>
      </c>
      <c r="AB7" s="130">
        <v>0</v>
      </c>
      <c r="AC7" s="130"/>
      <c r="AD7" s="130"/>
      <c r="AE7" s="153">
        <f>SUM(Tabelle1[[#This Row],[Istkosten 2025]:[Istkosten 2027]])</f>
        <v>0</v>
      </c>
      <c r="AF7" s="87" t="e">
        <f>IF(AA7="","",Tabelle1[[#This Row],[Ist-Kosten (Gesamt)]]/Tabelle1[[#This Row],[Plankosten 25-27]])</f>
        <v>#DIV/0!</v>
      </c>
      <c r="AG7" s="34" t="s">
        <v>151</v>
      </c>
      <c r="AH7" s="29" t="s">
        <v>48</v>
      </c>
      <c r="AI7" s="154">
        <v>0</v>
      </c>
      <c r="AJ7" s="155" t="s">
        <v>36</v>
      </c>
      <c r="AK7" s="156" t="s">
        <v>288</v>
      </c>
      <c r="AL7" s="97"/>
      <c r="AM7" s="97"/>
      <c r="AN7" s="97"/>
      <c r="AO7" s="94"/>
      <c r="AP7" s="94"/>
    </row>
    <row r="8" spans="1:48" ht="140" x14ac:dyDescent="0.35">
      <c r="B8" s="94" t="s">
        <v>289</v>
      </c>
      <c r="C8" s="97" t="s">
        <v>166</v>
      </c>
      <c r="D8" s="97" t="s">
        <v>227</v>
      </c>
      <c r="E8" s="80" t="s">
        <v>290</v>
      </c>
      <c r="F8" s="80" t="s">
        <v>291</v>
      </c>
      <c r="G8" s="80" t="s">
        <v>292</v>
      </c>
      <c r="H8" s="34"/>
      <c r="I8" s="29" t="s">
        <v>15</v>
      </c>
      <c r="J8" s="34" t="s">
        <v>293</v>
      </c>
      <c r="K8" s="30" t="s">
        <v>139</v>
      </c>
      <c r="L8" s="29" t="s">
        <v>249</v>
      </c>
      <c r="M8" s="29" t="s">
        <v>35</v>
      </c>
      <c r="N8" s="29" t="s">
        <v>35</v>
      </c>
      <c r="O8" s="29" t="s">
        <v>35</v>
      </c>
      <c r="P8" s="29"/>
      <c r="Q8" s="29"/>
      <c r="R8" s="29" t="s">
        <v>39</v>
      </c>
      <c r="S8" s="29" t="s">
        <v>39</v>
      </c>
      <c r="T8" s="91">
        <v>45658</v>
      </c>
      <c r="U8" s="91">
        <v>46752</v>
      </c>
      <c r="V8" s="76">
        <f>IF(U8="","",NETWORKDAYS(T8,U8,Parameter!$C$4:$C$51))</f>
        <v>744</v>
      </c>
      <c r="W8" s="98" t="s">
        <v>295</v>
      </c>
      <c r="X8" s="130">
        <v>500000</v>
      </c>
      <c r="Y8" s="130">
        <v>1200000</v>
      </c>
      <c r="Z8" s="130">
        <v>13125</v>
      </c>
      <c r="AA8" s="153">
        <f>SUM(Tabelle1[[#This Row],[Plankosten 2025]:[Plankosten 2027]])</f>
        <v>1713125</v>
      </c>
      <c r="AB8" s="130">
        <v>0</v>
      </c>
      <c r="AC8" s="130"/>
      <c r="AD8" s="130"/>
      <c r="AE8" s="153">
        <f>SUM(Tabelle1[[#This Row],[Istkosten 2025]:[Istkosten 2027]])</f>
        <v>0</v>
      </c>
      <c r="AF8" s="87">
        <f>IF(AA8="","",Tabelle1[[#This Row],[Ist-Kosten (Gesamt)]]/Tabelle1[[#This Row],[Plankosten 25-27]])</f>
        <v>0</v>
      </c>
      <c r="AG8" s="34" t="s">
        <v>42</v>
      </c>
      <c r="AH8" s="29" t="s">
        <v>47</v>
      </c>
      <c r="AI8" s="154">
        <v>0.1</v>
      </c>
      <c r="AJ8" s="155" t="s">
        <v>36</v>
      </c>
      <c r="AK8" s="156" t="s">
        <v>298</v>
      </c>
      <c r="AL8" s="97" t="s">
        <v>296</v>
      </c>
      <c r="AM8" s="97" t="s">
        <v>297</v>
      </c>
      <c r="AN8" s="97"/>
      <c r="AO8" s="94"/>
      <c r="AP8" s="94"/>
    </row>
    <row r="9" spans="1:48" x14ac:dyDescent="0.35">
      <c r="B9" s="94"/>
      <c r="C9" s="97"/>
      <c r="D9" s="97"/>
      <c r="E9" s="80"/>
      <c r="F9" s="80"/>
      <c r="G9" s="80"/>
      <c r="H9" s="34"/>
      <c r="I9" s="29"/>
      <c r="J9" s="34"/>
      <c r="K9" s="30"/>
      <c r="L9" s="29"/>
      <c r="M9" s="29"/>
      <c r="N9" s="29"/>
      <c r="O9" s="29"/>
      <c r="P9" s="29"/>
      <c r="Q9" s="29"/>
      <c r="R9" s="29"/>
      <c r="S9" s="29"/>
      <c r="T9" s="91"/>
      <c r="U9" s="91"/>
      <c r="V9" s="76" t="str">
        <f>IF(U9="","",NETWORKDAYS(T9,U9,Parameter!$C$4:$C$51))</f>
        <v/>
      </c>
      <c r="W9" s="98"/>
      <c r="X9" s="130"/>
      <c r="Y9" s="130"/>
      <c r="Z9" s="130"/>
      <c r="AA9" s="153">
        <f>SUM(Tabelle1[[#This Row],[Plankosten 2025]:[Plankosten 2027]])</f>
        <v>0</v>
      </c>
      <c r="AB9" s="130"/>
      <c r="AC9" s="130"/>
      <c r="AD9" s="130"/>
      <c r="AE9" s="153">
        <f>SUM(Tabelle1[[#This Row],[Istkosten 2025]:[Istkosten 2027]])</f>
        <v>0</v>
      </c>
      <c r="AF9" s="87" t="e">
        <f>IF(AA9="","",Tabelle1[[#This Row],[Ist-Kosten (Gesamt)]]/Tabelle1[[#This Row],[Plankosten 25-27]])</f>
        <v>#DIV/0!</v>
      </c>
      <c r="AG9" s="34"/>
      <c r="AH9" s="29"/>
      <c r="AI9" s="154"/>
      <c r="AJ9" s="155"/>
      <c r="AK9" s="156"/>
      <c r="AL9" s="97"/>
      <c r="AM9" s="97"/>
      <c r="AN9" s="97"/>
      <c r="AO9" s="94"/>
      <c r="AP9" s="94"/>
    </row>
    <row r="10" spans="1:48" x14ac:dyDescent="0.35">
      <c r="B10" s="94"/>
      <c r="C10" s="97"/>
      <c r="D10" s="97"/>
      <c r="E10" s="80"/>
      <c r="F10" s="80"/>
      <c r="G10" s="80"/>
      <c r="H10" s="34"/>
      <c r="I10" s="29"/>
      <c r="J10" s="34"/>
      <c r="K10" s="30"/>
      <c r="L10" s="29"/>
      <c r="M10" s="29"/>
      <c r="N10" s="29"/>
      <c r="O10" s="29"/>
      <c r="P10" s="29"/>
      <c r="Q10" s="29"/>
      <c r="R10" s="29"/>
      <c r="S10" s="29"/>
      <c r="T10" s="91"/>
      <c r="U10" s="91"/>
      <c r="V10" s="76" t="str">
        <f>IF(U10="","",NETWORKDAYS(T10,U10,Parameter!$C$4:$C$51))</f>
        <v/>
      </c>
      <c r="W10" s="98"/>
      <c r="X10" s="130"/>
      <c r="Y10" s="130"/>
      <c r="Z10" s="130"/>
      <c r="AA10" s="153">
        <f>SUM(Tabelle1[[#This Row],[Plankosten 2025]:[Plankosten 2027]])</f>
        <v>0</v>
      </c>
      <c r="AB10" s="130"/>
      <c r="AC10" s="130"/>
      <c r="AD10" s="130"/>
      <c r="AE10" s="153">
        <f>SUM(Tabelle1[[#This Row],[Istkosten 2025]:[Istkosten 2027]])</f>
        <v>0</v>
      </c>
      <c r="AF10" s="87" t="e">
        <f>IF(AA10="","",Tabelle1[[#This Row],[Ist-Kosten (Gesamt)]]/Tabelle1[[#This Row],[Plankosten 25-27]])</f>
        <v>#DIV/0!</v>
      </c>
      <c r="AG10" s="34"/>
      <c r="AH10" s="29"/>
      <c r="AI10" s="154"/>
      <c r="AJ10" s="155"/>
      <c r="AK10" s="156"/>
      <c r="AL10" s="97"/>
      <c r="AM10" s="97"/>
      <c r="AN10" s="97"/>
      <c r="AO10" s="94"/>
      <c r="AP10" s="94"/>
    </row>
    <row r="11" spans="1:48" x14ac:dyDescent="0.35">
      <c r="B11" s="94"/>
      <c r="C11" s="97"/>
      <c r="D11" s="97"/>
      <c r="E11" s="80"/>
      <c r="F11" s="80"/>
      <c r="G11" s="80"/>
      <c r="H11" s="34"/>
      <c r="I11" s="29"/>
      <c r="J11" s="34"/>
      <c r="K11" s="30"/>
      <c r="L11" s="29"/>
      <c r="M11" s="29"/>
      <c r="N11" s="29"/>
      <c r="O11" s="29"/>
      <c r="P11" s="29"/>
      <c r="Q11" s="29"/>
      <c r="R11" s="29"/>
      <c r="S11" s="29"/>
      <c r="T11" s="91"/>
      <c r="U11" s="91"/>
      <c r="V11" s="76" t="str">
        <f>IF(U11="","",NETWORKDAYS(T11,U11,Parameter!$C$4:$C$51))</f>
        <v/>
      </c>
      <c r="W11" s="98"/>
      <c r="X11" s="130"/>
      <c r="Y11" s="130"/>
      <c r="Z11" s="130"/>
      <c r="AA11" s="153">
        <f>SUM(Tabelle1[[#This Row],[Plankosten 2025]:[Plankosten 2027]])</f>
        <v>0</v>
      </c>
      <c r="AB11" s="130"/>
      <c r="AC11" s="130"/>
      <c r="AD11" s="130"/>
      <c r="AE11" s="153">
        <f>SUM(Tabelle1[[#This Row],[Istkosten 2025]:[Istkosten 2027]])</f>
        <v>0</v>
      </c>
      <c r="AF11" s="87" t="e">
        <f>IF(AA11="","",Tabelle1[[#This Row],[Ist-Kosten (Gesamt)]]/Tabelle1[[#This Row],[Plankosten 25-27]])</f>
        <v>#DIV/0!</v>
      </c>
      <c r="AG11" s="34"/>
      <c r="AH11" s="29"/>
      <c r="AI11" s="154"/>
      <c r="AJ11" s="155"/>
      <c r="AK11" s="156"/>
      <c r="AL11" s="97"/>
      <c r="AM11" s="97"/>
      <c r="AN11" s="97"/>
      <c r="AO11" s="94"/>
      <c r="AP11" s="94"/>
    </row>
    <row r="12" spans="1:48" x14ac:dyDescent="0.35">
      <c r="B12" s="94"/>
      <c r="C12" s="97"/>
      <c r="D12" s="97"/>
      <c r="E12" s="80"/>
      <c r="F12" s="80"/>
      <c r="G12" s="80"/>
      <c r="H12" s="34"/>
      <c r="I12" s="29"/>
      <c r="J12" s="34"/>
      <c r="K12" s="30"/>
      <c r="L12" s="29"/>
      <c r="M12" s="29"/>
      <c r="N12" s="29"/>
      <c r="O12" s="29"/>
      <c r="P12" s="29"/>
      <c r="Q12" s="29"/>
      <c r="R12" s="29"/>
      <c r="S12" s="29"/>
      <c r="T12" s="91"/>
      <c r="U12" s="91"/>
      <c r="V12" s="76" t="str">
        <f>IF(U12="","",NETWORKDAYS(T12,U12,Parameter!$C$4:$C$51))</f>
        <v/>
      </c>
      <c r="W12" s="98"/>
      <c r="X12" s="130"/>
      <c r="Y12" s="130"/>
      <c r="Z12" s="130"/>
      <c r="AA12" s="153">
        <f>SUM(Tabelle1[[#This Row],[Plankosten 2025]:[Plankosten 2027]])</f>
        <v>0</v>
      </c>
      <c r="AB12" s="130"/>
      <c r="AC12" s="130"/>
      <c r="AD12" s="130"/>
      <c r="AE12" s="153">
        <f>SUM(Tabelle1[[#This Row],[Istkosten 2025]:[Istkosten 2027]])</f>
        <v>0</v>
      </c>
      <c r="AF12" s="87" t="e">
        <f>IF(AA12="","",Tabelle1[[#This Row],[Ist-Kosten (Gesamt)]]/Tabelle1[[#This Row],[Plankosten 25-27]])</f>
        <v>#DIV/0!</v>
      </c>
      <c r="AG12" s="34"/>
      <c r="AH12" s="29"/>
      <c r="AI12" s="154"/>
      <c r="AJ12" s="155"/>
      <c r="AK12" s="156"/>
      <c r="AL12" s="97"/>
      <c r="AM12" s="97"/>
      <c r="AN12" s="97"/>
      <c r="AO12" s="94"/>
      <c r="AP12" s="94"/>
    </row>
    <row r="13" spans="1:48" x14ac:dyDescent="0.35">
      <c r="B13" s="94"/>
      <c r="C13" s="97"/>
      <c r="D13" s="97"/>
      <c r="E13" s="80"/>
      <c r="F13" s="80"/>
      <c r="G13" s="80"/>
      <c r="H13" s="34"/>
      <c r="I13" s="29"/>
      <c r="J13" s="34"/>
      <c r="K13" s="30"/>
      <c r="L13" s="29"/>
      <c r="M13" s="29"/>
      <c r="N13" s="29"/>
      <c r="O13" s="29"/>
      <c r="P13" s="29"/>
      <c r="Q13" s="29"/>
      <c r="R13" s="29"/>
      <c r="S13" s="29"/>
      <c r="T13" s="91"/>
      <c r="U13" s="91"/>
      <c r="V13" s="76" t="str">
        <f>IF(U13="","",NETWORKDAYS(T13,U13,Parameter!$C$4:$C$51))</f>
        <v/>
      </c>
      <c r="W13" s="98"/>
      <c r="X13" s="130"/>
      <c r="Y13" s="130"/>
      <c r="Z13" s="130"/>
      <c r="AA13" s="153">
        <f>SUM(Tabelle1[[#This Row],[Plankosten 2025]:[Plankosten 2027]])</f>
        <v>0</v>
      </c>
      <c r="AB13" s="130"/>
      <c r="AC13" s="130"/>
      <c r="AD13" s="130"/>
      <c r="AE13" s="153">
        <f>SUM(Tabelle1[[#This Row],[Istkosten 2025]:[Istkosten 2027]])</f>
        <v>0</v>
      </c>
      <c r="AF13" s="87" t="e">
        <f>IF(AA13="","",Tabelle1[[#This Row],[Ist-Kosten (Gesamt)]]/Tabelle1[[#This Row],[Plankosten 25-27]])</f>
        <v>#DIV/0!</v>
      </c>
      <c r="AG13" s="34"/>
      <c r="AH13" s="29"/>
      <c r="AI13" s="154"/>
      <c r="AJ13" s="155"/>
      <c r="AK13" s="156"/>
      <c r="AL13" s="97"/>
      <c r="AM13" s="97"/>
      <c r="AN13" s="97"/>
      <c r="AO13" s="94"/>
      <c r="AP13" s="94"/>
    </row>
    <row r="14" spans="1:48" x14ac:dyDescent="0.35">
      <c r="B14" s="94"/>
      <c r="C14" s="97"/>
      <c r="D14" s="97"/>
      <c r="E14" s="80"/>
      <c r="F14" s="80"/>
      <c r="G14" s="80"/>
      <c r="H14" s="34"/>
      <c r="I14" s="29"/>
      <c r="J14" s="34"/>
      <c r="K14" s="30"/>
      <c r="L14" s="29"/>
      <c r="M14" s="29"/>
      <c r="N14" s="29"/>
      <c r="O14" s="29"/>
      <c r="P14" s="29"/>
      <c r="Q14" s="29"/>
      <c r="R14" s="29"/>
      <c r="S14" s="29"/>
      <c r="T14" s="91"/>
      <c r="U14" s="91"/>
      <c r="V14" s="76" t="str">
        <f>IF(U14="","",NETWORKDAYS(T14,U14,Parameter!$C$4:$C$51))</f>
        <v/>
      </c>
      <c r="W14" s="98"/>
      <c r="X14" s="130"/>
      <c r="Y14" s="130"/>
      <c r="Z14" s="130"/>
      <c r="AA14" s="153">
        <f>SUM(Tabelle1[[#This Row],[Plankosten 2025]:[Plankosten 2027]])</f>
        <v>0</v>
      </c>
      <c r="AB14" s="130"/>
      <c r="AC14" s="130"/>
      <c r="AD14" s="130"/>
      <c r="AE14" s="153">
        <f>SUM(Tabelle1[[#This Row],[Istkosten 2025]:[Istkosten 2027]])</f>
        <v>0</v>
      </c>
      <c r="AF14" s="87" t="e">
        <f>IF(AA14="","",Tabelle1[[#This Row],[Ist-Kosten (Gesamt)]]/Tabelle1[[#This Row],[Plankosten 25-27]])</f>
        <v>#DIV/0!</v>
      </c>
      <c r="AG14" s="34"/>
      <c r="AH14" s="29"/>
      <c r="AI14" s="154"/>
      <c r="AJ14" s="155"/>
      <c r="AK14" s="156"/>
      <c r="AL14" s="97"/>
      <c r="AM14" s="97"/>
      <c r="AN14" s="97"/>
      <c r="AO14" s="94"/>
      <c r="AP14" s="94"/>
    </row>
    <row r="15" spans="1:48" x14ac:dyDescent="0.35">
      <c r="B15" s="94"/>
      <c r="C15" s="97"/>
      <c r="D15" s="97"/>
      <c r="E15" s="80"/>
      <c r="F15" s="80"/>
      <c r="G15" s="80"/>
      <c r="H15" s="34"/>
      <c r="I15" s="29"/>
      <c r="J15" s="34"/>
      <c r="K15" s="30"/>
      <c r="L15" s="29"/>
      <c r="M15" s="29"/>
      <c r="N15" s="29"/>
      <c r="O15" s="29"/>
      <c r="P15" s="29"/>
      <c r="Q15" s="29"/>
      <c r="R15" s="29"/>
      <c r="S15" s="29"/>
      <c r="T15" s="91"/>
      <c r="U15" s="91"/>
      <c r="V15" s="76" t="str">
        <f>IF(U15="","",NETWORKDAYS(T15,U15,Parameter!$C$4:$C$51))</f>
        <v/>
      </c>
      <c r="W15" s="98"/>
      <c r="X15" s="130"/>
      <c r="Y15" s="130"/>
      <c r="Z15" s="130"/>
      <c r="AA15" s="153">
        <f>SUM(Tabelle1[[#This Row],[Plankosten 2025]:[Plankosten 2027]])</f>
        <v>0</v>
      </c>
      <c r="AB15" s="130"/>
      <c r="AC15" s="130"/>
      <c r="AD15" s="130"/>
      <c r="AE15" s="153">
        <f>SUM(Tabelle1[[#This Row],[Istkosten 2025]:[Istkosten 2027]])</f>
        <v>0</v>
      </c>
      <c r="AF15" s="87" t="e">
        <f>IF(AA15="","",Tabelle1[[#This Row],[Ist-Kosten (Gesamt)]]/Tabelle1[[#This Row],[Plankosten 25-27]])</f>
        <v>#DIV/0!</v>
      </c>
      <c r="AG15" s="34"/>
      <c r="AH15" s="29"/>
      <c r="AI15" s="154"/>
      <c r="AJ15" s="155"/>
      <c r="AK15" s="156"/>
      <c r="AL15" s="97"/>
      <c r="AM15" s="97"/>
      <c r="AN15" s="97"/>
      <c r="AO15" s="94"/>
      <c r="AP15" s="94"/>
    </row>
    <row r="16" spans="1:48" x14ac:dyDescent="0.35">
      <c r="B16" s="94"/>
      <c r="C16" s="97"/>
      <c r="D16" s="97"/>
      <c r="E16" s="80"/>
      <c r="F16" s="80"/>
      <c r="G16" s="80"/>
      <c r="H16" s="34"/>
      <c r="I16" s="29"/>
      <c r="J16" s="34"/>
      <c r="K16" s="30"/>
      <c r="L16" s="29"/>
      <c r="M16" s="29"/>
      <c r="N16" s="29"/>
      <c r="O16" s="29"/>
      <c r="P16" s="29"/>
      <c r="Q16" s="29"/>
      <c r="R16" s="29"/>
      <c r="S16" s="29"/>
      <c r="T16" s="91"/>
      <c r="U16" s="91"/>
      <c r="V16" s="76" t="str">
        <f>IF(U16="","",NETWORKDAYS(T16,U16,Parameter!$C$4:$C$51))</f>
        <v/>
      </c>
      <c r="W16" s="98"/>
      <c r="X16" s="130"/>
      <c r="Y16" s="130"/>
      <c r="Z16" s="130"/>
      <c r="AA16" s="153">
        <f>SUM(Tabelle1[[#This Row],[Plankosten 2025]:[Plankosten 2027]])</f>
        <v>0</v>
      </c>
      <c r="AB16" s="130"/>
      <c r="AC16" s="130"/>
      <c r="AD16" s="130"/>
      <c r="AE16" s="153">
        <f>SUM(Tabelle1[[#This Row],[Istkosten 2025]:[Istkosten 2027]])</f>
        <v>0</v>
      </c>
      <c r="AF16" s="87" t="e">
        <f>IF(AA16="","",Tabelle1[[#This Row],[Ist-Kosten (Gesamt)]]/Tabelle1[[#This Row],[Plankosten 25-27]])</f>
        <v>#DIV/0!</v>
      </c>
      <c r="AG16" s="34"/>
      <c r="AH16" s="29"/>
      <c r="AI16" s="154"/>
      <c r="AJ16" s="155"/>
      <c r="AK16" s="156"/>
      <c r="AL16" s="97"/>
      <c r="AM16" s="97"/>
      <c r="AN16" s="97"/>
      <c r="AO16" s="94"/>
      <c r="AP16" s="94"/>
    </row>
    <row r="17" spans="2:42" x14ac:dyDescent="0.35">
      <c r="B17" s="94"/>
      <c r="C17" s="97"/>
      <c r="D17" s="97"/>
      <c r="E17" s="80"/>
      <c r="F17" s="80"/>
      <c r="G17" s="80"/>
      <c r="H17" s="34"/>
      <c r="I17" s="29"/>
      <c r="J17" s="34"/>
      <c r="K17" s="30"/>
      <c r="L17" s="29"/>
      <c r="M17" s="29"/>
      <c r="N17" s="29"/>
      <c r="O17" s="29"/>
      <c r="P17" s="29"/>
      <c r="Q17" s="29"/>
      <c r="R17" s="29"/>
      <c r="S17" s="29"/>
      <c r="T17" s="91"/>
      <c r="U17" s="91"/>
      <c r="V17" s="76" t="str">
        <f>IF(U17="","",NETWORKDAYS(T17,U17,Parameter!$C$4:$C$51))</f>
        <v/>
      </c>
      <c r="W17" s="98"/>
      <c r="X17" s="130"/>
      <c r="Y17" s="130"/>
      <c r="Z17" s="130"/>
      <c r="AA17" s="153">
        <f>SUM(Tabelle1[[#This Row],[Plankosten 2025]:[Plankosten 2027]])</f>
        <v>0</v>
      </c>
      <c r="AB17" s="130"/>
      <c r="AC17" s="130"/>
      <c r="AD17" s="130"/>
      <c r="AE17" s="153">
        <f>SUM(Tabelle1[[#This Row],[Istkosten 2025]:[Istkosten 2027]])</f>
        <v>0</v>
      </c>
      <c r="AF17" s="87" t="e">
        <f>IF(AA17="","",Tabelle1[[#This Row],[Ist-Kosten (Gesamt)]]/Tabelle1[[#This Row],[Plankosten 25-27]])</f>
        <v>#DIV/0!</v>
      </c>
      <c r="AG17" s="34"/>
      <c r="AH17" s="29"/>
      <c r="AI17" s="154"/>
      <c r="AJ17" s="155"/>
      <c r="AK17" s="156"/>
      <c r="AL17" s="97"/>
      <c r="AM17" s="97"/>
      <c r="AN17" s="97"/>
      <c r="AO17" s="94"/>
      <c r="AP17" s="94"/>
    </row>
    <row r="18" spans="2:42" x14ac:dyDescent="0.35">
      <c r="B18" s="94"/>
      <c r="C18" s="97"/>
      <c r="D18" s="97"/>
      <c r="E18" s="80"/>
      <c r="F18" s="80"/>
      <c r="G18" s="80"/>
      <c r="H18" s="34"/>
      <c r="I18" s="29"/>
      <c r="J18" s="34"/>
      <c r="K18" s="30"/>
      <c r="L18" s="29"/>
      <c r="M18" s="29"/>
      <c r="N18" s="29"/>
      <c r="O18" s="29"/>
      <c r="P18" s="29"/>
      <c r="Q18" s="29"/>
      <c r="R18" s="29"/>
      <c r="S18" s="29"/>
      <c r="T18" s="91"/>
      <c r="U18" s="91"/>
      <c r="V18" s="76" t="str">
        <f>IF(U18="","",NETWORKDAYS(T18,U18,Parameter!$C$4:$C$51))</f>
        <v/>
      </c>
      <c r="W18" s="98"/>
      <c r="X18" s="130"/>
      <c r="Y18" s="130"/>
      <c r="Z18" s="130"/>
      <c r="AA18" s="153">
        <f>SUM(Tabelle1[[#This Row],[Plankosten 2025]:[Plankosten 2027]])</f>
        <v>0</v>
      </c>
      <c r="AB18" s="130"/>
      <c r="AC18" s="130"/>
      <c r="AD18" s="130"/>
      <c r="AE18" s="153">
        <f>SUM(Tabelle1[[#This Row],[Istkosten 2025]:[Istkosten 2027]])</f>
        <v>0</v>
      </c>
      <c r="AF18" s="87" t="e">
        <f>IF(AA18="","",Tabelle1[[#This Row],[Ist-Kosten (Gesamt)]]/Tabelle1[[#This Row],[Plankosten 25-27]])</f>
        <v>#DIV/0!</v>
      </c>
      <c r="AG18" s="34"/>
      <c r="AH18" s="29"/>
      <c r="AI18" s="154"/>
      <c r="AJ18" s="155"/>
      <c r="AK18" s="156"/>
      <c r="AL18" s="97"/>
      <c r="AM18" s="97"/>
      <c r="AN18" s="97"/>
      <c r="AO18" s="94"/>
      <c r="AP18" s="94"/>
    </row>
    <row r="19" spans="2:42" x14ac:dyDescent="0.35">
      <c r="B19" s="94"/>
      <c r="C19" s="97"/>
      <c r="D19" s="97"/>
      <c r="E19" s="80"/>
      <c r="F19" s="80"/>
      <c r="G19" s="80"/>
      <c r="H19" s="34"/>
      <c r="I19" s="29"/>
      <c r="J19" s="34"/>
      <c r="K19" s="30"/>
      <c r="L19" s="29"/>
      <c r="M19" s="29"/>
      <c r="N19" s="29"/>
      <c r="O19" s="29"/>
      <c r="P19" s="29"/>
      <c r="Q19" s="29"/>
      <c r="R19" s="29"/>
      <c r="S19" s="29"/>
      <c r="T19" s="91"/>
      <c r="U19" s="91"/>
      <c r="V19" s="76" t="str">
        <f>IF(U19="","",NETWORKDAYS(T19,U19,Parameter!$C$4:$C$51))</f>
        <v/>
      </c>
      <c r="W19" s="98"/>
      <c r="X19" s="130"/>
      <c r="Y19" s="130"/>
      <c r="Z19" s="130"/>
      <c r="AA19" s="153">
        <f>SUM(Tabelle1[[#This Row],[Plankosten 2025]:[Plankosten 2027]])</f>
        <v>0</v>
      </c>
      <c r="AB19" s="130"/>
      <c r="AC19" s="130"/>
      <c r="AD19" s="130"/>
      <c r="AE19" s="153">
        <f>SUM(Tabelle1[[#This Row],[Istkosten 2025]:[Istkosten 2027]])</f>
        <v>0</v>
      </c>
      <c r="AF19" s="87" t="e">
        <f>IF(AA19="","",Tabelle1[[#This Row],[Ist-Kosten (Gesamt)]]/Tabelle1[[#This Row],[Plankosten 25-27]])</f>
        <v>#DIV/0!</v>
      </c>
      <c r="AG19" s="34"/>
      <c r="AH19" s="29"/>
      <c r="AI19" s="154"/>
      <c r="AJ19" s="155"/>
      <c r="AK19" s="156"/>
      <c r="AL19" s="97"/>
      <c r="AM19" s="97"/>
      <c r="AN19" s="97"/>
      <c r="AO19" s="94"/>
      <c r="AP19" s="94"/>
    </row>
    <row r="20" spans="2:42" x14ac:dyDescent="0.35">
      <c r="B20" s="94"/>
      <c r="C20" s="97"/>
      <c r="D20" s="97"/>
      <c r="E20" s="80"/>
      <c r="F20" s="80"/>
      <c r="G20" s="80"/>
      <c r="H20" s="34"/>
      <c r="I20" s="29"/>
      <c r="J20" s="34"/>
      <c r="K20" s="30"/>
      <c r="L20" s="29"/>
      <c r="M20" s="29"/>
      <c r="N20" s="29"/>
      <c r="O20" s="29"/>
      <c r="P20" s="29"/>
      <c r="Q20" s="29"/>
      <c r="R20" s="29"/>
      <c r="S20" s="29"/>
      <c r="T20" s="91"/>
      <c r="U20" s="91"/>
      <c r="V20" s="76" t="str">
        <f>IF(U20="","",NETWORKDAYS(T20,U20,Parameter!$C$4:$C$51))</f>
        <v/>
      </c>
      <c r="W20" s="98"/>
      <c r="X20" s="130"/>
      <c r="Y20" s="130"/>
      <c r="Z20" s="130"/>
      <c r="AA20" s="153">
        <f>SUM(Tabelle1[[#This Row],[Plankosten 2025]:[Plankosten 2027]])</f>
        <v>0</v>
      </c>
      <c r="AB20" s="130"/>
      <c r="AC20" s="130"/>
      <c r="AD20" s="130"/>
      <c r="AE20" s="153">
        <f>SUM(Tabelle1[[#This Row],[Istkosten 2025]:[Istkosten 2027]])</f>
        <v>0</v>
      </c>
      <c r="AF20" s="87" t="e">
        <f>IF(AA20="","",Tabelle1[[#This Row],[Ist-Kosten (Gesamt)]]/Tabelle1[[#This Row],[Plankosten 25-27]])</f>
        <v>#DIV/0!</v>
      </c>
      <c r="AG20" s="34"/>
      <c r="AH20" s="29"/>
      <c r="AI20" s="154"/>
      <c r="AJ20" s="155"/>
      <c r="AK20" s="156"/>
      <c r="AL20" s="97"/>
      <c r="AM20" s="97"/>
      <c r="AN20" s="97"/>
      <c r="AO20" s="94"/>
      <c r="AP20" s="94"/>
    </row>
    <row r="21" spans="2:42" x14ac:dyDescent="0.35">
      <c r="B21" s="94"/>
      <c r="C21" s="97"/>
      <c r="D21" s="97"/>
      <c r="E21" s="80"/>
      <c r="F21" s="80"/>
      <c r="G21" s="80"/>
      <c r="H21" s="34"/>
      <c r="I21" s="29"/>
      <c r="J21" s="34"/>
      <c r="K21" s="30"/>
      <c r="L21" s="29"/>
      <c r="M21" s="29"/>
      <c r="N21" s="29"/>
      <c r="O21" s="29"/>
      <c r="P21" s="29"/>
      <c r="Q21" s="29"/>
      <c r="R21" s="29"/>
      <c r="S21" s="29"/>
      <c r="T21" s="91"/>
      <c r="U21" s="91"/>
      <c r="V21" s="76" t="str">
        <f>IF(U21="","",NETWORKDAYS(T21,U21,Parameter!$C$4:$C$51))</f>
        <v/>
      </c>
      <c r="W21" s="98"/>
      <c r="X21" s="130"/>
      <c r="Y21" s="130"/>
      <c r="Z21" s="130"/>
      <c r="AA21" s="153">
        <f>SUM(Tabelle1[[#This Row],[Plankosten 2025]:[Plankosten 2027]])</f>
        <v>0</v>
      </c>
      <c r="AB21" s="130"/>
      <c r="AC21" s="130"/>
      <c r="AD21" s="130"/>
      <c r="AE21" s="153">
        <f>SUM(Tabelle1[[#This Row],[Istkosten 2025]:[Istkosten 2027]])</f>
        <v>0</v>
      </c>
      <c r="AF21" s="87" t="e">
        <f>IF(AA21="","",Tabelle1[[#This Row],[Ist-Kosten (Gesamt)]]/Tabelle1[[#This Row],[Plankosten 25-27]])</f>
        <v>#DIV/0!</v>
      </c>
      <c r="AG21" s="34"/>
      <c r="AH21" s="29"/>
      <c r="AI21" s="154"/>
      <c r="AJ21" s="155"/>
      <c r="AK21" s="156"/>
      <c r="AL21" s="97"/>
      <c r="AM21" s="97"/>
      <c r="AN21" s="97"/>
      <c r="AO21" s="94"/>
      <c r="AP21" s="94"/>
    </row>
    <row r="22" spans="2:42" x14ac:dyDescent="0.35">
      <c r="B22" s="94"/>
      <c r="C22" s="97"/>
      <c r="D22" s="97"/>
      <c r="E22" s="80"/>
      <c r="F22" s="80"/>
      <c r="G22" s="80"/>
      <c r="H22" s="34"/>
      <c r="I22" s="29"/>
      <c r="J22" s="34"/>
      <c r="K22" s="30"/>
      <c r="L22" s="29"/>
      <c r="M22" s="29"/>
      <c r="N22" s="29"/>
      <c r="O22" s="29"/>
      <c r="P22" s="29"/>
      <c r="Q22" s="29"/>
      <c r="R22" s="29"/>
      <c r="S22" s="29"/>
      <c r="T22" s="91"/>
      <c r="U22" s="91"/>
      <c r="V22" s="76" t="str">
        <f>IF(U22="","",NETWORKDAYS(T22,U22,Parameter!$C$4:$C$51))</f>
        <v/>
      </c>
      <c r="W22" s="98"/>
      <c r="X22" s="130"/>
      <c r="Y22" s="130"/>
      <c r="Z22" s="130"/>
      <c r="AA22" s="153">
        <f>SUM(Tabelle1[[#This Row],[Plankosten 2025]:[Plankosten 2027]])</f>
        <v>0</v>
      </c>
      <c r="AB22" s="130"/>
      <c r="AC22" s="130"/>
      <c r="AD22" s="130"/>
      <c r="AE22" s="153">
        <f>SUM(Tabelle1[[#This Row],[Istkosten 2025]:[Istkosten 2027]])</f>
        <v>0</v>
      </c>
      <c r="AF22" s="87" t="e">
        <f>IF(AA22="","",Tabelle1[[#This Row],[Ist-Kosten (Gesamt)]]/Tabelle1[[#This Row],[Plankosten 25-27]])</f>
        <v>#DIV/0!</v>
      </c>
      <c r="AG22" s="34"/>
      <c r="AH22" s="29"/>
      <c r="AI22" s="154"/>
      <c r="AJ22" s="155"/>
      <c r="AK22" s="156"/>
      <c r="AL22" s="97"/>
      <c r="AM22" s="97"/>
      <c r="AN22" s="97"/>
      <c r="AO22" s="94"/>
      <c r="AP22" s="94"/>
    </row>
    <row r="23" spans="2:42" x14ac:dyDescent="0.35">
      <c r="B23" s="94"/>
      <c r="C23" s="97"/>
      <c r="D23" s="97"/>
      <c r="E23" s="80"/>
      <c r="F23" s="80"/>
      <c r="G23" s="80"/>
      <c r="H23" s="34"/>
      <c r="I23" s="29"/>
      <c r="J23" s="34"/>
      <c r="K23" s="30"/>
      <c r="L23" s="29"/>
      <c r="M23" s="29"/>
      <c r="N23" s="29"/>
      <c r="O23" s="29"/>
      <c r="P23" s="29"/>
      <c r="Q23" s="29"/>
      <c r="R23" s="29"/>
      <c r="S23" s="29"/>
      <c r="T23" s="91"/>
      <c r="U23" s="91"/>
      <c r="V23" s="76" t="str">
        <f>IF(U23="","",NETWORKDAYS(T23,U23,Parameter!$C$4:$C$51))</f>
        <v/>
      </c>
      <c r="W23" s="98"/>
      <c r="X23" s="130"/>
      <c r="Y23" s="130"/>
      <c r="Z23" s="130"/>
      <c r="AA23" s="153">
        <f>SUM(Tabelle1[[#This Row],[Plankosten 2025]:[Plankosten 2027]])</f>
        <v>0</v>
      </c>
      <c r="AB23" s="130"/>
      <c r="AC23" s="130"/>
      <c r="AD23" s="130"/>
      <c r="AE23" s="153">
        <f>SUM(Tabelle1[[#This Row],[Istkosten 2025]:[Istkosten 2027]])</f>
        <v>0</v>
      </c>
      <c r="AF23" s="87" t="e">
        <f>IF(AA23="","",Tabelle1[[#This Row],[Ist-Kosten (Gesamt)]]/Tabelle1[[#This Row],[Plankosten 25-27]])</f>
        <v>#DIV/0!</v>
      </c>
      <c r="AG23" s="34"/>
      <c r="AH23" s="29"/>
      <c r="AI23" s="154"/>
      <c r="AJ23" s="155"/>
      <c r="AK23" s="156"/>
      <c r="AL23" s="97"/>
      <c r="AM23" s="97"/>
      <c r="AN23" s="97"/>
      <c r="AO23" s="94"/>
      <c r="AP23" s="94"/>
    </row>
    <row r="24" spans="2:42" x14ac:dyDescent="0.35">
      <c r="B24" s="94"/>
      <c r="C24" s="97"/>
      <c r="D24" s="97"/>
      <c r="E24" s="80"/>
      <c r="F24" s="80"/>
      <c r="G24" s="80"/>
      <c r="H24" s="34"/>
      <c r="I24" s="29"/>
      <c r="J24" s="34"/>
      <c r="K24" s="30"/>
      <c r="L24" s="29"/>
      <c r="M24" s="29"/>
      <c r="N24" s="29"/>
      <c r="O24" s="29"/>
      <c r="P24" s="29"/>
      <c r="Q24" s="29"/>
      <c r="R24" s="29"/>
      <c r="S24" s="29"/>
      <c r="T24" s="91"/>
      <c r="U24" s="91"/>
      <c r="V24" s="76" t="str">
        <f>IF(U24="","",NETWORKDAYS(T24,U24,Parameter!$C$4:$C$51))</f>
        <v/>
      </c>
      <c r="W24" s="98"/>
      <c r="X24" s="130"/>
      <c r="Y24" s="130"/>
      <c r="Z24" s="130"/>
      <c r="AA24" s="153">
        <f>SUM(Tabelle1[[#This Row],[Plankosten 2025]:[Plankosten 2027]])</f>
        <v>0</v>
      </c>
      <c r="AB24" s="130"/>
      <c r="AC24" s="130"/>
      <c r="AD24" s="130"/>
      <c r="AE24" s="153">
        <f>SUM(Tabelle1[[#This Row],[Istkosten 2025]:[Istkosten 2027]])</f>
        <v>0</v>
      </c>
      <c r="AF24" s="87" t="e">
        <f>IF(AA24="","",Tabelle1[[#This Row],[Ist-Kosten (Gesamt)]]/Tabelle1[[#This Row],[Plankosten 25-27]])</f>
        <v>#DIV/0!</v>
      </c>
      <c r="AG24" s="34"/>
      <c r="AH24" s="29"/>
      <c r="AI24" s="154"/>
      <c r="AJ24" s="155"/>
      <c r="AK24" s="156"/>
      <c r="AL24" s="97"/>
      <c r="AM24" s="97"/>
      <c r="AN24" s="97"/>
      <c r="AO24" s="94"/>
      <c r="AP24" s="94"/>
    </row>
    <row r="25" spans="2:42" x14ac:dyDescent="0.35">
      <c r="B25" s="94"/>
      <c r="C25" s="97"/>
      <c r="D25" s="97"/>
      <c r="E25" s="80"/>
      <c r="F25" s="80"/>
      <c r="G25" s="80"/>
      <c r="H25" s="34"/>
      <c r="I25" s="29"/>
      <c r="J25" s="34"/>
      <c r="K25" s="30"/>
      <c r="L25" s="29"/>
      <c r="M25" s="29"/>
      <c r="N25" s="29"/>
      <c r="O25" s="29"/>
      <c r="P25" s="29"/>
      <c r="Q25" s="29"/>
      <c r="R25" s="29"/>
      <c r="S25" s="29"/>
      <c r="T25" s="91"/>
      <c r="U25" s="91"/>
      <c r="V25" s="76" t="str">
        <f>IF(U25="","",NETWORKDAYS(T25,U25,Parameter!$C$4:$C$51))</f>
        <v/>
      </c>
      <c r="W25" s="98"/>
      <c r="X25" s="130"/>
      <c r="Y25" s="130"/>
      <c r="Z25" s="130"/>
      <c r="AA25" s="153">
        <f>SUM(Tabelle1[[#This Row],[Plankosten 2025]:[Plankosten 2027]])</f>
        <v>0</v>
      </c>
      <c r="AB25" s="130"/>
      <c r="AC25" s="130"/>
      <c r="AD25" s="130"/>
      <c r="AE25" s="153">
        <f>SUM(Tabelle1[[#This Row],[Istkosten 2025]:[Istkosten 2027]])</f>
        <v>0</v>
      </c>
      <c r="AF25" s="87" t="e">
        <f>IF(AA25="","",Tabelle1[[#This Row],[Ist-Kosten (Gesamt)]]/Tabelle1[[#This Row],[Plankosten 25-27]])</f>
        <v>#DIV/0!</v>
      </c>
      <c r="AG25" s="34"/>
      <c r="AH25" s="29"/>
      <c r="AI25" s="154"/>
      <c r="AJ25" s="155"/>
      <c r="AK25" s="156"/>
      <c r="AL25" s="97"/>
      <c r="AM25" s="97"/>
      <c r="AN25" s="97"/>
      <c r="AO25" s="94"/>
      <c r="AP25" s="94"/>
    </row>
    <row r="26" spans="2:42" x14ac:dyDescent="0.35">
      <c r="B26" s="94"/>
      <c r="C26" s="97"/>
      <c r="D26" s="97"/>
      <c r="E26" s="80"/>
      <c r="F26" s="80"/>
      <c r="G26" s="80"/>
      <c r="H26" s="34"/>
      <c r="I26" s="29"/>
      <c r="J26" s="34"/>
      <c r="K26" s="30"/>
      <c r="L26" s="29"/>
      <c r="M26" s="29"/>
      <c r="N26" s="29"/>
      <c r="O26" s="29"/>
      <c r="P26" s="29"/>
      <c r="Q26" s="29"/>
      <c r="R26" s="29"/>
      <c r="S26" s="29"/>
      <c r="T26" s="91"/>
      <c r="U26" s="91"/>
      <c r="V26" s="76" t="str">
        <f>IF(U26="","",NETWORKDAYS(T26,U26,Parameter!$C$4:$C$51))</f>
        <v/>
      </c>
      <c r="W26" s="98"/>
      <c r="X26" s="130"/>
      <c r="Y26" s="130"/>
      <c r="Z26" s="130"/>
      <c r="AA26" s="153">
        <f>SUM(Tabelle1[[#This Row],[Plankosten 2025]:[Plankosten 2027]])</f>
        <v>0</v>
      </c>
      <c r="AB26" s="130"/>
      <c r="AC26" s="130"/>
      <c r="AD26" s="130"/>
      <c r="AE26" s="153">
        <f>SUM(Tabelle1[[#This Row],[Istkosten 2025]:[Istkosten 2027]])</f>
        <v>0</v>
      </c>
      <c r="AF26" s="87" t="e">
        <f>IF(AA26="","",Tabelle1[[#This Row],[Ist-Kosten (Gesamt)]]/Tabelle1[[#This Row],[Plankosten 25-27]])</f>
        <v>#DIV/0!</v>
      </c>
      <c r="AG26" s="34"/>
      <c r="AH26" s="29"/>
      <c r="AI26" s="154"/>
      <c r="AJ26" s="155"/>
      <c r="AK26" s="156"/>
      <c r="AL26" s="97"/>
      <c r="AM26" s="97"/>
      <c r="AN26" s="97"/>
      <c r="AO26" s="94"/>
      <c r="AP26" s="94"/>
    </row>
    <row r="27" spans="2:42" x14ac:dyDescent="0.35">
      <c r="B27" s="94"/>
      <c r="C27" s="97"/>
      <c r="D27" s="97"/>
      <c r="E27" s="80"/>
      <c r="F27" s="80"/>
      <c r="G27" s="80"/>
      <c r="H27" s="34"/>
      <c r="I27" s="29"/>
      <c r="J27" s="34"/>
      <c r="K27" s="30"/>
      <c r="L27" s="29"/>
      <c r="M27" s="29"/>
      <c r="N27" s="29"/>
      <c r="O27" s="29"/>
      <c r="P27" s="29"/>
      <c r="Q27" s="29"/>
      <c r="R27" s="29"/>
      <c r="S27" s="29"/>
      <c r="T27" s="91"/>
      <c r="U27" s="91"/>
      <c r="V27" s="76" t="str">
        <f>IF(U27="","",NETWORKDAYS(T27,U27,Parameter!$C$4:$C$51))</f>
        <v/>
      </c>
      <c r="W27" s="98"/>
      <c r="X27" s="130"/>
      <c r="Y27" s="130"/>
      <c r="Z27" s="130"/>
      <c r="AA27" s="153">
        <f>SUM(Tabelle1[[#This Row],[Plankosten 2025]:[Plankosten 2027]])</f>
        <v>0</v>
      </c>
      <c r="AB27" s="130"/>
      <c r="AC27" s="130"/>
      <c r="AD27" s="130"/>
      <c r="AE27" s="153">
        <f>SUM(Tabelle1[[#This Row],[Istkosten 2025]:[Istkosten 2027]])</f>
        <v>0</v>
      </c>
      <c r="AF27" s="87" t="e">
        <f>IF(AA27="","",Tabelle1[[#This Row],[Ist-Kosten (Gesamt)]]/Tabelle1[[#This Row],[Plankosten 25-27]])</f>
        <v>#DIV/0!</v>
      </c>
      <c r="AG27" s="34"/>
      <c r="AH27" s="29"/>
      <c r="AI27" s="154"/>
      <c r="AJ27" s="155"/>
      <c r="AK27" s="156"/>
      <c r="AL27" s="97"/>
      <c r="AM27" s="97"/>
      <c r="AN27" s="97"/>
      <c r="AO27" s="94"/>
      <c r="AP27" s="94"/>
    </row>
    <row r="28" spans="2:42" x14ac:dyDescent="0.35">
      <c r="B28" s="94"/>
      <c r="C28" s="97"/>
      <c r="D28" s="97"/>
      <c r="E28" s="80"/>
      <c r="F28" s="80"/>
      <c r="G28" s="80"/>
      <c r="H28" s="34"/>
      <c r="I28" s="29"/>
      <c r="J28" s="34"/>
      <c r="K28" s="30"/>
      <c r="L28" s="29"/>
      <c r="M28" s="29"/>
      <c r="N28" s="29"/>
      <c r="O28" s="29"/>
      <c r="P28" s="29"/>
      <c r="Q28" s="29"/>
      <c r="R28" s="29"/>
      <c r="S28" s="29"/>
      <c r="T28" s="91"/>
      <c r="U28" s="91"/>
      <c r="V28" s="76" t="str">
        <f>IF(U28="","",NETWORKDAYS(T28,U28,Parameter!$C$4:$C$51))</f>
        <v/>
      </c>
      <c r="W28" s="98"/>
      <c r="X28" s="130"/>
      <c r="Y28" s="130"/>
      <c r="Z28" s="130"/>
      <c r="AA28" s="153">
        <f>SUM(Tabelle1[[#This Row],[Plankosten 2025]:[Plankosten 2027]])</f>
        <v>0</v>
      </c>
      <c r="AB28" s="130"/>
      <c r="AC28" s="130"/>
      <c r="AD28" s="130"/>
      <c r="AE28" s="153">
        <f>SUM(Tabelle1[[#This Row],[Istkosten 2025]:[Istkosten 2027]])</f>
        <v>0</v>
      </c>
      <c r="AF28" s="87" t="e">
        <f>IF(AA28="","",Tabelle1[[#This Row],[Ist-Kosten (Gesamt)]]/Tabelle1[[#This Row],[Plankosten 25-27]])</f>
        <v>#DIV/0!</v>
      </c>
      <c r="AG28" s="34"/>
      <c r="AH28" s="29"/>
      <c r="AI28" s="154"/>
      <c r="AJ28" s="155"/>
      <c r="AK28" s="156"/>
      <c r="AL28" s="97"/>
      <c r="AM28" s="97"/>
      <c r="AN28" s="97"/>
      <c r="AO28" s="94"/>
      <c r="AP28" s="94"/>
    </row>
    <row r="29" spans="2:42" x14ac:dyDescent="0.35">
      <c r="B29" s="94"/>
      <c r="C29" s="97"/>
      <c r="D29" s="97"/>
      <c r="E29" s="80"/>
      <c r="F29" s="80"/>
      <c r="G29" s="80"/>
      <c r="H29" s="34"/>
      <c r="I29" s="29"/>
      <c r="J29" s="34"/>
      <c r="K29" s="30"/>
      <c r="L29" s="29"/>
      <c r="M29" s="29"/>
      <c r="N29" s="29"/>
      <c r="O29" s="29"/>
      <c r="P29" s="29"/>
      <c r="Q29" s="29"/>
      <c r="R29" s="29"/>
      <c r="S29" s="29"/>
      <c r="T29" s="91"/>
      <c r="U29" s="91"/>
      <c r="V29" s="76" t="str">
        <f>IF(U29="","",NETWORKDAYS(T29,U29,Parameter!$C$4:$C$51))</f>
        <v/>
      </c>
      <c r="W29" s="98"/>
      <c r="X29" s="130"/>
      <c r="Y29" s="130"/>
      <c r="Z29" s="130"/>
      <c r="AA29" s="153">
        <f>SUM(Tabelle1[[#This Row],[Plankosten 2025]:[Plankosten 2027]])</f>
        <v>0</v>
      </c>
      <c r="AB29" s="130"/>
      <c r="AC29" s="130"/>
      <c r="AD29" s="130"/>
      <c r="AE29" s="153">
        <f>SUM(Tabelle1[[#This Row],[Istkosten 2025]:[Istkosten 2027]])</f>
        <v>0</v>
      </c>
      <c r="AF29" s="87" t="e">
        <f>IF(AA29="","",Tabelle1[[#This Row],[Ist-Kosten (Gesamt)]]/Tabelle1[[#This Row],[Plankosten 25-27]])</f>
        <v>#DIV/0!</v>
      </c>
      <c r="AG29" s="34"/>
      <c r="AH29" s="29"/>
      <c r="AI29" s="154"/>
      <c r="AJ29" s="155"/>
      <c r="AK29" s="156"/>
      <c r="AL29" s="97"/>
      <c r="AM29" s="97"/>
      <c r="AN29" s="97"/>
      <c r="AO29" s="94"/>
      <c r="AP29" s="94"/>
    </row>
    <row r="30" spans="2:42" x14ac:dyDescent="0.35">
      <c r="B30" s="94"/>
      <c r="C30" s="97"/>
      <c r="D30" s="97"/>
      <c r="E30" s="80"/>
      <c r="F30" s="80"/>
      <c r="G30" s="80"/>
      <c r="H30" s="34"/>
      <c r="I30" s="29"/>
      <c r="J30" s="34"/>
      <c r="K30" s="30"/>
      <c r="L30" s="29"/>
      <c r="M30" s="29"/>
      <c r="N30" s="29"/>
      <c r="O30" s="29"/>
      <c r="P30" s="29"/>
      <c r="Q30" s="29"/>
      <c r="R30" s="29"/>
      <c r="S30" s="29"/>
      <c r="T30" s="91"/>
      <c r="U30" s="91"/>
      <c r="V30" s="76" t="str">
        <f>IF(U30="","",NETWORKDAYS(T30,U30,Parameter!$C$4:$C$51))</f>
        <v/>
      </c>
      <c r="W30" s="98"/>
      <c r="X30" s="130"/>
      <c r="Y30" s="130"/>
      <c r="Z30" s="130"/>
      <c r="AA30" s="153">
        <f>SUM(Tabelle1[[#This Row],[Plankosten 2025]:[Plankosten 2027]])</f>
        <v>0</v>
      </c>
      <c r="AB30" s="130"/>
      <c r="AC30" s="130"/>
      <c r="AD30" s="130"/>
      <c r="AE30" s="153">
        <f>SUM(Tabelle1[[#This Row],[Istkosten 2025]:[Istkosten 2027]])</f>
        <v>0</v>
      </c>
      <c r="AF30" s="87" t="e">
        <f>IF(AA30="","",Tabelle1[[#This Row],[Ist-Kosten (Gesamt)]]/Tabelle1[[#This Row],[Plankosten 25-27]])</f>
        <v>#DIV/0!</v>
      </c>
      <c r="AG30" s="34"/>
      <c r="AH30" s="29"/>
      <c r="AI30" s="154"/>
      <c r="AJ30" s="155"/>
      <c r="AK30" s="156"/>
      <c r="AL30" s="97"/>
      <c r="AM30" s="97"/>
      <c r="AN30" s="97"/>
      <c r="AO30" s="94"/>
      <c r="AP30" s="94"/>
    </row>
    <row r="31" spans="2:42" x14ac:dyDescent="0.35">
      <c r="B31" s="94"/>
      <c r="C31" s="97"/>
      <c r="D31" s="97"/>
      <c r="E31" s="80"/>
      <c r="F31" s="80"/>
      <c r="G31" s="80"/>
      <c r="H31" s="34"/>
      <c r="I31" s="29"/>
      <c r="J31" s="34"/>
      <c r="K31" s="30"/>
      <c r="L31" s="29"/>
      <c r="M31" s="29"/>
      <c r="N31" s="29"/>
      <c r="O31" s="29"/>
      <c r="P31" s="29"/>
      <c r="Q31" s="29"/>
      <c r="R31" s="29"/>
      <c r="S31" s="29"/>
      <c r="T31" s="91"/>
      <c r="U31" s="91"/>
      <c r="V31" s="76" t="str">
        <f>IF(U31="","",NETWORKDAYS(T31,U31,Parameter!$C$4:$C$51))</f>
        <v/>
      </c>
      <c r="W31" s="98"/>
      <c r="X31" s="130"/>
      <c r="Y31" s="130"/>
      <c r="Z31" s="130"/>
      <c r="AA31" s="153">
        <f>SUM(Tabelle1[[#This Row],[Plankosten 2025]:[Plankosten 2027]])</f>
        <v>0</v>
      </c>
      <c r="AB31" s="130"/>
      <c r="AC31" s="130"/>
      <c r="AD31" s="130"/>
      <c r="AE31" s="153">
        <f>SUM(Tabelle1[[#This Row],[Istkosten 2025]:[Istkosten 2027]])</f>
        <v>0</v>
      </c>
      <c r="AF31" s="87" t="e">
        <f>IF(AA31="","",Tabelle1[[#This Row],[Ist-Kosten (Gesamt)]]/Tabelle1[[#This Row],[Plankosten 25-27]])</f>
        <v>#DIV/0!</v>
      </c>
      <c r="AG31" s="34"/>
      <c r="AH31" s="29"/>
      <c r="AI31" s="154"/>
      <c r="AJ31" s="155"/>
      <c r="AK31" s="156"/>
      <c r="AL31" s="97"/>
      <c r="AM31" s="97"/>
      <c r="AN31" s="97"/>
      <c r="AO31" s="94"/>
      <c r="AP31" s="94"/>
    </row>
    <row r="32" spans="2:42" x14ac:dyDescent="0.35">
      <c r="B32" s="94"/>
      <c r="C32" s="97"/>
      <c r="D32" s="97"/>
      <c r="E32" s="80"/>
      <c r="F32" s="80"/>
      <c r="G32" s="80"/>
      <c r="H32" s="34"/>
      <c r="I32" s="29"/>
      <c r="J32" s="34"/>
      <c r="K32" s="30"/>
      <c r="L32" s="29"/>
      <c r="M32" s="29"/>
      <c r="N32" s="29"/>
      <c r="O32" s="29"/>
      <c r="P32" s="29"/>
      <c r="Q32" s="29"/>
      <c r="R32" s="29"/>
      <c r="S32" s="29"/>
      <c r="T32" s="91"/>
      <c r="U32" s="91"/>
      <c r="V32" s="76" t="str">
        <f>IF(U32="","",NETWORKDAYS(T32,U32,Parameter!$C$4:$C$51))</f>
        <v/>
      </c>
      <c r="W32" s="98"/>
      <c r="X32" s="130"/>
      <c r="Y32" s="130"/>
      <c r="Z32" s="130"/>
      <c r="AA32" s="153">
        <f>SUM(Tabelle1[[#This Row],[Plankosten 2025]:[Plankosten 2027]])</f>
        <v>0</v>
      </c>
      <c r="AB32" s="130"/>
      <c r="AC32" s="130"/>
      <c r="AD32" s="130"/>
      <c r="AE32" s="153">
        <f>SUM(Tabelle1[[#This Row],[Istkosten 2025]:[Istkosten 2027]])</f>
        <v>0</v>
      </c>
      <c r="AF32" s="87" t="e">
        <f>IF(AA32="","",Tabelle1[[#This Row],[Ist-Kosten (Gesamt)]]/Tabelle1[[#This Row],[Plankosten 25-27]])</f>
        <v>#DIV/0!</v>
      </c>
      <c r="AG32" s="34"/>
      <c r="AH32" s="29"/>
      <c r="AI32" s="154"/>
      <c r="AJ32" s="155"/>
      <c r="AK32" s="156"/>
      <c r="AL32" s="97"/>
      <c r="AM32" s="97"/>
      <c r="AN32" s="97"/>
      <c r="AO32" s="94"/>
      <c r="AP32" s="94"/>
    </row>
    <row r="33" spans="2:42" x14ac:dyDescent="0.35">
      <c r="B33" s="94"/>
      <c r="C33" s="97"/>
      <c r="D33" s="97"/>
      <c r="E33" s="80"/>
      <c r="F33" s="80"/>
      <c r="G33" s="80"/>
      <c r="H33" s="34"/>
      <c r="I33" s="29"/>
      <c r="J33" s="34"/>
      <c r="K33" s="30"/>
      <c r="L33" s="29"/>
      <c r="M33" s="29"/>
      <c r="N33" s="29"/>
      <c r="O33" s="29"/>
      <c r="P33" s="29"/>
      <c r="Q33" s="29"/>
      <c r="R33" s="29"/>
      <c r="S33" s="29"/>
      <c r="T33" s="91"/>
      <c r="U33" s="91"/>
      <c r="V33" s="76" t="str">
        <f>IF(U33="","",NETWORKDAYS(T33,U33,Parameter!$C$4:$C$51))</f>
        <v/>
      </c>
      <c r="W33" s="98"/>
      <c r="X33" s="130"/>
      <c r="Y33" s="130"/>
      <c r="Z33" s="130"/>
      <c r="AA33" s="153">
        <f>SUM(Tabelle1[[#This Row],[Plankosten 2025]:[Plankosten 2027]])</f>
        <v>0</v>
      </c>
      <c r="AB33" s="130"/>
      <c r="AC33" s="130"/>
      <c r="AD33" s="130"/>
      <c r="AE33" s="153">
        <f>SUM(Tabelle1[[#This Row],[Istkosten 2025]:[Istkosten 2027]])</f>
        <v>0</v>
      </c>
      <c r="AF33" s="87" t="e">
        <f>IF(AA33="","",Tabelle1[[#This Row],[Ist-Kosten (Gesamt)]]/Tabelle1[[#This Row],[Plankosten 25-27]])</f>
        <v>#DIV/0!</v>
      </c>
      <c r="AG33" s="34"/>
      <c r="AH33" s="29"/>
      <c r="AI33" s="154"/>
      <c r="AJ33" s="155"/>
      <c r="AK33" s="156"/>
      <c r="AL33" s="97"/>
      <c r="AM33" s="97"/>
      <c r="AN33" s="97"/>
      <c r="AO33" s="94"/>
      <c r="AP33" s="94"/>
    </row>
    <row r="34" spans="2:42" x14ac:dyDescent="0.35">
      <c r="B34" s="94"/>
      <c r="C34" s="97"/>
      <c r="D34" s="97"/>
      <c r="E34" s="80"/>
      <c r="F34" s="80"/>
      <c r="G34" s="80"/>
      <c r="H34" s="34"/>
      <c r="I34" s="29"/>
      <c r="J34" s="34"/>
      <c r="K34" s="30"/>
      <c r="L34" s="29"/>
      <c r="M34" s="29"/>
      <c r="N34" s="29"/>
      <c r="O34" s="29"/>
      <c r="P34" s="29"/>
      <c r="Q34" s="29"/>
      <c r="R34" s="29"/>
      <c r="S34" s="29"/>
      <c r="T34" s="91"/>
      <c r="U34" s="91"/>
      <c r="V34" s="76" t="str">
        <f>IF(U34="","",NETWORKDAYS(T34,U34,Parameter!$C$4:$C$51))</f>
        <v/>
      </c>
      <c r="W34" s="98"/>
      <c r="X34" s="130"/>
      <c r="Y34" s="130"/>
      <c r="Z34" s="130"/>
      <c r="AA34" s="153">
        <f>SUM(Tabelle1[[#This Row],[Plankosten 2025]:[Plankosten 2027]])</f>
        <v>0</v>
      </c>
      <c r="AB34" s="130"/>
      <c r="AC34" s="130"/>
      <c r="AD34" s="130"/>
      <c r="AE34" s="153">
        <f>SUM(Tabelle1[[#This Row],[Istkosten 2025]:[Istkosten 2027]])</f>
        <v>0</v>
      </c>
      <c r="AF34" s="87" t="e">
        <f>IF(AA34="","",Tabelle1[[#This Row],[Ist-Kosten (Gesamt)]]/Tabelle1[[#This Row],[Plankosten 25-27]])</f>
        <v>#DIV/0!</v>
      </c>
      <c r="AG34" s="34"/>
      <c r="AH34" s="29"/>
      <c r="AI34" s="154"/>
      <c r="AJ34" s="155"/>
      <c r="AK34" s="156"/>
      <c r="AL34" s="97"/>
      <c r="AM34" s="97"/>
      <c r="AN34" s="97"/>
      <c r="AO34" s="94"/>
      <c r="AP34" s="94"/>
    </row>
    <row r="35" spans="2:42" x14ac:dyDescent="0.35">
      <c r="B35" s="94"/>
      <c r="C35" s="97"/>
      <c r="D35" s="97"/>
      <c r="E35" s="80"/>
      <c r="F35" s="80"/>
      <c r="G35" s="80"/>
      <c r="H35" s="34"/>
      <c r="I35" s="29"/>
      <c r="J35" s="34"/>
      <c r="K35" s="30"/>
      <c r="L35" s="29"/>
      <c r="M35" s="29"/>
      <c r="N35" s="29"/>
      <c r="O35" s="29"/>
      <c r="P35" s="29"/>
      <c r="Q35" s="29"/>
      <c r="R35" s="29"/>
      <c r="S35" s="29"/>
      <c r="T35" s="91"/>
      <c r="U35" s="91"/>
      <c r="V35" s="76" t="str">
        <f>IF(U35="","",NETWORKDAYS(T35,U35,Parameter!$C$4:$C$51))</f>
        <v/>
      </c>
      <c r="W35" s="98"/>
      <c r="X35" s="130"/>
      <c r="Y35" s="130"/>
      <c r="Z35" s="130"/>
      <c r="AA35" s="153">
        <f>SUM(Tabelle1[[#This Row],[Plankosten 2025]:[Plankosten 2027]])</f>
        <v>0</v>
      </c>
      <c r="AB35" s="130"/>
      <c r="AC35" s="130"/>
      <c r="AD35" s="130"/>
      <c r="AE35" s="153">
        <f>SUM(Tabelle1[[#This Row],[Istkosten 2025]:[Istkosten 2027]])</f>
        <v>0</v>
      </c>
      <c r="AF35" s="87" t="e">
        <f>IF(AA35="","",Tabelle1[[#This Row],[Ist-Kosten (Gesamt)]]/Tabelle1[[#This Row],[Plankosten 25-27]])</f>
        <v>#DIV/0!</v>
      </c>
      <c r="AG35" s="34"/>
      <c r="AH35" s="29"/>
      <c r="AI35" s="154"/>
      <c r="AJ35" s="155"/>
      <c r="AK35" s="156"/>
      <c r="AL35" s="97"/>
      <c r="AM35" s="97"/>
      <c r="AN35" s="97"/>
      <c r="AO35" s="94"/>
      <c r="AP35" s="94"/>
    </row>
    <row r="36" spans="2:42" x14ac:dyDescent="0.35">
      <c r="B36" s="94"/>
      <c r="C36" s="97"/>
      <c r="D36" s="97"/>
      <c r="E36" s="80"/>
      <c r="F36" s="80"/>
      <c r="G36" s="80"/>
      <c r="H36" s="34"/>
      <c r="I36" s="29"/>
      <c r="J36" s="34"/>
      <c r="K36" s="30"/>
      <c r="L36" s="29"/>
      <c r="M36" s="29"/>
      <c r="N36" s="29"/>
      <c r="O36" s="29"/>
      <c r="P36" s="29"/>
      <c r="Q36" s="29"/>
      <c r="R36" s="29"/>
      <c r="S36" s="29"/>
      <c r="T36" s="91"/>
      <c r="U36" s="91"/>
      <c r="V36" s="76" t="str">
        <f>IF(U36="","",NETWORKDAYS(T36,U36,Parameter!$C$4:$C$51))</f>
        <v/>
      </c>
      <c r="W36" s="98"/>
      <c r="X36" s="130"/>
      <c r="Y36" s="130"/>
      <c r="Z36" s="130"/>
      <c r="AA36" s="153">
        <f>SUM(Tabelle1[[#This Row],[Plankosten 2025]:[Plankosten 2027]])</f>
        <v>0</v>
      </c>
      <c r="AB36" s="130"/>
      <c r="AC36" s="130"/>
      <c r="AD36" s="130"/>
      <c r="AE36" s="153">
        <f>SUM(Tabelle1[[#This Row],[Istkosten 2025]:[Istkosten 2027]])</f>
        <v>0</v>
      </c>
      <c r="AF36" s="87" t="e">
        <f>IF(AA36="","",Tabelle1[[#This Row],[Ist-Kosten (Gesamt)]]/Tabelle1[[#This Row],[Plankosten 25-27]])</f>
        <v>#DIV/0!</v>
      </c>
      <c r="AG36" s="34"/>
      <c r="AH36" s="29"/>
      <c r="AI36" s="154"/>
      <c r="AJ36" s="155"/>
      <c r="AK36" s="156"/>
      <c r="AL36" s="97"/>
      <c r="AM36" s="97"/>
      <c r="AN36" s="97"/>
      <c r="AO36" s="94"/>
      <c r="AP36" s="94"/>
    </row>
    <row r="37" spans="2:42" x14ac:dyDescent="0.35">
      <c r="B37" s="94"/>
      <c r="C37" s="97"/>
      <c r="D37" s="97"/>
      <c r="E37" s="80"/>
      <c r="F37" s="80"/>
      <c r="G37" s="80"/>
      <c r="H37" s="34"/>
      <c r="I37" s="29"/>
      <c r="J37" s="34"/>
      <c r="K37" s="30"/>
      <c r="L37" s="29"/>
      <c r="M37" s="29"/>
      <c r="N37" s="29"/>
      <c r="O37" s="29"/>
      <c r="P37" s="29"/>
      <c r="Q37" s="29"/>
      <c r="R37" s="29"/>
      <c r="S37" s="29"/>
      <c r="T37" s="91"/>
      <c r="U37" s="91"/>
      <c r="V37" s="76" t="str">
        <f>IF(U37="","",NETWORKDAYS(T37,U37,Parameter!$C$4:$C$51))</f>
        <v/>
      </c>
      <c r="W37" s="98"/>
      <c r="X37" s="130"/>
      <c r="Y37" s="130"/>
      <c r="Z37" s="130"/>
      <c r="AA37" s="153">
        <f>SUM(Tabelle1[[#This Row],[Plankosten 2025]:[Plankosten 2027]])</f>
        <v>0</v>
      </c>
      <c r="AB37" s="130"/>
      <c r="AC37" s="130"/>
      <c r="AD37" s="130"/>
      <c r="AE37" s="153">
        <f>SUM(Tabelle1[[#This Row],[Istkosten 2025]:[Istkosten 2027]])</f>
        <v>0</v>
      </c>
      <c r="AF37" s="87" t="e">
        <f>IF(AA37="","",Tabelle1[[#This Row],[Ist-Kosten (Gesamt)]]/Tabelle1[[#This Row],[Plankosten 25-27]])</f>
        <v>#DIV/0!</v>
      </c>
      <c r="AG37" s="34"/>
      <c r="AH37" s="29"/>
      <c r="AI37" s="154"/>
      <c r="AJ37" s="155"/>
      <c r="AK37" s="156"/>
      <c r="AL37" s="97"/>
      <c r="AM37" s="97"/>
      <c r="AN37" s="97"/>
      <c r="AO37" s="94"/>
      <c r="AP37" s="94"/>
    </row>
    <row r="38" spans="2:42" x14ac:dyDescent="0.35">
      <c r="B38" s="94"/>
      <c r="C38" s="97"/>
      <c r="D38" s="97"/>
      <c r="E38" s="80"/>
      <c r="F38" s="80"/>
      <c r="G38" s="80"/>
      <c r="H38" s="34"/>
      <c r="I38" s="29"/>
      <c r="J38" s="34"/>
      <c r="K38" s="30"/>
      <c r="L38" s="29"/>
      <c r="M38" s="29"/>
      <c r="N38" s="29"/>
      <c r="O38" s="29"/>
      <c r="P38" s="29"/>
      <c r="Q38" s="29"/>
      <c r="R38" s="29"/>
      <c r="S38" s="29"/>
      <c r="T38" s="91"/>
      <c r="U38" s="91"/>
      <c r="V38" s="76" t="str">
        <f>IF(U38="","",NETWORKDAYS(T38,U38,Parameter!$C$4:$C$51))</f>
        <v/>
      </c>
      <c r="W38" s="98"/>
      <c r="X38" s="130"/>
      <c r="Y38" s="130"/>
      <c r="Z38" s="130"/>
      <c r="AA38" s="153">
        <f>SUM(Tabelle1[[#This Row],[Plankosten 2025]:[Plankosten 2027]])</f>
        <v>0</v>
      </c>
      <c r="AB38" s="130"/>
      <c r="AC38" s="130"/>
      <c r="AD38" s="130"/>
      <c r="AE38" s="153">
        <f>SUM(Tabelle1[[#This Row],[Istkosten 2025]:[Istkosten 2027]])</f>
        <v>0</v>
      </c>
      <c r="AF38" s="87" t="e">
        <f>IF(AA38="","",Tabelle1[[#This Row],[Ist-Kosten (Gesamt)]]/Tabelle1[[#This Row],[Plankosten 25-27]])</f>
        <v>#DIV/0!</v>
      </c>
      <c r="AG38" s="34"/>
      <c r="AH38" s="29"/>
      <c r="AI38" s="154"/>
      <c r="AJ38" s="155"/>
      <c r="AK38" s="156"/>
      <c r="AL38" s="97"/>
      <c r="AM38" s="97"/>
      <c r="AN38" s="97"/>
      <c r="AO38" s="94"/>
      <c r="AP38" s="94"/>
    </row>
    <row r="39" spans="2:42" x14ac:dyDescent="0.35">
      <c r="B39" s="94"/>
      <c r="C39" s="97"/>
      <c r="D39" s="97"/>
      <c r="E39" s="80"/>
      <c r="F39" s="80"/>
      <c r="G39" s="80"/>
      <c r="H39" s="34"/>
      <c r="I39" s="29"/>
      <c r="J39" s="34"/>
      <c r="K39" s="30"/>
      <c r="L39" s="29"/>
      <c r="M39" s="29"/>
      <c r="N39" s="29"/>
      <c r="O39" s="29"/>
      <c r="P39" s="29"/>
      <c r="Q39" s="29"/>
      <c r="R39" s="29"/>
      <c r="S39" s="29"/>
      <c r="T39" s="91"/>
      <c r="U39" s="91"/>
      <c r="V39" s="76" t="str">
        <f>IF(U39="","",NETWORKDAYS(T39,U39,Parameter!$C$4:$C$51))</f>
        <v/>
      </c>
      <c r="W39" s="98"/>
      <c r="X39" s="130"/>
      <c r="Y39" s="130"/>
      <c r="Z39" s="130"/>
      <c r="AA39" s="153">
        <f>SUM(Tabelle1[[#This Row],[Plankosten 2025]:[Plankosten 2027]])</f>
        <v>0</v>
      </c>
      <c r="AB39" s="130"/>
      <c r="AC39" s="130"/>
      <c r="AD39" s="130"/>
      <c r="AE39" s="153">
        <f>SUM(Tabelle1[[#This Row],[Istkosten 2025]:[Istkosten 2027]])</f>
        <v>0</v>
      </c>
      <c r="AF39" s="87" t="e">
        <f>IF(AA39="","",Tabelle1[[#This Row],[Ist-Kosten (Gesamt)]]/Tabelle1[[#This Row],[Plankosten 25-27]])</f>
        <v>#DIV/0!</v>
      </c>
      <c r="AG39" s="34"/>
      <c r="AH39" s="29"/>
      <c r="AI39" s="154"/>
      <c r="AJ39" s="155"/>
      <c r="AK39" s="156"/>
      <c r="AL39" s="97"/>
      <c r="AM39" s="97"/>
      <c r="AN39" s="97"/>
      <c r="AO39" s="94"/>
      <c r="AP39" s="94"/>
    </row>
    <row r="40" spans="2:42" x14ac:dyDescent="0.35">
      <c r="B40" s="94"/>
      <c r="C40" s="97"/>
      <c r="D40" s="97"/>
      <c r="E40" s="80"/>
      <c r="F40" s="80"/>
      <c r="G40" s="80"/>
      <c r="H40" s="34"/>
      <c r="I40" s="29"/>
      <c r="J40" s="34"/>
      <c r="K40" s="30"/>
      <c r="L40" s="29"/>
      <c r="M40" s="29"/>
      <c r="N40" s="29"/>
      <c r="O40" s="29"/>
      <c r="P40" s="29"/>
      <c r="Q40" s="29"/>
      <c r="R40" s="29"/>
      <c r="S40" s="29"/>
      <c r="T40" s="91"/>
      <c r="U40" s="91"/>
      <c r="V40" s="76" t="str">
        <f>IF(U40="","",NETWORKDAYS(T40,U40,Parameter!$C$4:$C$51))</f>
        <v/>
      </c>
      <c r="W40" s="98"/>
      <c r="X40" s="130"/>
      <c r="Y40" s="130"/>
      <c r="Z40" s="130"/>
      <c r="AA40" s="153">
        <f>SUM(Tabelle1[[#This Row],[Plankosten 2025]:[Plankosten 2027]])</f>
        <v>0</v>
      </c>
      <c r="AB40" s="130"/>
      <c r="AC40" s="130"/>
      <c r="AD40" s="130"/>
      <c r="AE40" s="153">
        <f>SUM(Tabelle1[[#This Row],[Istkosten 2025]:[Istkosten 2027]])</f>
        <v>0</v>
      </c>
      <c r="AF40" s="87" t="e">
        <f>IF(AA40="","",Tabelle1[[#This Row],[Ist-Kosten (Gesamt)]]/Tabelle1[[#This Row],[Plankosten 25-27]])</f>
        <v>#DIV/0!</v>
      </c>
      <c r="AG40" s="34"/>
      <c r="AH40" s="29"/>
      <c r="AI40" s="154"/>
      <c r="AJ40" s="155"/>
      <c r="AK40" s="156"/>
      <c r="AL40" s="97"/>
      <c r="AM40" s="97"/>
      <c r="AN40" s="97"/>
      <c r="AO40" s="94"/>
      <c r="AP40" s="94"/>
    </row>
    <row r="41" spans="2:42" x14ac:dyDescent="0.35">
      <c r="B41" s="94"/>
      <c r="C41" s="97"/>
      <c r="D41" s="97"/>
      <c r="E41" s="80"/>
      <c r="F41" s="80"/>
      <c r="G41" s="80"/>
      <c r="H41" s="34"/>
      <c r="I41" s="29"/>
      <c r="J41" s="34"/>
      <c r="K41" s="30"/>
      <c r="L41" s="29"/>
      <c r="M41" s="29"/>
      <c r="N41" s="29"/>
      <c r="O41" s="29"/>
      <c r="P41" s="29"/>
      <c r="Q41" s="29"/>
      <c r="R41" s="29"/>
      <c r="S41" s="29"/>
      <c r="T41" s="91"/>
      <c r="U41" s="91"/>
      <c r="V41" s="76" t="str">
        <f>IF(U41="","",NETWORKDAYS(T41,U41,Parameter!$C$4:$C$51))</f>
        <v/>
      </c>
      <c r="W41" s="98"/>
      <c r="X41" s="130"/>
      <c r="Y41" s="130"/>
      <c r="Z41" s="130"/>
      <c r="AA41" s="153">
        <f>SUM(Tabelle1[[#This Row],[Plankosten 2025]:[Plankosten 2027]])</f>
        <v>0</v>
      </c>
      <c r="AB41" s="130"/>
      <c r="AC41" s="130"/>
      <c r="AD41" s="130"/>
      <c r="AE41" s="153">
        <f>SUM(Tabelle1[[#This Row],[Istkosten 2025]:[Istkosten 2027]])</f>
        <v>0</v>
      </c>
      <c r="AF41" s="87" t="e">
        <f>IF(AA41="","",Tabelle1[[#This Row],[Ist-Kosten (Gesamt)]]/Tabelle1[[#This Row],[Plankosten 25-27]])</f>
        <v>#DIV/0!</v>
      </c>
      <c r="AG41" s="34"/>
      <c r="AH41" s="29"/>
      <c r="AI41" s="154"/>
      <c r="AJ41" s="155"/>
      <c r="AK41" s="156"/>
      <c r="AL41" s="97"/>
      <c r="AM41" s="97"/>
      <c r="AN41" s="97"/>
      <c r="AO41" s="94"/>
      <c r="AP41" s="94"/>
    </row>
    <row r="42" spans="2:42" x14ac:dyDescent="0.35">
      <c r="B42" s="94"/>
      <c r="C42" s="97"/>
      <c r="D42" s="97"/>
      <c r="E42" s="80"/>
      <c r="F42" s="80"/>
      <c r="G42" s="80"/>
      <c r="H42" s="34"/>
      <c r="I42" s="29"/>
      <c r="J42" s="34"/>
      <c r="K42" s="30"/>
      <c r="L42" s="29"/>
      <c r="M42" s="29"/>
      <c r="N42" s="29"/>
      <c r="O42" s="29"/>
      <c r="P42" s="29"/>
      <c r="Q42" s="29"/>
      <c r="R42" s="29"/>
      <c r="S42" s="29"/>
      <c r="T42" s="91"/>
      <c r="U42" s="91"/>
      <c r="V42" s="76" t="str">
        <f>IF(U42="","",NETWORKDAYS(T42,U42,Parameter!$C$4:$C$51))</f>
        <v/>
      </c>
      <c r="W42" s="98"/>
      <c r="X42" s="130"/>
      <c r="Y42" s="130"/>
      <c r="Z42" s="130"/>
      <c r="AA42" s="153">
        <f>SUM(Tabelle1[[#This Row],[Plankosten 2025]:[Plankosten 2027]])</f>
        <v>0</v>
      </c>
      <c r="AB42" s="130"/>
      <c r="AC42" s="130"/>
      <c r="AD42" s="130"/>
      <c r="AE42" s="153">
        <f>SUM(Tabelle1[[#This Row],[Istkosten 2025]:[Istkosten 2027]])</f>
        <v>0</v>
      </c>
      <c r="AF42" s="87" t="e">
        <f>IF(AA42="","",Tabelle1[[#This Row],[Ist-Kosten (Gesamt)]]/Tabelle1[[#This Row],[Plankosten 25-27]])</f>
        <v>#DIV/0!</v>
      </c>
      <c r="AG42" s="34"/>
      <c r="AH42" s="29"/>
      <c r="AI42" s="154"/>
      <c r="AJ42" s="155"/>
      <c r="AK42" s="156"/>
      <c r="AL42" s="97"/>
      <c r="AM42" s="97"/>
      <c r="AN42" s="97"/>
      <c r="AO42" s="94"/>
      <c r="AP42" s="94"/>
    </row>
    <row r="43" spans="2:42" x14ac:dyDescent="0.35">
      <c r="B43" s="94"/>
      <c r="C43" s="97"/>
      <c r="D43" s="97"/>
      <c r="E43" s="80"/>
      <c r="F43" s="80"/>
      <c r="G43" s="80"/>
      <c r="H43" s="34"/>
      <c r="I43" s="29"/>
      <c r="J43" s="34"/>
      <c r="K43" s="30"/>
      <c r="L43" s="29"/>
      <c r="M43" s="29"/>
      <c r="N43" s="29"/>
      <c r="O43" s="29"/>
      <c r="P43" s="29"/>
      <c r="Q43" s="29"/>
      <c r="R43" s="29"/>
      <c r="S43" s="29"/>
      <c r="T43" s="91"/>
      <c r="U43" s="91"/>
      <c r="V43" s="76" t="str">
        <f>IF(U43="","",NETWORKDAYS(T43,U43,Parameter!$C$4:$C$51))</f>
        <v/>
      </c>
      <c r="W43" s="98"/>
      <c r="X43" s="130"/>
      <c r="Y43" s="130"/>
      <c r="Z43" s="130"/>
      <c r="AA43" s="153">
        <f>SUM(Tabelle1[[#This Row],[Plankosten 2025]:[Plankosten 2027]])</f>
        <v>0</v>
      </c>
      <c r="AB43" s="130"/>
      <c r="AC43" s="130"/>
      <c r="AD43" s="130"/>
      <c r="AE43" s="153">
        <f>SUM(Tabelle1[[#This Row],[Istkosten 2025]:[Istkosten 2027]])</f>
        <v>0</v>
      </c>
      <c r="AF43" s="87" t="e">
        <f>IF(AA43="","",Tabelle1[[#This Row],[Ist-Kosten (Gesamt)]]/Tabelle1[[#This Row],[Plankosten 25-27]])</f>
        <v>#DIV/0!</v>
      </c>
      <c r="AG43" s="34"/>
      <c r="AH43" s="29"/>
      <c r="AI43" s="154"/>
      <c r="AJ43" s="155"/>
      <c r="AK43" s="156"/>
      <c r="AL43" s="97"/>
      <c r="AM43" s="97"/>
      <c r="AN43" s="97"/>
      <c r="AO43" s="94"/>
      <c r="AP43" s="94"/>
    </row>
    <row r="44" spans="2:42" x14ac:dyDescent="0.35">
      <c r="B44" s="94"/>
      <c r="C44" s="97"/>
      <c r="D44" s="97"/>
      <c r="E44" s="80"/>
      <c r="F44" s="80"/>
      <c r="G44" s="80"/>
      <c r="H44" s="34"/>
      <c r="I44" s="29"/>
      <c r="J44" s="34"/>
      <c r="K44" s="30"/>
      <c r="L44" s="29"/>
      <c r="M44" s="29"/>
      <c r="N44" s="29"/>
      <c r="O44" s="29"/>
      <c r="P44" s="29"/>
      <c r="Q44" s="29"/>
      <c r="R44" s="29"/>
      <c r="S44" s="29"/>
      <c r="T44" s="91"/>
      <c r="U44" s="91"/>
      <c r="V44" s="76" t="str">
        <f>IF(U44="","",NETWORKDAYS(T44,U44,Parameter!$C$4:$C$51))</f>
        <v/>
      </c>
      <c r="W44" s="98"/>
      <c r="X44" s="130"/>
      <c r="Y44" s="130"/>
      <c r="Z44" s="130"/>
      <c r="AA44" s="153">
        <f>SUM(Tabelle1[[#This Row],[Plankosten 2025]:[Plankosten 2027]])</f>
        <v>0</v>
      </c>
      <c r="AB44" s="130"/>
      <c r="AC44" s="130"/>
      <c r="AD44" s="130"/>
      <c r="AE44" s="153">
        <f>SUM(Tabelle1[[#This Row],[Istkosten 2025]:[Istkosten 2027]])</f>
        <v>0</v>
      </c>
      <c r="AF44" s="87" t="e">
        <f>IF(AA44="","",Tabelle1[[#This Row],[Ist-Kosten (Gesamt)]]/Tabelle1[[#This Row],[Plankosten 25-27]])</f>
        <v>#DIV/0!</v>
      </c>
      <c r="AG44" s="34"/>
      <c r="AH44" s="29"/>
      <c r="AI44" s="154"/>
      <c r="AJ44" s="155"/>
      <c r="AK44" s="156"/>
      <c r="AL44" s="97"/>
      <c r="AM44" s="97"/>
      <c r="AN44" s="97"/>
      <c r="AO44" s="94"/>
      <c r="AP44" s="94"/>
    </row>
    <row r="45" spans="2:42" x14ac:dyDescent="0.35">
      <c r="B45" s="94"/>
      <c r="C45" s="97"/>
      <c r="D45" s="97"/>
      <c r="E45" s="80"/>
      <c r="F45" s="80"/>
      <c r="G45" s="80"/>
      <c r="H45" s="34"/>
      <c r="I45" s="29"/>
      <c r="J45" s="34"/>
      <c r="K45" s="30"/>
      <c r="L45" s="29"/>
      <c r="M45" s="29"/>
      <c r="N45" s="29"/>
      <c r="O45" s="29"/>
      <c r="P45" s="29"/>
      <c r="Q45" s="29"/>
      <c r="R45" s="29"/>
      <c r="S45" s="29"/>
      <c r="T45" s="91"/>
      <c r="U45" s="91"/>
      <c r="V45" s="76" t="str">
        <f>IF(U45="","",NETWORKDAYS(T45,U45,Parameter!$C$4:$C$51))</f>
        <v/>
      </c>
      <c r="W45" s="98"/>
      <c r="X45" s="130"/>
      <c r="Y45" s="130"/>
      <c r="Z45" s="130"/>
      <c r="AA45" s="153">
        <f>SUM(Tabelle1[[#This Row],[Plankosten 2025]:[Plankosten 2027]])</f>
        <v>0</v>
      </c>
      <c r="AB45" s="130"/>
      <c r="AC45" s="130"/>
      <c r="AD45" s="130"/>
      <c r="AE45" s="153">
        <f>SUM(Tabelle1[[#This Row],[Istkosten 2025]:[Istkosten 2027]])</f>
        <v>0</v>
      </c>
      <c r="AF45" s="87" t="e">
        <f>IF(AA45="","",Tabelle1[[#This Row],[Ist-Kosten (Gesamt)]]/Tabelle1[[#This Row],[Plankosten 25-27]])</f>
        <v>#DIV/0!</v>
      </c>
      <c r="AG45" s="34"/>
      <c r="AH45" s="29"/>
      <c r="AI45" s="154"/>
      <c r="AJ45" s="155"/>
      <c r="AK45" s="156"/>
      <c r="AL45" s="97"/>
      <c r="AM45" s="97"/>
      <c r="AN45" s="97"/>
      <c r="AO45" s="94"/>
      <c r="AP45" s="94"/>
    </row>
    <row r="46" spans="2:42" x14ac:dyDescent="0.35">
      <c r="B46" s="94"/>
      <c r="C46" s="97"/>
      <c r="D46" s="97"/>
      <c r="E46" s="80"/>
      <c r="F46" s="80"/>
      <c r="G46" s="80"/>
      <c r="H46" s="34"/>
      <c r="I46" s="29"/>
      <c r="J46" s="34"/>
      <c r="K46" s="30"/>
      <c r="L46" s="29"/>
      <c r="M46" s="29"/>
      <c r="N46" s="29"/>
      <c r="O46" s="29"/>
      <c r="P46" s="29"/>
      <c r="Q46" s="29"/>
      <c r="R46" s="29"/>
      <c r="S46" s="29"/>
      <c r="T46" s="91"/>
      <c r="U46" s="91"/>
      <c r="V46" s="76" t="str">
        <f>IF(U46="","",NETWORKDAYS(T46,U46,Parameter!$C$4:$C$51))</f>
        <v/>
      </c>
      <c r="W46" s="98"/>
      <c r="X46" s="130"/>
      <c r="Y46" s="130"/>
      <c r="Z46" s="130"/>
      <c r="AA46" s="153">
        <f>SUM(Tabelle1[[#This Row],[Plankosten 2025]:[Plankosten 2027]])</f>
        <v>0</v>
      </c>
      <c r="AB46" s="130"/>
      <c r="AC46" s="130"/>
      <c r="AD46" s="130"/>
      <c r="AE46" s="153">
        <f>SUM(Tabelle1[[#This Row],[Istkosten 2025]:[Istkosten 2027]])</f>
        <v>0</v>
      </c>
      <c r="AF46" s="87" t="e">
        <f>IF(AA46="","",Tabelle1[[#This Row],[Ist-Kosten (Gesamt)]]/Tabelle1[[#This Row],[Plankosten 25-27]])</f>
        <v>#DIV/0!</v>
      </c>
      <c r="AG46" s="34"/>
      <c r="AH46" s="29"/>
      <c r="AI46" s="154"/>
      <c r="AJ46" s="155"/>
      <c r="AK46" s="156"/>
      <c r="AL46" s="97"/>
      <c r="AM46" s="97"/>
      <c r="AN46" s="97"/>
      <c r="AO46" s="94"/>
      <c r="AP46" s="94"/>
    </row>
    <row r="47" spans="2:42" x14ac:dyDescent="0.35">
      <c r="B47" s="94"/>
      <c r="C47" s="97"/>
      <c r="D47" s="97"/>
      <c r="E47" s="80"/>
      <c r="F47" s="80"/>
      <c r="G47" s="80"/>
      <c r="H47" s="34"/>
      <c r="I47" s="29"/>
      <c r="J47" s="34"/>
      <c r="K47" s="30"/>
      <c r="L47" s="29"/>
      <c r="M47" s="29"/>
      <c r="N47" s="29"/>
      <c r="O47" s="29"/>
      <c r="P47" s="29"/>
      <c r="Q47" s="29"/>
      <c r="R47" s="29"/>
      <c r="S47" s="29"/>
      <c r="T47" s="91"/>
      <c r="U47" s="91"/>
      <c r="V47" s="76" t="str">
        <f>IF(U47="","",NETWORKDAYS(T47,U47,Parameter!$C$4:$C$51))</f>
        <v/>
      </c>
      <c r="W47" s="98"/>
      <c r="X47" s="130"/>
      <c r="Y47" s="130"/>
      <c r="Z47" s="130"/>
      <c r="AA47" s="153">
        <f>SUM(Tabelle1[[#This Row],[Plankosten 2025]:[Plankosten 2027]])</f>
        <v>0</v>
      </c>
      <c r="AB47" s="130"/>
      <c r="AC47" s="130"/>
      <c r="AD47" s="130"/>
      <c r="AE47" s="153">
        <f>SUM(Tabelle1[[#This Row],[Istkosten 2025]:[Istkosten 2027]])</f>
        <v>0</v>
      </c>
      <c r="AF47" s="87" t="e">
        <f>IF(AA47="","",Tabelle1[[#This Row],[Ist-Kosten (Gesamt)]]/Tabelle1[[#This Row],[Plankosten 25-27]])</f>
        <v>#DIV/0!</v>
      </c>
      <c r="AG47" s="34"/>
      <c r="AH47" s="29"/>
      <c r="AI47" s="154"/>
      <c r="AJ47" s="155"/>
      <c r="AK47" s="156"/>
      <c r="AL47" s="97"/>
      <c r="AM47" s="97"/>
      <c r="AN47" s="97"/>
      <c r="AO47" s="94"/>
      <c r="AP47" s="94"/>
    </row>
    <row r="48" spans="2:42" x14ac:dyDescent="0.35">
      <c r="B48" s="94"/>
      <c r="C48" s="97"/>
      <c r="D48" s="97"/>
      <c r="E48" s="80"/>
      <c r="F48" s="80"/>
      <c r="G48" s="80"/>
      <c r="H48" s="34"/>
      <c r="I48" s="29"/>
      <c r="J48" s="34"/>
      <c r="K48" s="30"/>
      <c r="L48" s="29"/>
      <c r="M48" s="29"/>
      <c r="N48" s="29"/>
      <c r="O48" s="29"/>
      <c r="P48" s="29"/>
      <c r="Q48" s="29"/>
      <c r="R48" s="29"/>
      <c r="S48" s="29"/>
      <c r="T48" s="91"/>
      <c r="U48" s="91"/>
      <c r="V48" s="76" t="str">
        <f>IF(U48="","",NETWORKDAYS(T48,U48,Parameter!$C$4:$C$51))</f>
        <v/>
      </c>
      <c r="W48" s="98"/>
      <c r="X48" s="130"/>
      <c r="Y48" s="130"/>
      <c r="Z48" s="130"/>
      <c r="AA48" s="153">
        <f>SUM(Tabelle1[[#This Row],[Plankosten 2025]:[Plankosten 2027]])</f>
        <v>0</v>
      </c>
      <c r="AB48" s="130"/>
      <c r="AC48" s="130"/>
      <c r="AD48" s="130"/>
      <c r="AE48" s="153">
        <f>SUM(Tabelle1[[#This Row],[Istkosten 2025]:[Istkosten 2027]])</f>
        <v>0</v>
      </c>
      <c r="AF48" s="87" t="e">
        <f>IF(AA48="","",Tabelle1[[#This Row],[Ist-Kosten (Gesamt)]]/Tabelle1[[#This Row],[Plankosten 25-27]])</f>
        <v>#DIV/0!</v>
      </c>
      <c r="AG48" s="34"/>
      <c r="AH48" s="29"/>
      <c r="AI48" s="154"/>
      <c r="AJ48" s="155"/>
      <c r="AK48" s="156"/>
      <c r="AL48" s="97"/>
      <c r="AM48" s="97"/>
      <c r="AN48" s="97"/>
      <c r="AO48" s="94"/>
      <c r="AP48" s="94"/>
    </row>
    <row r="49" spans="2:42" x14ac:dyDescent="0.35">
      <c r="B49" s="94"/>
      <c r="C49" s="97"/>
      <c r="D49" s="97"/>
      <c r="E49" s="80"/>
      <c r="F49" s="80"/>
      <c r="G49" s="80"/>
      <c r="H49" s="34"/>
      <c r="I49" s="29"/>
      <c r="J49" s="34"/>
      <c r="K49" s="30"/>
      <c r="L49" s="29"/>
      <c r="M49" s="29"/>
      <c r="N49" s="29"/>
      <c r="O49" s="29"/>
      <c r="P49" s="29"/>
      <c r="Q49" s="29"/>
      <c r="R49" s="29"/>
      <c r="S49" s="29"/>
      <c r="T49" s="91"/>
      <c r="U49" s="91"/>
      <c r="V49" s="76" t="str">
        <f>IF(U49="","",NETWORKDAYS(T49,U49,Parameter!$C$4:$C$51))</f>
        <v/>
      </c>
      <c r="W49" s="98"/>
      <c r="X49" s="130"/>
      <c r="Y49" s="130"/>
      <c r="Z49" s="130"/>
      <c r="AA49" s="153">
        <f>SUM(Tabelle1[[#This Row],[Plankosten 2025]:[Plankosten 2027]])</f>
        <v>0</v>
      </c>
      <c r="AB49" s="130"/>
      <c r="AC49" s="130"/>
      <c r="AD49" s="130"/>
      <c r="AE49" s="153">
        <f>SUM(Tabelle1[[#This Row],[Istkosten 2025]:[Istkosten 2027]])</f>
        <v>0</v>
      </c>
      <c r="AF49" s="87" t="e">
        <f>IF(AA49="","",Tabelle1[[#This Row],[Ist-Kosten (Gesamt)]]/Tabelle1[[#This Row],[Plankosten 25-27]])</f>
        <v>#DIV/0!</v>
      </c>
      <c r="AG49" s="34"/>
      <c r="AH49" s="29"/>
      <c r="AI49" s="154"/>
      <c r="AJ49" s="155"/>
      <c r="AK49" s="156"/>
      <c r="AL49" s="97"/>
      <c r="AM49" s="97"/>
      <c r="AN49" s="97"/>
      <c r="AO49" s="94"/>
      <c r="AP49" s="94"/>
    </row>
    <row r="50" spans="2:42" x14ac:dyDescent="0.35">
      <c r="B50" s="94"/>
      <c r="C50" s="97"/>
      <c r="D50" s="97"/>
      <c r="E50" s="80"/>
      <c r="F50" s="80"/>
      <c r="G50" s="80"/>
      <c r="H50" s="34"/>
      <c r="I50" s="29"/>
      <c r="J50" s="34"/>
      <c r="K50" s="30"/>
      <c r="L50" s="29"/>
      <c r="M50" s="29"/>
      <c r="N50" s="29"/>
      <c r="O50" s="29"/>
      <c r="P50" s="29"/>
      <c r="Q50" s="29"/>
      <c r="R50" s="29"/>
      <c r="S50" s="29"/>
      <c r="T50" s="91"/>
      <c r="U50" s="91"/>
      <c r="V50" s="76" t="str">
        <f>IF(U50="","",NETWORKDAYS(T50,U50,Parameter!$C$4:$C$51))</f>
        <v/>
      </c>
      <c r="W50" s="98"/>
      <c r="X50" s="130"/>
      <c r="Y50" s="130"/>
      <c r="Z50" s="130"/>
      <c r="AA50" s="153">
        <f>SUM(Tabelle1[[#This Row],[Plankosten 2025]:[Plankosten 2027]])</f>
        <v>0</v>
      </c>
      <c r="AB50" s="130"/>
      <c r="AC50" s="130"/>
      <c r="AD50" s="130"/>
      <c r="AE50" s="153">
        <f>SUM(Tabelle1[[#This Row],[Istkosten 2025]:[Istkosten 2027]])</f>
        <v>0</v>
      </c>
      <c r="AF50" s="87" t="e">
        <f>IF(AA50="","",Tabelle1[[#This Row],[Ist-Kosten (Gesamt)]]/Tabelle1[[#This Row],[Plankosten 25-27]])</f>
        <v>#DIV/0!</v>
      </c>
      <c r="AG50" s="34"/>
      <c r="AH50" s="29"/>
      <c r="AI50" s="154"/>
      <c r="AJ50" s="155"/>
      <c r="AK50" s="156"/>
      <c r="AL50" s="97"/>
      <c r="AM50" s="97"/>
      <c r="AN50" s="97"/>
      <c r="AO50" s="94"/>
      <c r="AP50" s="94"/>
    </row>
    <row r="51" spans="2:42" x14ac:dyDescent="0.35">
      <c r="B51" s="94"/>
      <c r="C51" s="97"/>
      <c r="D51" s="97"/>
      <c r="E51" s="80"/>
      <c r="F51" s="80"/>
      <c r="G51" s="80"/>
      <c r="H51" s="34"/>
      <c r="I51" s="29"/>
      <c r="J51" s="34"/>
      <c r="K51" s="30"/>
      <c r="L51" s="29"/>
      <c r="M51" s="29"/>
      <c r="N51" s="29"/>
      <c r="O51" s="29"/>
      <c r="P51" s="29"/>
      <c r="Q51" s="29"/>
      <c r="R51" s="29"/>
      <c r="S51" s="29"/>
      <c r="T51" s="91"/>
      <c r="U51" s="91"/>
      <c r="V51" s="76" t="str">
        <f>IF(U51="","",NETWORKDAYS(T51,U51,Parameter!$C$4:$C$51))</f>
        <v/>
      </c>
      <c r="W51" s="98"/>
      <c r="X51" s="130"/>
      <c r="Y51" s="130"/>
      <c r="Z51" s="130"/>
      <c r="AA51" s="153">
        <f>SUM(Tabelle1[[#This Row],[Plankosten 2025]:[Plankosten 2027]])</f>
        <v>0</v>
      </c>
      <c r="AB51" s="130"/>
      <c r="AC51" s="130"/>
      <c r="AD51" s="130"/>
      <c r="AE51" s="153">
        <f>SUM(Tabelle1[[#This Row],[Istkosten 2025]:[Istkosten 2027]])</f>
        <v>0</v>
      </c>
      <c r="AF51" s="87" t="e">
        <f>IF(AA51="","",Tabelle1[[#This Row],[Ist-Kosten (Gesamt)]]/Tabelle1[[#This Row],[Plankosten 25-27]])</f>
        <v>#DIV/0!</v>
      </c>
      <c r="AG51" s="34"/>
      <c r="AH51" s="29"/>
      <c r="AI51" s="154"/>
      <c r="AJ51" s="155"/>
      <c r="AK51" s="156"/>
      <c r="AL51" s="97"/>
      <c r="AM51" s="97"/>
      <c r="AN51" s="97"/>
      <c r="AO51" s="94"/>
      <c r="AP51" s="94"/>
    </row>
    <row r="52" spans="2:42" x14ac:dyDescent="0.35">
      <c r="B52" s="94"/>
      <c r="C52" s="97"/>
      <c r="D52" s="97"/>
      <c r="E52" s="80"/>
      <c r="F52" s="80"/>
      <c r="G52" s="80"/>
      <c r="H52" s="34"/>
      <c r="I52" s="29"/>
      <c r="J52" s="34"/>
      <c r="K52" s="30"/>
      <c r="L52" s="29"/>
      <c r="M52" s="29"/>
      <c r="N52" s="29"/>
      <c r="O52" s="29"/>
      <c r="P52" s="29"/>
      <c r="Q52" s="29"/>
      <c r="R52" s="29"/>
      <c r="S52" s="29"/>
      <c r="T52" s="91"/>
      <c r="U52" s="91"/>
      <c r="V52" s="76" t="str">
        <f>IF(U52="","",NETWORKDAYS(T52,U52,Parameter!$C$4:$C$51))</f>
        <v/>
      </c>
      <c r="W52" s="98"/>
      <c r="X52" s="130"/>
      <c r="Y52" s="130"/>
      <c r="Z52" s="130"/>
      <c r="AA52" s="153">
        <f>SUM(Tabelle1[[#This Row],[Plankosten 2025]:[Plankosten 2027]])</f>
        <v>0</v>
      </c>
      <c r="AB52" s="130"/>
      <c r="AC52" s="130"/>
      <c r="AD52" s="130"/>
      <c r="AE52" s="153">
        <f>SUM(Tabelle1[[#This Row],[Istkosten 2025]:[Istkosten 2027]])</f>
        <v>0</v>
      </c>
      <c r="AF52" s="87" t="e">
        <f>IF(AA52="","",Tabelle1[[#This Row],[Ist-Kosten (Gesamt)]]/Tabelle1[[#This Row],[Plankosten 25-27]])</f>
        <v>#DIV/0!</v>
      </c>
      <c r="AG52" s="34"/>
      <c r="AH52" s="29"/>
      <c r="AI52" s="154"/>
      <c r="AJ52" s="155"/>
      <c r="AK52" s="156"/>
      <c r="AL52" s="97"/>
      <c r="AM52" s="97"/>
      <c r="AN52" s="97"/>
      <c r="AO52" s="94"/>
      <c r="AP52" s="94"/>
    </row>
    <row r="53" spans="2:42" x14ac:dyDescent="0.35">
      <c r="B53" s="94"/>
      <c r="C53" s="97"/>
      <c r="D53" s="97"/>
      <c r="E53" s="80"/>
      <c r="F53" s="80"/>
      <c r="G53" s="80"/>
      <c r="H53" s="34"/>
      <c r="I53" s="29"/>
      <c r="J53" s="34"/>
      <c r="K53" s="30"/>
      <c r="L53" s="29"/>
      <c r="M53" s="29"/>
      <c r="N53" s="29"/>
      <c r="O53" s="29"/>
      <c r="P53" s="29"/>
      <c r="Q53" s="29"/>
      <c r="R53" s="29"/>
      <c r="S53" s="29"/>
      <c r="T53" s="91"/>
      <c r="U53" s="91"/>
      <c r="V53" s="76" t="str">
        <f>IF(U53="","",NETWORKDAYS(T53,U53,Parameter!$C$4:$C$51))</f>
        <v/>
      </c>
      <c r="W53" s="98"/>
      <c r="X53" s="130"/>
      <c r="Y53" s="130"/>
      <c r="Z53" s="130"/>
      <c r="AA53" s="153">
        <f>SUM(Tabelle1[[#This Row],[Plankosten 2025]:[Plankosten 2027]])</f>
        <v>0</v>
      </c>
      <c r="AB53" s="130"/>
      <c r="AC53" s="130"/>
      <c r="AD53" s="130"/>
      <c r="AE53" s="153">
        <f>SUM(Tabelle1[[#This Row],[Istkosten 2025]:[Istkosten 2027]])</f>
        <v>0</v>
      </c>
      <c r="AF53" s="87" t="e">
        <f>IF(AA53="","",Tabelle1[[#This Row],[Ist-Kosten (Gesamt)]]/Tabelle1[[#This Row],[Plankosten 25-27]])</f>
        <v>#DIV/0!</v>
      </c>
      <c r="AG53" s="34"/>
      <c r="AH53" s="29"/>
      <c r="AI53" s="154"/>
      <c r="AJ53" s="155"/>
      <c r="AK53" s="156"/>
      <c r="AL53" s="97"/>
      <c r="AM53" s="97"/>
      <c r="AN53" s="97"/>
      <c r="AO53" s="94"/>
      <c r="AP53" s="94"/>
    </row>
    <row r="54" spans="2:42" x14ac:dyDescent="0.35">
      <c r="B54" s="94"/>
      <c r="C54" s="97"/>
      <c r="D54" s="97"/>
      <c r="E54" s="80"/>
      <c r="F54" s="80"/>
      <c r="G54" s="80"/>
      <c r="H54" s="34"/>
      <c r="I54" s="29"/>
      <c r="J54" s="34"/>
      <c r="K54" s="30"/>
      <c r="L54" s="29"/>
      <c r="M54" s="29"/>
      <c r="N54" s="29"/>
      <c r="O54" s="29"/>
      <c r="P54" s="29"/>
      <c r="Q54" s="29"/>
      <c r="R54" s="29"/>
      <c r="S54" s="29"/>
      <c r="T54" s="91"/>
      <c r="U54" s="91"/>
      <c r="V54" s="76" t="str">
        <f>IF(U54="","",NETWORKDAYS(T54,U54,Parameter!$C$4:$C$51))</f>
        <v/>
      </c>
      <c r="W54" s="98"/>
      <c r="X54" s="130"/>
      <c r="Y54" s="130"/>
      <c r="Z54" s="130"/>
      <c r="AA54" s="153">
        <f>SUM(Tabelle1[[#This Row],[Plankosten 2025]:[Plankosten 2027]])</f>
        <v>0</v>
      </c>
      <c r="AB54" s="130"/>
      <c r="AC54" s="130"/>
      <c r="AD54" s="130"/>
      <c r="AE54" s="153">
        <f>SUM(Tabelle1[[#This Row],[Istkosten 2025]:[Istkosten 2027]])</f>
        <v>0</v>
      </c>
      <c r="AF54" s="87" t="e">
        <f>IF(AA54="","",Tabelle1[[#This Row],[Ist-Kosten (Gesamt)]]/Tabelle1[[#This Row],[Plankosten 25-27]])</f>
        <v>#DIV/0!</v>
      </c>
      <c r="AG54" s="34"/>
      <c r="AH54" s="29"/>
      <c r="AI54" s="154"/>
      <c r="AJ54" s="155"/>
      <c r="AK54" s="156"/>
      <c r="AL54" s="97"/>
      <c r="AM54" s="97"/>
      <c r="AN54" s="97"/>
      <c r="AO54" s="94"/>
      <c r="AP54" s="94"/>
    </row>
    <row r="55" spans="2:42" x14ac:dyDescent="0.35">
      <c r="B55" s="94"/>
      <c r="C55" s="97"/>
      <c r="D55" s="97"/>
      <c r="E55" s="80"/>
      <c r="F55" s="80"/>
      <c r="G55" s="80"/>
      <c r="H55" s="34"/>
      <c r="I55" s="29"/>
      <c r="J55" s="34"/>
      <c r="K55" s="30"/>
      <c r="L55" s="29"/>
      <c r="M55" s="29"/>
      <c r="N55" s="29"/>
      <c r="O55" s="29"/>
      <c r="P55" s="29"/>
      <c r="Q55" s="29"/>
      <c r="R55" s="29"/>
      <c r="S55" s="29"/>
      <c r="T55" s="91"/>
      <c r="U55" s="91"/>
      <c r="V55" s="76" t="str">
        <f>IF(U55="","",NETWORKDAYS(T55,U55,Parameter!$C$4:$C$51))</f>
        <v/>
      </c>
      <c r="W55" s="98"/>
      <c r="X55" s="130"/>
      <c r="Y55" s="130"/>
      <c r="Z55" s="130"/>
      <c r="AA55" s="153">
        <f>SUM(Tabelle1[[#This Row],[Plankosten 2025]:[Plankosten 2027]])</f>
        <v>0</v>
      </c>
      <c r="AB55" s="130"/>
      <c r="AC55" s="130"/>
      <c r="AD55" s="130"/>
      <c r="AE55" s="153">
        <f>SUM(Tabelle1[[#This Row],[Istkosten 2025]:[Istkosten 2027]])</f>
        <v>0</v>
      </c>
      <c r="AF55" s="87" t="e">
        <f>IF(AA55="","",Tabelle1[[#This Row],[Ist-Kosten (Gesamt)]]/Tabelle1[[#This Row],[Plankosten 25-27]])</f>
        <v>#DIV/0!</v>
      </c>
      <c r="AG55" s="34"/>
      <c r="AH55" s="29"/>
      <c r="AI55" s="154"/>
      <c r="AJ55" s="155"/>
      <c r="AK55" s="156"/>
      <c r="AL55" s="97"/>
      <c r="AM55" s="97"/>
      <c r="AN55" s="97"/>
      <c r="AO55" s="94"/>
      <c r="AP55" s="94"/>
    </row>
    <row r="56" spans="2:42" x14ac:dyDescent="0.35">
      <c r="B56" s="94"/>
      <c r="C56" s="97"/>
      <c r="D56" s="97"/>
      <c r="E56" s="80"/>
      <c r="F56" s="80"/>
      <c r="G56" s="80"/>
      <c r="H56" s="34"/>
      <c r="I56" s="29"/>
      <c r="J56" s="34"/>
      <c r="K56" s="30"/>
      <c r="L56" s="29"/>
      <c r="M56" s="29"/>
      <c r="N56" s="29"/>
      <c r="O56" s="29"/>
      <c r="P56" s="29"/>
      <c r="Q56" s="29"/>
      <c r="R56" s="29"/>
      <c r="S56" s="29"/>
      <c r="T56" s="91"/>
      <c r="U56" s="91"/>
      <c r="V56" s="76" t="str">
        <f>IF(U56="","",NETWORKDAYS(T56,U56,Parameter!$C$4:$C$51))</f>
        <v/>
      </c>
      <c r="W56" s="98"/>
      <c r="X56" s="130"/>
      <c r="Y56" s="130"/>
      <c r="Z56" s="130"/>
      <c r="AA56" s="153">
        <f>SUM(Tabelle1[[#This Row],[Plankosten 2025]:[Plankosten 2027]])</f>
        <v>0</v>
      </c>
      <c r="AB56" s="130"/>
      <c r="AC56" s="130"/>
      <c r="AD56" s="130"/>
      <c r="AE56" s="153">
        <f>SUM(Tabelle1[[#This Row],[Istkosten 2025]:[Istkosten 2027]])</f>
        <v>0</v>
      </c>
      <c r="AF56" s="87" t="e">
        <f>IF(AA56="","",Tabelle1[[#This Row],[Ist-Kosten (Gesamt)]]/Tabelle1[[#This Row],[Plankosten 25-27]])</f>
        <v>#DIV/0!</v>
      </c>
      <c r="AG56" s="34"/>
      <c r="AH56" s="29"/>
      <c r="AI56" s="154"/>
      <c r="AJ56" s="155"/>
      <c r="AK56" s="156"/>
      <c r="AL56" s="97"/>
      <c r="AM56" s="97"/>
      <c r="AN56" s="97"/>
      <c r="AO56" s="94"/>
      <c r="AP56" s="94"/>
    </row>
    <row r="57" spans="2:42" x14ac:dyDescent="0.35">
      <c r="B57" s="94"/>
      <c r="C57" s="97"/>
      <c r="D57" s="97"/>
      <c r="E57" s="80"/>
      <c r="F57" s="80"/>
      <c r="G57" s="80"/>
      <c r="H57" s="34"/>
      <c r="I57" s="29"/>
      <c r="J57" s="34"/>
      <c r="K57" s="30"/>
      <c r="L57" s="29"/>
      <c r="M57" s="29"/>
      <c r="N57" s="29"/>
      <c r="O57" s="29"/>
      <c r="P57" s="29"/>
      <c r="Q57" s="29"/>
      <c r="R57" s="29"/>
      <c r="S57" s="29"/>
      <c r="T57" s="91"/>
      <c r="U57" s="91"/>
      <c r="V57" s="76" t="str">
        <f>IF(U57="","",NETWORKDAYS(T57,U57,Parameter!$C$4:$C$51))</f>
        <v/>
      </c>
      <c r="W57" s="98"/>
      <c r="X57" s="130"/>
      <c r="Y57" s="130"/>
      <c r="Z57" s="130"/>
      <c r="AA57" s="153">
        <f>SUM(Tabelle1[[#This Row],[Plankosten 2025]:[Plankosten 2027]])</f>
        <v>0</v>
      </c>
      <c r="AB57" s="130"/>
      <c r="AC57" s="130"/>
      <c r="AD57" s="130"/>
      <c r="AE57" s="153">
        <f>SUM(Tabelle1[[#This Row],[Istkosten 2025]:[Istkosten 2027]])</f>
        <v>0</v>
      </c>
      <c r="AF57" s="87" t="e">
        <f>IF(AA57="","",Tabelle1[[#This Row],[Ist-Kosten (Gesamt)]]/Tabelle1[[#This Row],[Plankosten 25-27]])</f>
        <v>#DIV/0!</v>
      </c>
      <c r="AG57" s="34"/>
      <c r="AH57" s="29"/>
      <c r="AI57" s="154"/>
      <c r="AJ57" s="155"/>
      <c r="AK57" s="156"/>
      <c r="AL57" s="97"/>
      <c r="AM57" s="97"/>
      <c r="AN57" s="97"/>
      <c r="AO57" s="94"/>
      <c r="AP57" s="94"/>
    </row>
    <row r="58" spans="2:42" x14ac:dyDescent="0.35">
      <c r="B58" s="94"/>
      <c r="C58" s="97"/>
      <c r="D58" s="97"/>
      <c r="E58" s="80"/>
      <c r="F58" s="80"/>
      <c r="G58" s="80"/>
      <c r="H58" s="34"/>
      <c r="I58" s="29"/>
      <c r="J58" s="34"/>
      <c r="K58" s="30"/>
      <c r="L58" s="29"/>
      <c r="M58" s="29"/>
      <c r="N58" s="29"/>
      <c r="O58" s="29"/>
      <c r="P58" s="29"/>
      <c r="Q58" s="29"/>
      <c r="R58" s="29"/>
      <c r="S58" s="29"/>
      <c r="T58" s="91"/>
      <c r="U58" s="91"/>
      <c r="V58" s="76" t="str">
        <f>IF(U58="","",NETWORKDAYS(T58,U58,Parameter!$C$4:$C$51))</f>
        <v/>
      </c>
      <c r="W58" s="98"/>
      <c r="X58" s="130"/>
      <c r="Y58" s="130"/>
      <c r="Z58" s="130"/>
      <c r="AA58" s="153">
        <f>SUM(Tabelle1[[#This Row],[Plankosten 2025]:[Plankosten 2027]])</f>
        <v>0</v>
      </c>
      <c r="AB58" s="130"/>
      <c r="AC58" s="130"/>
      <c r="AD58" s="130"/>
      <c r="AE58" s="153">
        <f>SUM(Tabelle1[[#This Row],[Istkosten 2025]:[Istkosten 2027]])</f>
        <v>0</v>
      </c>
      <c r="AF58" s="87" t="e">
        <f>IF(AA58="","",Tabelle1[[#This Row],[Ist-Kosten (Gesamt)]]/Tabelle1[[#This Row],[Plankosten 25-27]])</f>
        <v>#DIV/0!</v>
      </c>
      <c r="AG58" s="34"/>
      <c r="AH58" s="29"/>
      <c r="AI58" s="154"/>
      <c r="AJ58" s="155"/>
      <c r="AK58" s="156"/>
      <c r="AL58" s="97"/>
      <c r="AM58" s="97"/>
      <c r="AN58" s="97"/>
      <c r="AO58" s="94"/>
      <c r="AP58" s="94"/>
    </row>
    <row r="59" spans="2:42" x14ac:dyDescent="0.35">
      <c r="B59" s="94"/>
      <c r="C59" s="97"/>
      <c r="D59" s="97"/>
      <c r="E59" s="80"/>
      <c r="F59" s="80"/>
      <c r="G59" s="80"/>
      <c r="H59" s="34"/>
      <c r="I59" s="29"/>
      <c r="J59" s="34"/>
      <c r="K59" s="30"/>
      <c r="L59" s="29"/>
      <c r="M59" s="29"/>
      <c r="N59" s="29"/>
      <c r="O59" s="29"/>
      <c r="P59" s="29"/>
      <c r="Q59" s="29"/>
      <c r="R59" s="29"/>
      <c r="S59" s="29"/>
      <c r="T59" s="91"/>
      <c r="U59" s="91"/>
      <c r="V59" s="76" t="str">
        <f>IF(U59="","",NETWORKDAYS(T59,U59,Parameter!$C$4:$C$51))</f>
        <v/>
      </c>
      <c r="W59" s="98"/>
      <c r="X59" s="130"/>
      <c r="Y59" s="130"/>
      <c r="Z59" s="130"/>
      <c r="AA59" s="153">
        <f>SUM(Tabelle1[[#This Row],[Plankosten 2025]:[Plankosten 2027]])</f>
        <v>0</v>
      </c>
      <c r="AB59" s="130"/>
      <c r="AC59" s="130"/>
      <c r="AD59" s="130"/>
      <c r="AE59" s="153">
        <f>SUM(Tabelle1[[#This Row],[Istkosten 2025]:[Istkosten 2027]])</f>
        <v>0</v>
      </c>
      <c r="AF59" s="87" t="e">
        <f>IF(AA59="","",Tabelle1[[#This Row],[Ist-Kosten (Gesamt)]]/Tabelle1[[#This Row],[Plankosten 25-27]])</f>
        <v>#DIV/0!</v>
      </c>
      <c r="AG59" s="34"/>
      <c r="AH59" s="29"/>
      <c r="AI59" s="154"/>
      <c r="AJ59" s="155"/>
      <c r="AK59" s="156"/>
      <c r="AL59" s="97"/>
      <c r="AM59" s="97"/>
      <c r="AN59" s="97"/>
      <c r="AO59" s="94"/>
      <c r="AP59" s="94"/>
    </row>
    <row r="60" spans="2:42" x14ac:dyDescent="0.35">
      <c r="B60" s="94"/>
      <c r="C60" s="97"/>
      <c r="D60" s="97"/>
      <c r="E60" s="80"/>
      <c r="F60" s="80"/>
      <c r="G60" s="80"/>
      <c r="H60" s="34"/>
      <c r="I60" s="29"/>
      <c r="J60" s="34"/>
      <c r="K60" s="30"/>
      <c r="L60" s="29"/>
      <c r="M60" s="29"/>
      <c r="N60" s="29"/>
      <c r="O60" s="29"/>
      <c r="P60" s="29"/>
      <c r="Q60" s="29"/>
      <c r="R60" s="29"/>
      <c r="S60" s="29"/>
      <c r="T60" s="91"/>
      <c r="U60" s="91"/>
      <c r="V60" s="76" t="str">
        <f>IF(U60="","",NETWORKDAYS(T60,U60,Parameter!$C$4:$C$51))</f>
        <v/>
      </c>
      <c r="W60" s="98"/>
      <c r="X60" s="130"/>
      <c r="Y60" s="130"/>
      <c r="Z60" s="130"/>
      <c r="AA60" s="153">
        <f>SUM(Tabelle1[[#This Row],[Plankosten 2025]:[Plankosten 2027]])</f>
        <v>0</v>
      </c>
      <c r="AB60" s="130"/>
      <c r="AC60" s="130"/>
      <c r="AD60" s="130"/>
      <c r="AE60" s="153">
        <f>SUM(Tabelle1[[#This Row],[Istkosten 2025]:[Istkosten 2027]])</f>
        <v>0</v>
      </c>
      <c r="AF60" s="87" t="e">
        <f>IF(AA60="","",Tabelle1[[#This Row],[Ist-Kosten (Gesamt)]]/Tabelle1[[#This Row],[Plankosten 25-27]])</f>
        <v>#DIV/0!</v>
      </c>
      <c r="AG60" s="34"/>
      <c r="AH60" s="29"/>
      <c r="AI60" s="154"/>
      <c r="AJ60" s="155"/>
      <c r="AK60" s="156"/>
      <c r="AL60" s="97"/>
      <c r="AM60" s="97"/>
      <c r="AN60" s="97"/>
      <c r="AO60" s="94"/>
      <c r="AP60" s="94"/>
    </row>
    <row r="61" spans="2:42" x14ac:dyDescent="0.35">
      <c r="B61" s="94"/>
      <c r="C61" s="97"/>
      <c r="D61" s="97"/>
      <c r="E61" s="80"/>
      <c r="F61" s="80"/>
      <c r="G61" s="80"/>
      <c r="H61" s="34"/>
      <c r="I61" s="29"/>
      <c r="J61" s="34"/>
      <c r="K61" s="30"/>
      <c r="L61" s="29"/>
      <c r="M61" s="29"/>
      <c r="N61" s="29"/>
      <c r="O61" s="29"/>
      <c r="P61" s="29"/>
      <c r="Q61" s="29"/>
      <c r="R61" s="29"/>
      <c r="S61" s="29"/>
      <c r="T61" s="91"/>
      <c r="U61" s="91"/>
      <c r="V61" s="76" t="str">
        <f>IF(U61="","",NETWORKDAYS(T61,U61,Parameter!$C$4:$C$51))</f>
        <v/>
      </c>
      <c r="W61" s="98"/>
      <c r="X61" s="130"/>
      <c r="Y61" s="130"/>
      <c r="Z61" s="130"/>
      <c r="AA61" s="153">
        <f>SUM(Tabelle1[[#This Row],[Plankosten 2025]:[Plankosten 2027]])</f>
        <v>0</v>
      </c>
      <c r="AB61" s="130"/>
      <c r="AC61" s="130"/>
      <c r="AD61" s="130"/>
      <c r="AE61" s="153">
        <f>SUM(Tabelle1[[#This Row],[Istkosten 2025]:[Istkosten 2027]])</f>
        <v>0</v>
      </c>
      <c r="AF61" s="87" t="e">
        <f>IF(AA61="","",Tabelle1[[#This Row],[Ist-Kosten (Gesamt)]]/Tabelle1[[#This Row],[Plankosten 25-27]])</f>
        <v>#DIV/0!</v>
      </c>
      <c r="AG61" s="34"/>
      <c r="AH61" s="29"/>
      <c r="AI61" s="154"/>
      <c r="AJ61" s="155"/>
      <c r="AK61" s="156"/>
      <c r="AL61" s="97"/>
      <c r="AM61" s="97"/>
      <c r="AN61" s="97"/>
      <c r="AO61" s="94"/>
      <c r="AP61" s="94"/>
    </row>
    <row r="62" spans="2:42" x14ac:dyDescent="0.35">
      <c r="B62" s="94"/>
      <c r="C62" s="97"/>
      <c r="D62" s="97"/>
      <c r="E62" s="80"/>
      <c r="F62" s="80"/>
      <c r="G62" s="80"/>
      <c r="H62" s="34"/>
      <c r="I62" s="29"/>
      <c r="J62" s="34"/>
      <c r="K62" s="30"/>
      <c r="L62" s="29"/>
      <c r="M62" s="29"/>
      <c r="N62" s="29"/>
      <c r="O62" s="29"/>
      <c r="P62" s="29"/>
      <c r="Q62" s="29"/>
      <c r="R62" s="29"/>
      <c r="S62" s="29"/>
      <c r="T62" s="91"/>
      <c r="U62" s="91"/>
      <c r="V62" s="76" t="str">
        <f>IF(U62="","",NETWORKDAYS(T62,U62,Parameter!$C$4:$C$51))</f>
        <v/>
      </c>
      <c r="W62" s="98"/>
      <c r="X62" s="130"/>
      <c r="Y62" s="130"/>
      <c r="Z62" s="130"/>
      <c r="AA62" s="153">
        <f>SUM(Tabelle1[[#This Row],[Plankosten 2025]:[Plankosten 2027]])</f>
        <v>0</v>
      </c>
      <c r="AB62" s="130"/>
      <c r="AC62" s="130"/>
      <c r="AD62" s="130"/>
      <c r="AE62" s="153">
        <f>SUM(Tabelle1[[#This Row],[Istkosten 2025]:[Istkosten 2027]])</f>
        <v>0</v>
      </c>
      <c r="AF62" s="87" t="e">
        <f>IF(AA62="","",Tabelle1[[#This Row],[Ist-Kosten (Gesamt)]]/Tabelle1[[#This Row],[Plankosten 25-27]])</f>
        <v>#DIV/0!</v>
      </c>
      <c r="AG62" s="34"/>
      <c r="AH62" s="29"/>
      <c r="AI62" s="154"/>
      <c r="AJ62" s="155"/>
      <c r="AK62" s="156"/>
      <c r="AL62" s="97"/>
      <c r="AM62" s="97"/>
      <c r="AN62" s="97"/>
      <c r="AO62" s="94"/>
      <c r="AP62" s="94"/>
    </row>
    <row r="63" spans="2:42" x14ac:dyDescent="0.35">
      <c r="B63" s="94"/>
      <c r="C63" s="97"/>
      <c r="D63" s="97"/>
      <c r="E63" s="80"/>
      <c r="F63" s="80"/>
      <c r="G63" s="80"/>
      <c r="H63" s="34"/>
      <c r="I63" s="29"/>
      <c r="J63" s="34"/>
      <c r="K63" s="30"/>
      <c r="L63" s="29"/>
      <c r="M63" s="29"/>
      <c r="N63" s="29"/>
      <c r="O63" s="29"/>
      <c r="P63" s="29"/>
      <c r="Q63" s="29"/>
      <c r="R63" s="29"/>
      <c r="S63" s="29"/>
      <c r="T63" s="91"/>
      <c r="U63" s="91"/>
      <c r="V63" s="76" t="str">
        <f>IF(U63="","",NETWORKDAYS(T63,U63,Parameter!$C$4:$C$51))</f>
        <v/>
      </c>
      <c r="W63" s="98"/>
      <c r="X63" s="130"/>
      <c r="Y63" s="130"/>
      <c r="Z63" s="130"/>
      <c r="AA63" s="153">
        <f>SUM(Tabelle1[[#This Row],[Plankosten 2025]:[Plankosten 2027]])</f>
        <v>0</v>
      </c>
      <c r="AB63" s="130"/>
      <c r="AC63" s="130"/>
      <c r="AD63" s="130"/>
      <c r="AE63" s="153">
        <f>SUM(Tabelle1[[#This Row],[Istkosten 2025]:[Istkosten 2027]])</f>
        <v>0</v>
      </c>
      <c r="AF63" s="87" t="e">
        <f>IF(AA63="","",Tabelle1[[#This Row],[Ist-Kosten (Gesamt)]]/Tabelle1[[#This Row],[Plankosten 25-27]])</f>
        <v>#DIV/0!</v>
      </c>
      <c r="AG63" s="34"/>
      <c r="AH63" s="29"/>
      <c r="AI63" s="154"/>
      <c r="AJ63" s="155"/>
      <c r="AK63" s="156"/>
      <c r="AL63" s="97"/>
      <c r="AM63" s="97"/>
      <c r="AN63" s="97"/>
      <c r="AO63" s="94"/>
      <c r="AP63" s="94"/>
    </row>
    <row r="64" spans="2:42" x14ac:dyDescent="0.35">
      <c r="B64" s="94"/>
      <c r="C64" s="97"/>
      <c r="D64" s="97"/>
      <c r="E64" s="80"/>
      <c r="F64" s="80"/>
      <c r="G64" s="80"/>
      <c r="H64" s="34"/>
      <c r="I64" s="29"/>
      <c r="J64" s="34"/>
      <c r="K64" s="30"/>
      <c r="L64" s="29"/>
      <c r="M64" s="29"/>
      <c r="N64" s="29"/>
      <c r="O64" s="29"/>
      <c r="P64" s="29"/>
      <c r="Q64" s="29"/>
      <c r="R64" s="29"/>
      <c r="S64" s="29"/>
      <c r="T64" s="91"/>
      <c r="U64" s="91"/>
      <c r="V64" s="76" t="str">
        <f>IF(U64="","",NETWORKDAYS(T64,U64,Parameter!$C$4:$C$51))</f>
        <v/>
      </c>
      <c r="W64" s="98"/>
      <c r="X64" s="130"/>
      <c r="Y64" s="130"/>
      <c r="Z64" s="130"/>
      <c r="AA64" s="153">
        <f>SUM(Tabelle1[[#This Row],[Plankosten 2025]:[Plankosten 2027]])</f>
        <v>0</v>
      </c>
      <c r="AB64" s="130"/>
      <c r="AC64" s="130"/>
      <c r="AD64" s="130"/>
      <c r="AE64" s="153">
        <f>SUM(Tabelle1[[#This Row],[Istkosten 2025]:[Istkosten 2027]])</f>
        <v>0</v>
      </c>
      <c r="AF64" s="87" t="e">
        <f>IF(AA64="","",Tabelle1[[#This Row],[Ist-Kosten (Gesamt)]]/Tabelle1[[#This Row],[Plankosten 25-27]])</f>
        <v>#DIV/0!</v>
      </c>
      <c r="AG64" s="34"/>
      <c r="AH64" s="29"/>
      <c r="AI64" s="154"/>
      <c r="AJ64" s="155"/>
      <c r="AK64" s="156"/>
      <c r="AL64" s="97"/>
      <c r="AM64" s="97"/>
      <c r="AN64" s="97"/>
      <c r="AO64" s="94"/>
      <c r="AP64" s="94"/>
    </row>
    <row r="65" spans="2:42" x14ac:dyDescent="0.35">
      <c r="B65" s="94"/>
      <c r="C65" s="97"/>
      <c r="D65" s="97"/>
      <c r="E65" s="80"/>
      <c r="F65" s="80"/>
      <c r="G65" s="80"/>
      <c r="H65" s="34"/>
      <c r="I65" s="29"/>
      <c r="J65" s="34"/>
      <c r="K65" s="30"/>
      <c r="L65" s="29"/>
      <c r="M65" s="29"/>
      <c r="N65" s="29"/>
      <c r="O65" s="29"/>
      <c r="P65" s="29"/>
      <c r="Q65" s="29"/>
      <c r="R65" s="29"/>
      <c r="S65" s="29"/>
      <c r="T65" s="91"/>
      <c r="U65" s="91"/>
      <c r="V65" s="76" t="str">
        <f>IF(U65="","",NETWORKDAYS(T65,U65,Parameter!$C$4:$C$51))</f>
        <v/>
      </c>
      <c r="W65" s="98"/>
      <c r="X65" s="130"/>
      <c r="Y65" s="130"/>
      <c r="Z65" s="130"/>
      <c r="AA65" s="153">
        <f>SUM(Tabelle1[[#This Row],[Plankosten 2025]:[Plankosten 2027]])</f>
        <v>0</v>
      </c>
      <c r="AB65" s="130"/>
      <c r="AC65" s="130"/>
      <c r="AD65" s="130"/>
      <c r="AE65" s="153">
        <f>SUM(Tabelle1[[#This Row],[Istkosten 2025]:[Istkosten 2027]])</f>
        <v>0</v>
      </c>
      <c r="AF65" s="87" t="e">
        <f>IF(AA65="","",Tabelle1[[#This Row],[Ist-Kosten (Gesamt)]]/Tabelle1[[#This Row],[Plankosten 25-27]])</f>
        <v>#DIV/0!</v>
      </c>
      <c r="AG65" s="34"/>
      <c r="AH65" s="29"/>
      <c r="AI65" s="154"/>
      <c r="AJ65" s="155"/>
      <c r="AK65" s="156"/>
      <c r="AL65" s="97"/>
      <c r="AM65" s="97"/>
      <c r="AN65" s="97"/>
      <c r="AO65" s="94"/>
      <c r="AP65" s="94"/>
    </row>
    <row r="66" spans="2:42" x14ac:dyDescent="0.35">
      <c r="B66" s="94"/>
      <c r="C66" s="97"/>
      <c r="D66" s="97"/>
      <c r="E66" s="80"/>
      <c r="F66" s="80"/>
      <c r="G66" s="80"/>
      <c r="H66" s="34"/>
      <c r="I66" s="29"/>
      <c r="J66" s="34"/>
      <c r="K66" s="30"/>
      <c r="L66" s="29"/>
      <c r="M66" s="29"/>
      <c r="N66" s="29"/>
      <c r="O66" s="29"/>
      <c r="P66" s="29"/>
      <c r="Q66" s="29"/>
      <c r="R66" s="29"/>
      <c r="S66" s="29"/>
      <c r="T66" s="91"/>
      <c r="U66" s="91"/>
      <c r="V66" s="76" t="str">
        <f>IF(U66="","",NETWORKDAYS(T66,U66,Parameter!$C$4:$C$51))</f>
        <v/>
      </c>
      <c r="W66" s="98"/>
      <c r="X66" s="130"/>
      <c r="Y66" s="130"/>
      <c r="Z66" s="130"/>
      <c r="AA66" s="153">
        <f>SUM(Tabelle1[[#This Row],[Plankosten 2025]:[Plankosten 2027]])</f>
        <v>0</v>
      </c>
      <c r="AB66" s="130"/>
      <c r="AC66" s="130"/>
      <c r="AD66" s="130"/>
      <c r="AE66" s="153">
        <f>SUM(Tabelle1[[#This Row],[Istkosten 2025]:[Istkosten 2027]])</f>
        <v>0</v>
      </c>
      <c r="AF66" s="87" t="e">
        <f>IF(AA66="","",Tabelle1[[#This Row],[Ist-Kosten (Gesamt)]]/Tabelle1[[#This Row],[Plankosten 25-27]])</f>
        <v>#DIV/0!</v>
      </c>
      <c r="AG66" s="34"/>
      <c r="AH66" s="29"/>
      <c r="AI66" s="154"/>
      <c r="AJ66" s="155"/>
      <c r="AK66" s="156"/>
      <c r="AL66" s="97"/>
      <c r="AM66" s="97"/>
      <c r="AN66" s="97"/>
      <c r="AO66" s="94"/>
      <c r="AP66" s="94"/>
    </row>
    <row r="67" spans="2:42" x14ac:dyDescent="0.35">
      <c r="B67" s="94"/>
      <c r="C67" s="97"/>
      <c r="D67" s="97"/>
      <c r="E67" s="80"/>
      <c r="F67" s="80"/>
      <c r="G67" s="80"/>
      <c r="H67" s="34"/>
      <c r="I67" s="29"/>
      <c r="J67" s="34"/>
      <c r="K67" s="30"/>
      <c r="L67" s="29"/>
      <c r="M67" s="29"/>
      <c r="N67" s="29"/>
      <c r="O67" s="29"/>
      <c r="P67" s="29"/>
      <c r="Q67" s="29"/>
      <c r="R67" s="29"/>
      <c r="S67" s="29"/>
      <c r="T67" s="91"/>
      <c r="U67" s="91"/>
      <c r="V67" s="76" t="str">
        <f>IF(U67="","",NETWORKDAYS(T67,U67,Parameter!$C$4:$C$51))</f>
        <v/>
      </c>
      <c r="W67" s="98"/>
      <c r="X67" s="130"/>
      <c r="Y67" s="130"/>
      <c r="Z67" s="130"/>
      <c r="AA67" s="153">
        <f>SUM(Tabelle1[[#This Row],[Plankosten 2025]:[Plankosten 2027]])</f>
        <v>0</v>
      </c>
      <c r="AB67" s="130"/>
      <c r="AC67" s="130"/>
      <c r="AD67" s="130"/>
      <c r="AE67" s="153">
        <f>SUM(Tabelle1[[#This Row],[Istkosten 2025]:[Istkosten 2027]])</f>
        <v>0</v>
      </c>
      <c r="AF67" s="87" t="e">
        <f>IF(AA67="","",Tabelle1[[#This Row],[Ist-Kosten (Gesamt)]]/Tabelle1[[#This Row],[Plankosten 25-27]])</f>
        <v>#DIV/0!</v>
      </c>
      <c r="AG67" s="34"/>
      <c r="AH67" s="29"/>
      <c r="AI67" s="154"/>
      <c r="AJ67" s="155"/>
      <c r="AK67" s="156"/>
      <c r="AL67" s="97"/>
      <c r="AM67" s="97"/>
      <c r="AN67" s="97"/>
      <c r="AO67" s="94"/>
      <c r="AP67" s="94"/>
    </row>
    <row r="68" spans="2:42" x14ac:dyDescent="0.35">
      <c r="B68" s="94"/>
      <c r="C68" s="97"/>
      <c r="D68" s="97"/>
      <c r="E68" s="80"/>
      <c r="F68" s="80"/>
      <c r="G68" s="80"/>
      <c r="H68" s="34"/>
      <c r="I68" s="29"/>
      <c r="J68" s="34"/>
      <c r="K68" s="30"/>
      <c r="L68" s="29"/>
      <c r="M68" s="29"/>
      <c r="N68" s="29"/>
      <c r="O68" s="29"/>
      <c r="P68" s="29"/>
      <c r="Q68" s="29"/>
      <c r="R68" s="29"/>
      <c r="S68" s="29"/>
      <c r="T68" s="91"/>
      <c r="U68" s="91"/>
      <c r="V68" s="76" t="str">
        <f>IF(U68="","",NETWORKDAYS(T68,U68,Parameter!$C$4:$C$51))</f>
        <v/>
      </c>
      <c r="W68" s="98"/>
      <c r="X68" s="130"/>
      <c r="Y68" s="130"/>
      <c r="Z68" s="130"/>
      <c r="AA68" s="153">
        <f>SUM(Tabelle1[[#This Row],[Plankosten 2025]:[Plankosten 2027]])</f>
        <v>0</v>
      </c>
      <c r="AB68" s="130"/>
      <c r="AC68" s="130"/>
      <c r="AD68" s="130"/>
      <c r="AE68" s="153">
        <f>SUM(Tabelle1[[#This Row],[Istkosten 2025]:[Istkosten 2027]])</f>
        <v>0</v>
      </c>
      <c r="AF68" s="87" t="e">
        <f>IF(AA68="","",Tabelle1[[#This Row],[Ist-Kosten (Gesamt)]]/Tabelle1[[#This Row],[Plankosten 25-27]])</f>
        <v>#DIV/0!</v>
      </c>
      <c r="AG68" s="34"/>
      <c r="AH68" s="29"/>
      <c r="AI68" s="154"/>
      <c r="AJ68" s="155"/>
      <c r="AK68" s="156"/>
      <c r="AL68" s="97"/>
      <c r="AM68" s="97"/>
      <c r="AN68" s="97"/>
      <c r="AO68" s="94"/>
      <c r="AP68" s="94"/>
    </row>
    <row r="69" spans="2:42" x14ac:dyDescent="0.35">
      <c r="B69" s="94"/>
      <c r="C69" s="97"/>
      <c r="D69" s="97"/>
      <c r="E69" s="80"/>
      <c r="F69" s="80"/>
      <c r="G69" s="80"/>
      <c r="H69" s="34"/>
      <c r="I69" s="29"/>
      <c r="J69" s="34"/>
      <c r="K69" s="30"/>
      <c r="L69" s="29"/>
      <c r="M69" s="29"/>
      <c r="N69" s="29"/>
      <c r="O69" s="29"/>
      <c r="P69" s="29"/>
      <c r="Q69" s="29"/>
      <c r="R69" s="29"/>
      <c r="S69" s="29"/>
      <c r="T69" s="91"/>
      <c r="U69" s="91"/>
      <c r="V69" s="76" t="str">
        <f>IF(U69="","",NETWORKDAYS(T69,U69,Parameter!$C$4:$C$51))</f>
        <v/>
      </c>
      <c r="W69" s="98"/>
      <c r="X69" s="130"/>
      <c r="Y69" s="130"/>
      <c r="Z69" s="130"/>
      <c r="AA69" s="153">
        <f>SUM(Tabelle1[[#This Row],[Plankosten 2025]:[Plankosten 2027]])</f>
        <v>0</v>
      </c>
      <c r="AB69" s="130"/>
      <c r="AC69" s="130"/>
      <c r="AD69" s="130"/>
      <c r="AE69" s="153">
        <f>SUM(Tabelle1[[#This Row],[Istkosten 2025]:[Istkosten 2027]])</f>
        <v>0</v>
      </c>
      <c r="AF69" s="87" t="e">
        <f>IF(AA69="","",Tabelle1[[#This Row],[Ist-Kosten (Gesamt)]]/Tabelle1[[#This Row],[Plankosten 25-27]])</f>
        <v>#DIV/0!</v>
      </c>
      <c r="AG69" s="34"/>
      <c r="AH69" s="29"/>
      <c r="AI69" s="154"/>
      <c r="AJ69" s="155"/>
      <c r="AK69" s="156"/>
      <c r="AL69" s="97"/>
      <c r="AM69" s="97"/>
      <c r="AN69" s="97"/>
      <c r="AO69" s="94"/>
      <c r="AP69" s="94"/>
    </row>
    <row r="70" spans="2:42" x14ac:dyDescent="0.35">
      <c r="B70" s="94"/>
      <c r="C70" s="97"/>
      <c r="D70" s="97"/>
      <c r="E70" s="80"/>
      <c r="F70" s="80"/>
      <c r="G70" s="80"/>
      <c r="H70" s="34"/>
      <c r="I70" s="29"/>
      <c r="J70" s="34"/>
      <c r="K70" s="30"/>
      <c r="L70" s="29"/>
      <c r="M70" s="29"/>
      <c r="N70" s="29"/>
      <c r="O70" s="29"/>
      <c r="P70" s="29"/>
      <c r="Q70" s="29"/>
      <c r="R70" s="29"/>
      <c r="S70" s="29"/>
      <c r="T70" s="91"/>
      <c r="U70" s="91"/>
      <c r="V70" s="76" t="str">
        <f>IF(U70="","",NETWORKDAYS(T70,U70,Parameter!$C$4:$C$51))</f>
        <v/>
      </c>
      <c r="W70" s="98"/>
      <c r="X70" s="130"/>
      <c r="Y70" s="130"/>
      <c r="Z70" s="130"/>
      <c r="AA70" s="153">
        <f>SUM(Tabelle1[[#This Row],[Plankosten 2025]:[Plankosten 2027]])</f>
        <v>0</v>
      </c>
      <c r="AB70" s="130"/>
      <c r="AC70" s="130"/>
      <c r="AD70" s="130"/>
      <c r="AE70" s="153">
        <f>SUM(Tabelle1[[#This Row],[Istkosten 2025]:[Istkosten 2027]])</f>
        <v>0</v>
      </c>
      <c r="AF70" s="87" t="e">
        <f>IF(AA70="","",Tabelle1[[#This Row],[Ist-Kosten (Gesamt)]]/Tabelle1[[#This Row],[Plankosten 25-27]])</f>
        <v>#DIV/0!</v>
      </c>
      <c r="AG70" s="34"/>
      <c r="AH70" s="29"/>
      <c r="AI70" s="154"/>
      <c r="AJ70" s="155"/>
      <c r="AK70" s="156"/>
      <c r="AL70" s="97"/>
      <c r="AM70" s="97"/>
      <c r="AN70" s="97"/>
      <c r="AO70" s="94"/>
      <c r="AP70" s="94"/>
    </row>
    <row r="71" spans="2:42" x14ac:dyDescent="0.35">
      <c r="B71" s="94"/>
      <c r="C71" s="97"/>
      <c r="D71" s="97"/>
      <c r="E71" s="80"/>
      <c r="F71" s="80"/>
      <c r="G71" s="80"/>
      <c r="H71" s="34"/>
      <c r="I71" s="29"/>
      <c r="J71" s="34"/>
      <c r="K71" s="30"/>
      <c r="L71" s="29"/>
      <c r="M71" s="29"/>
      <c r="N71" s="29"/>
      <c r="O71" s="29"/>
      <c r="P71" s="29"/>
      <c r="Q71" s="29"/>
      <c r="R71" s="29"/>
      <c r="S71" s="29"/>
      <c r="T71" s="91"/>
      <c r="U71" s="91"/>
      <c r="V71" s="76" t="str">
        <f>IF(U71="","",NETWORKDAYS(T71,U71,Parameter!$C$4:$C$51))</f>
        <v/>
      </c>
      <c r="W71" s="98"/>
      <c r="X71" s="130"/>
      <c r="Y71" s="130"/>
      <c r="Z71" s="130"/>
      <c r="AA71" s="153">
        <f>SUM(Tabelle1[[#This Row],[Plankosten 2025]:[Plankosten 2027]])</f>
        <v>0</v>
      </c>
      <c r="AB71" s="130"/>
      <c r="AC71" s="130"/>
      <c r="AD71" s="130"/>
      <c r="AE71" s="153">
        <f>SUM(Tabelle1[[#This Row],[Istkosten 2025]:[Istkosten 2027]])</f>
        <v>0</v>
      </c>
      <c r="AF71" s="87" t="e">
        <f>IF(AA71="","",Tabelle1[[#This Row],[Ist-Kosten (Gesamt)]]/Tabelle1[[#This Row],[Plankosten 25-27]])</f>
        <v>#DIV/0!</v>
      </c>
      <c r="AG71" s="34"/>
      <c r="AH71" s="29"/>
      <c r="AI71" s="154"/>
      <c r="AJ71" s="155"/>
      <c r="AK71" s="156"/>
      <c r="AL71" s="97"/>
      <c r="AM71" s="97"/>
      <c r="AN71" s="97"/>
      <c r="AO71" s="94"/>
      <c r="AP71" s="94"/>
    </row>
    <row r="72" spans="2:42" x14ac:dyDescent="0.35">
      <c r="B72" s="94"/>
      <c r="C72" s="97"/>
      <c r="D72" s="97"/>
      <c r="E72" s="80"/>
      <c r="F72" s="80"/>
      <c r="G72" s="80"/>
      <c r="H72" s="34"/>
      <c r="I72" s="29"/>
      <c r="J72" s="34"/>
      <c r="K72" s="30"/>
      <c r="L72" s="29"/>
      <c r="M72" s="29"/>
      <c r="N72" s="29"/>
      <c r="O72" s="29"/>
      <c r="P72" s="29"/>
      <c r="Q72" s="29"/>
      <c r="R72" s="29"/>
      <c r="S72" s="29"/>
      <c r="T72" s="91"/>
      <c r="U72" s="91"/>
      <c r="V72" s="76" t="str">
        <f>IF(U72="","",NETWORKDAYS(T72,U72,Parameter!$C$4:$C$51))</f>
        <v/>
      </c>
      <c r="W72" s="98"/>
      <c r="X72" s="130"/>
      <c r="Y72" s="130"/>
      <c r="Z72" s="130"/>
      <c r="AA72" s="153">
        <f>SUM(Tabelle1[[#This Row],[Plankosten 2025]:[Plankosten 2027]])</f>
        <v>0</v>
      </c>
      <c r="AB72" s="130"/>
      <c r="AC72" s="130"/>
      <c r="AD72" s="130"/>
      <c r="AE72" s="153">
        <f>SUM(Tabelle1[[#This Row],[Istkosten 2025]:[Istkosten 2027]])</f>
        <v>0</v>
      </c>
      <c r="AF72" s="87" t="e">
        <f>IF(AA72="","",Tabelle1[[#This Row],[Ist-Kosten (Gesamt)]]/Tabelle1[[#This Row],[Plankosten 25-27]])</f>
        <v>#DIV/0!</v>
      </c>
      <c r="AG72" s="34"/>
      <c r="AH72" s="29"/>
      <c r="AI72" s="154"/>
      <c r="AJ72" s="155"/>
      <c r="AK72" s="156"/>
      <c r="AL72" s="97"/>
      <c r="AM72" s="97"/>
      <c r="AN72" s="97"/>
      <c r="AO72" s="94"/>
      <c r="AP72" s="94"/>
    </row>
    <row r="73" spans="2:42" x14ac:dyDescent="0.35">
      <c r="B73" s="94"/>
      <c r="C73" s="97"/>
      <c r="D73" s="97"/>
      <c r="E73" s="80"/>
      <c r="F73" s="80"/>
      <c r="G73" s="80"/>
      <c r="H73" s="34"/>
      <c r="I73" s="29"/>
      <c r="J73" s="34"/>
      <c r="K73" s="30"/>
      <c r="L73" s="29"/>
      <c r="M73" s="29"/>
      <c r="N73" s="29"/>
      <c r="O73" s="29"/>
      <c r="P73" s="29"/>
      <c r="Q73" s="29"/>
      <c r="R73" s="29"/>
      <c r="S73" s="29"/>
      <c r="T73" s="91"/>
      <c r="U73" s="91"/>
      <c r="V73" s="76" t="str">
        <f>IF(U73="","",NETWORKDAYS(T73,U73,Parameter!$C$4:$C$51))</f>
        <v/>
      </c>
      <c r="W73" s="98"/>
      <c r="X73" s="130"/>
      <c r="Y73" s="130"/>
      <c r="Z73" s="130"/>
      <c r="AA73" s="153">
        <f>SUM(Tabelle1[[#This Row],[Plankosten 2025]:[Plankosten 2027]])</f>
        <v>0</v>
      </c>
      <c r="AB73" s="130"/>
      <c r="AC73" s="130"/>
      <c r="AD73" s="130"/>
      <c r="AE73" s="153">
        <f>SUM(Tabelle1[[#This Row],[Istkosten 2025]:[Istkosten 2027]])</f>
        <v>0</v>
      </c>
      <c r="AF73" s="87" t="e">
        <f>IF(AA73="","",Tabelle1[[#This Row],[Ist-Kosten (Gesamt)]]/Tabelle1[[#This Row],[Plankosten 25-27]])</f>
        <v>#DIV/0!</v>
      </c>
      <c r="AG73" s="34"/>
      <c r="AH73" s="29"/>
      <c r="AI73" s="154"/>
      <c r="AJ73" s="155"/>
      <c r="AK73" s="156"/>
      <c r="AL73" s="97"/>
      <c r="AM73" s="97"/>
      <c r="AN73" s="97"/>
      <c r="AO73" s="94"/>
      <c r="AP73" s="94"/>
    </row>
    <row r="74" spans="2:42" x14ac:dyDescent="0.35">
      <c r="B74" s="94"/>
      <c r="C74" s="97"/>
      <c r="D74" s="97"/>
      <c r="E74" s="80"/>
      <c r="F74" s="80"/>
      <c r="G74" s="80"/>
      <c r="H74" s="34"/>
      <c r="I74" s="29"/>
      <c r="J74" s="34"/>
      <c r="K74" s="30"/>
      <c r="L74" s="29"/>
      <c r="M74" s="29"/>
      <c r="N74" s="29"/>
      <c r="O74" s="29"/>
      <c r="P74" s="29"/>
      <c r="Q74" s="29"/>
      <c r="R74" s="29"/>
      <c r="S74" s="29"/>
      <c r="T74" s="91"/>
      <c r="U74" s="91"/>
      <c r="V74" s="76" t="str">
        <f>IF(U74="","",NETWORKDAYS(T74,U74,Parameter!$C$4:$C$51))</f>
        <v/>
      </c>
      <c r="W74" s="98"/>
      <c r="X74" s="130"/>
      <c r="Y74" s="130"/>
      <c r="Z74" s="130"/>
      <c r="AA74" s="153">
        <f>SUM(Tabelle1[[#This Row],[Plankosten 2025]:[Plankosten 2027]])</f>
        <v>0</v>
      </c>
      <c r="AB74" s="130"/>
      <c r="AC74" s="130"/>
      <c r="AD74" s="130"/>
      <c r="AE74" s="153">
        <f>SUM(Tabelle1[[#This Row],[Istkosten 2025]:[Istkosten 2027]])</f>
        <v>0</v>
      </c>
      <c r="AF74" s="87" t="e">
        <f>IF(AA74="","",Tabelle1[[#This Row],[Ist-Kosten (Gesamt)]]/Tabelle1[[#This Row],[Plankosten 25-27]])</f>
        <v>#DIV/0!</v>
      </c>
      <c r="AG74" s="34"/>
      <c r="AH74" s="29"/>
      <c r="AI74" s="154"/>
      <c r="AJ74" s="155"/>
      <c r="AK74" s="156"/>
      <c r="AL74" s="97"/>
      <c r="AM74" s="97"/>
      <c r="AN74" s="97"/>
      <c r="AO74" s="94"/>
      <c r="AP74" s="94"/>
    </row>
    <row r="75" spans="2:42" x14ac:dyDescent="0.35">
      <c r="B75" s="94"/>
      <c r="C75" s="97"/>
      <c r="D75" s="97"/>
      <c r="E75" s="80"/>
      <c r="F75" s="80"/>
      <c r="G75" s="80"/>
      <c r="H75" s="34"/>
      <c r="I75" s="29"/>
      <c r="J75" s="34"/>
      <c r="K75" s="30"/>
      <c r="L75" s="29"/>
      <c r="M75" s="29"/>
      <c r="N75" s="29"/>
      <c r="O75" s="29"/>
      <c r="P75" s="29"/>
      <c r="Q75" s="29"/>
      <c r="R75" s="29"/>
      <c r="S75" s="29"/>
      <c r="T75" s="91"/>
      <c r="U75" s="91"/>
      <c r="V75" s="76" t="str">
        <f>IF(U75="","",NETWORKDAYS(T75,U75,Parameter!$C$4:$C$51))</f>
        <v/>
      </c>
      <c r="W75" s="98"/>
      <c r="X75" s="130"/>
      <c r="Y75" s="130"/>
      <c r="Z75" s="130"/>
      <c r="AA75" s="153">
        <f>SUM(Tabelle1[[#This Row],[Plankosten 2025]:[Plankosten 2027]])</f>
        <v>0</v>
      </c>
      <c r="AB75" s="130"/>
      <c r="AC75" s="130"/>
      <c r="AD75" s="130"/>
      <c r="AE75" s="153">
        <f>SUM(Tabelle1[[#This Row],[Istkosten 2025]:[Istkosten 2027]])</f>
        <v>0</v>
      </c>
      <c r="AF75" s="87" t="e">
        <f>IF(AA75="","",Tabelle1[[#This Row],[Ist-Kosten (Gesamt)]]/Tabelle1[[#This Row],[Plankosten 25-27]])</f>
        <v>#DIV/0!</v>
      </c>
      <c r="AG75" s="34"/>
      <c r="AH75" s="29"/>
      <c r="AI75" s="154"/>
      <c r="AJ75" s="155"/>
      <c r="AK75" s="156"/>
      <c r="AL75" s="97"/>
      <c r="AM75" s="97"/>
      <c r="AN75" s="97"/>
      <c r="AO75" s="94"/>
      <c r="AP75" s="94"/>
    </row>
    <row r="76" spans="2:42" x14ac:dyDescent="0.35">
      <c r="B76" s="94"/>
      <c r="C76" s="97"/>
      <c r="D76" s="97"/>
      <c r="E76" s="80"/>
      <c r="F76" s="80"/>
      <c r="G76" s="80"/>
      <c r="H76" s="34"/>
      <c r="I76" s="29"/>
      <c r="J76" s="34"/>
      <c r="K76" s="30"/>
      <c r="L76" s="29"/>
      <c r="M76" s="29"/>
      <c r="N76" s="29"/>
      <c r="O76" s="29"/>
      <c r="P76" s="29"/>
      <c r="Q76" s="29"/>
      <c r="R76" s="29"/>
      <c r="S76" s="29"/>
      <c r="T76" s="91"/>
      <c r="U76" s="91"/>
      <c r="V76" s="76" t="str">
        <f>IF(U76="","",NETWORKDAYS(T76,U76,Parameter!$C$4:$C$51))</f>
        <v/>
      </c>
      <c r="W76" s="98"/>
      <c r="X76" s="130"/>
      <c r="Y76" s="130"/>
      <c r="Z76" s="130"/>
      <c r="AA76" s="153">
        <f>SUM(Tabelle1[[#This Row],[Plankosten 2025]:[Plankosten 2027]])</f>
        <v>0</v>
      </c>
      <c r="AB76" s="130"/>
      <c r="AC76" s="130"/>
      <c r="AD76" s="130"/>
      <c r="AE76" s="153">
        <f>SUM(Tabelle1[[#This Row],[Istkosten 2025]:[Istkosten 2027]])</f>
        <v>0</v>
      </c>
      <c r="AF76" s="87" t="e">
        <f>IF(AA76="","",Tabelle1[[#This Row],[Ist-Kosten (Gesamt)]]/Tabelle1[[#This Row],[Plankosten 25-27]])</f>
        <v>#DIV/0!</v>
      </c>
      <c r="AG76" s="34"/>
      <c r="AH76" s="29"/>
      <c r="AI76" s="154"/>
      <c r="AJ76" s="155"/>
      <c r="AK76" s="156"/>
      <c r="AL76" s="97"/>
      <c r="AM76" s="97"/>
      <c r="AN76" s="97"/>
      <c r="AO76" s="94"/>
      <c r="AP76" s="94"/>
    </row>
    <row r="77" spans="2:42" x14ac:dyDescent="0.35">
      <c r="B77" s="94"/>
      <c r="C77" s="97"/>
      <c r="D77" s="97"/>
      <c r="E77" s="80"/>
      <c r="F77" s="80"/>
      <c r="G77" s="80"/>
      <c r="H77" s="34"/>
      <c r="I77" s="29"/>
      <c r="J77" s="34"/>
      <c r="K77" s="30"/>
      <c r="L77" s="29"/>
      <c r="M77" s="29"/>
      <c r="N77" s="29"/>
      <c r="O77" s="29"/>
      <c r="P77" s="29"/>
      <c r="Q77" s="29"/>
      <c r="R77" s="29"/>
      <c r="S77" s="29"/>
      <c r="T77" s="91"/>
      <c r="U77" s="91"/>
      <c r="V77" s="76" t="str">
        <f>IF(U77="","",NETWORKDAYS(T77,U77,Parameter!$C$4:$C$51))</f>
        <v/>
      </c>
      <c r="W77" s="98"/>
      <c r="X77" s="130"/>
      <c r="Y77" s="130"/>
      <c r="Z77" s="130"/>
      <c r="AA77" s="153">
        <f>SUM(Tabelle1[[#This Row],[Plankosten 2025]:[Plankosten 2027]])</f>
        <v>0</v>
      </c>
      <c r="AB77" s="130"/>
      <c r="AC77" s="130"/>
      <c r="AD77" s="130"/>
      <c r="AE77" s="153">
        <f>SUM(Tabelle1[[#This Row],[Istkosten 2025]:[Istkosten 2027]])</f>
        <v>0</v>
      </c>
      <c r="AF77" s="87" t="e">
        <f>IF(AA77="","",Tabelle1[[#This Row],[Ist-Kosten (Gesamt)]]/Tabelle1[[#This Row],[Plankosten 25-27]])</f>
        <v>#DIV/0!</v>
      </c>
      <c r="AG77" s="34"/>
      <c r="AH77" s="29"/>
      <c r="AI77" s="154"/>
      <c r="AJ77" s="155"/>
      <c r="AK77" s="156"/>
      <c r="AL77" s="97"/>
      <c r="AM77" s="97"/>
      <c r="AN77" s="97"/>
      <c r="AO77" s="94"/>
      <c r="AP77" s="94"/>
    </row>
    <row r="78" spans="2:42" x14ac:dyDescent="0.35">
      <c r="B78" s="94"/>
      <c r="C78" s="97"/>
      <c r="D78" s="97"/>
      <c r="E78" s="80"/>
      <c r="F78" s="80"/>
      <c r="G78" s="80"/>
      <c r="H78" s="34"/>
      <c r="I78" s="29"/>
      <c r="J78" s="34"/>
      <c r="K78" s="30"/>
      <c r="L78" s="29"/>
      <c r="M78" s="29"/>
      <c r="N78" s="29"/>
      <c r="O78" s="29"/>
      <c r="P78" s="29"/>
      <c r="Q78" s="29"/>
      <c r="R78" s="29"/>
      <c r="S78" s="29"/>
      <c r="T78" s="91"/>
      <c r="U78" s="91"/>
      <c r="V78" s="76" t="str">
        <f>IF(U78="","",NETWORKDAYS(T78,U78,Parameter!$C$4:$C$51))</f>
        <v/>
      </c>
      <c r="W78" s="98"/>
      <c r="X78" s="130"/>
      <c r="Y78" s="130"/>
      <c r="Z78" s="130"/>
      <c r="AA78" s="153">
        <f>SUM(Tabelle1[[#This Row],[Plankosten 2025]:[Plankosten 2027]])</f>
        <v>0</v>
      </c>
      <c r="AB78" s="130"/>
      <c r="AC78" s="130"/>
      <c r="AD78" s="130"/>
      <c r="AE78" s="153">
        <f>SUM(Tabelle1[[#This Row],[Istkosten 2025]:[Istkosten 2027]])</f>
        <v>0</v>
      </c>
      <c r="AF78" s="87" t="e">
        <f>IF(AA78="","",Tabelle1[[#This Row],[Ist-Kosten (Gesamt)]]/Tabelle1[[#This Row],[Plankosten 25-27]])</f>
        <v>#DIV/0!</v>
      </c>
      <c r="AG78" s="34"/>
      <c r="AH78" s="29"/>
      <c r="AI78" s="154"/>
      <c r="AJ78" s="155"/>
      <c r="AK78" s="156"/>
      <c r="AL78" s="97"/>
      <c r="AM78" s="97"/>
      <c r="AN78" s="97"/>
      <c r="AO78" s="94"/>
      <c r="AP78" s="94"/>
    </row>
    <row r="79" spans="2:42" x14ac:dyDescent="0.35">
      <c r="B79" s="94"/>
      <c r="C79" s="97"/>
      <c r="D79" s="97"/>
      <c r="E79" s="80"/>
      <c r="F79" s="80"/>
      <c r="G79" s="80"/>
      <c r="H79" s="34"/>
      <c r="I79" s="29"/>
      <c r="J79" s="34"/>
      <c r="K79" s="30"/>
      <c r="L79" s="29"/>
      <c r="M79" s="29"/>
      <c r="N79" s="29"/>
      <c r="O79" s="29"/>
      <c r="P79" s="29"/>
      <c r="Q79" s="29"/>
      <c r="R79" s="29"/>
      <c r="S79" s="29"/>
      <c r="T79" s="91"/>
      <c r="U79" s="91"/>
      <c r="V79" s="76" t="str">
        <f>IF(U79="","",NETWORKDAYS(T79,U79,Parameter!$C$4:$C$51))</f>
        <v/>
      </c>
      <c r="W79" s="98"/>
      <c r="X79" s="130"/>
      <c r="Y79" s="130"/>
      <c r="Z79" s="130"/>
      <c r="AA79" s="153">
        <f>SUM(Tabelle1[[#This Row],[Plankosten 2025]:[Plankosten 2027]])</f>
        <v>0</v>
      </c>
      <c r="AB79" s="130"/>
      <c r="AC79" s="130"/>
      <c r="AD79" s="130"/>
      <c r="AE79" s="153">
        <f>SUM(Tabelle1[[#This Row],[Istkosten 2025]:[Istkosten 2027]])</f>
        <v>0</v>
      </c>
      <c r="AF79" s="87" t="e">
        <f>IF(AA79="","",Tabelle1[[#This Row],[Ist-Kosten (Gesamt)]]/Tabelle1[[#This Row],[Plankosten 25-27]])</f>
        <v>#DIV/0!</v>
      </c>
      <c r="AG79" s="34"/>
      <c r="AH79" s="29"/>
      <c r="AI79" s="154"/>
      <c r="AJ79" s="155"/>
      <c r="AK79" s="156"/>
      <c r="AL79" s="97"/>
      <c r="AM79" s="97"/>
      <c r="AN79" s="97"/>
      <c r="AO79" s="94"/>
      <c r="AP79" s="94"/>
    </row>
    <row r="80" spans="2:42" x14ac:dyDescent="0.35">
      <c r="B80" s="94"/>
      <c r="C80" s="97"/>
      <c r="D80" s="97"/>
      <c r="E80" s="80"/>
      <c r="F80" s="80"/>
      <c r="G80" s="80"/>
      <c r="H80" s="34"/>
      <c r="I80" s="29"/>
      <c r="J80" s="34"/>
      <c r="K80" s="30"/>
      <c r="L80" s="29"/>
      <c r="M80" s="29"/>
      <c r="N80" s="29"/>
      <c r="O80" s="29"/>
      <c r="P80" s="29"/>
      <c r="Q80" s="29"/>
      <c r="R80" s="29"/>
      <c r="S80" s="29"/>
      <c r="T80" s="91"/>
      <c r="U80" s="91"/>
      <c r="V80" s="76" t="str">
        <f>IF(U80="","",NETWORKDAYS(T80,U80,Parameter!$C$4:$C$51))</f>
        <v/>
      </c>
      <c r="W80" s="98"/>
      <c r="X80" s="130"/>
      <c r="Y80" s="130"/>
      <c r="Z80" s="130"/>
      <c r="AA80" s="153">
        <f>SUM(Tabelle1[[#This Row],[Plankosten 2025]:[Plankosten 2027]])</f>
        <v>0</v>
      </c>
      <c r="AB80" s="130"/>
      <c r="AC80" s="130"/>
      <c r="AD80" s="130"/>
      <c r="AE80" s="153">
        <f>SUM(Tabelle1[[#This Row],[Istkosten 2025]:[Istkosten 2027]])</f>
        <v>0</v>
      </c>
      <c r="AF80" s="87" t="e">
        <f>IF(AA80="","",Tabelle1[[#This Row],[Ist-Kosten (Gesamt)]]/Tabelle1[[#This Row],[Plankosten 25-27]])</f>
        <v>#DIV/0!</v>
      </c>
      <c r="AG80" s="34"/>
      <c r="AH80" s="29"/>
      <c r="AI80" s="154"/>
      <c r="AJ80" s="155"/>
      <c r="AK80" s="156"/>
      <c r="AL80" s="97"/>
      <c r="AM80" s="97"/>
      <c r="AN80" s="97"/>
      <c r="AO80" s="94"/>
      <c r="AP80" s="94"/>
    </row>
    <row r="81" spans="2:42" x14ac:dyDescent="0.35">
      <c r="B81" s="94"/>
      <c r="C81" s="97"/>
      <c r="D81" s="97"/>
      <c r="E81" s="80"/>
      <c r="F81" s="80"/>
      <c r="G81" s="80"/>
      <c r="H81" s="34"/>
      <c r="I81" s="29"/>
      <c r="J81" s="34"/>
      <c r="K81" s="30"/>
      <c r="L81" s="29"/>
      <c r="M81" s="29"/>
      <c r="N81" s="29"/>
      <c r="O81" s="29"/>
      <c r="P81" s="29"/>
      <c r="Q81" s="29"/>
      <c r="R81" s="29"/>
      <c r="S81" s="29"/>
      <c r="T81" s="91"/>
      <c r="U81" s="91"/>
      <c r="V81" s="76" t="str">
        <f>IF(U81="","",NETWORKDAYS(T81,U81,Parameter!$C$4:$C$51))</f>
        <v/>
      </c>
      <c r="W81" s="98"/>
      <c r="X81" s="130"/>
      <c r="Y81" s="130"/>
      <c r="Z81" s="130"/>
      <c r="AA81" s="153">
        <f>SUM(Tabelle1[[#This Row],[Plankosten 2025]:[Plankosten 2027]])</f>
        <v>0</v>
      </c>
      <c r="AB81" s="130"/>
      <c r="AC81" s="130"/>
      <c r="AD81" s="130"/>
      <c r="AE81" s="153">
        <f>SUM(Tabelle1[[#This Row],[Istkosten 2025]:[Istkosten 2027]])</f>
        <v>0</v>
      </c>
      <c r="AF81" s="87" t="e">
        <f>IF(AA81="","",Tabelle1[[#This Row],[Ist-Kosten (Gesamt)]]/Tabelle1[[#This Row],[Plankosten 25-27]])</f>
        <v>#DIV/0!</v>
      </c>
      <c r="AG81" s="34"/>
      <c r="AH81" s="29"/>
      <c r="AI81" s="154"/>
      <c r="AJ81" s="155"/>
      <c r="AK81" s="156"/>
      <c r="AL81" s="97"/>
      <c r="AM81" s="97"/>
      <c r="AN81" s="97"/>
      <c r="AO81" s="94"/>
      <c r="AP81" s="94"/>
    </row>
    <row r="82" spans="2:42" x14ac:dyDescent="0.35">
      <c r="B82" s="94"/>
      <c r="C82" s="97"/>
      <c r="D82" s="97"/>
      <c r="E82" s="80"/>
      <c r="F82" s="80"/>
      <c r="G82" s="80"/>
      <c r="H82" s="34"/>
      <c r="I82" s="29"/>
      <c r="J82" s="34"/>
      <c r="K82" s="30"/>
      <c r="L82" s="29"/>
      <c r="M82" s="29"/>
      <c r="N82" s="29"/>
      <c r="O82" s="29"/>
      <c r="P82" s="29"/>
      <c r="Q82" s="29"/>
      <c r="R82" s="29"/>
      <c r="S82" s="29"/>
      <c r="T82" s="91"/>
      <c r="U82" s="91"/>
      <c r="V82" s="76" t="str">
        <f>IF(U82="","",NETWORKDAYS(T82,U82,Parameter!$C$4:$C$51))</f>
        <v/>
      </c>
      <c r="W82" s="98"/>
      <c r="X82" s="130"/>
      <c r="Y82" s="130"/>
      <c r="Z82" s="130"/>
      <c r="AA82" s="153">
        <f>SUM(Tabelle1[[#This Row],[Plankosten 2025]:[Plankosten 2027]])</f>
        <v>0</v>
      </c>
      <c r="AB82" s="130"/>
      <c r="AC82" s="130"/>
      <c r="AD82" s="130"/>
      <c r="AE82" s="153">
        <f>SUM(Tabelle1[[#This Row],[Istkosten 2025]:[Istkosten 2027]])</f>
        <v>0</v>
      </c>
      <c r="AF82" s="87" t="e">
        <f>IF(AA82="","",Tabelle1[[#This Row],[Ist-Kosten (Gesamt)]]/Tabelle1[[#This Row],[Plankosten 25-27]])</f>
        <v>#DIV/0!</v>
      </c>
      <c r="AG82" s="34"/>
      <c r="AH82" s="29"/>
      <c r="AI82" s="154"/>
      <c r="AJ82" s="155"/>
      <c r="AK82" s="156"/>
      <c r="AL82" s="97"/>
      <c r="AM82" s="97"/>
      <c r="AN82" s="97"/>
      <c r="AO82" s="94"/>
      <c r="AP82" s="94"/>
    </row>
    <row r="83" spans="2:42" x14ac:dyDescent="0.35">
      <c r="B83" s="94"/>
      <c r="C83" s="97"/>
      <c r="D83" s="97"/>
      <c r="E83" s="80"/>
      <c r="F83" s="80"/>
      <c r="G83" s="80"/>
      <c r="H83" s="34"/>
      <c r="I83" s="29"/>
      <c r="J83" s="34"/>
      <c r="K83" s="30"/>
      <c r="L83" s="29"/>
      <c r="M83" s="29"/>
      <c r="N83" s="29"/>
      <c r="O83" s="29"/>
      <c r="P83" s="29"/>
      <c r="Q83" s="29"/>
      <c r="R83" s="29"/>
      <c r="S83" s="29"/>
      <c r="T83" s="91"/>
      <c r="U83" s="91"/>
      <c r="V83" s="76" t="str">
        <f>IF(U83="","",NETWORKDAYS(T83,U83,Parameter!$C$4:$C$51))</f>
        <v/>
      </c>
      <c r="W83" s="98"/>
      <c r="X83" s="130"/>
      <c r="Y83" s="130"/>
      <c r="Z83" s="130"/>
      <c r="AA83" s="153">
        <f>SUM(Tabelle1[[#This Row],[Plankosten 2025]:[Plankosten 2027]])</f>
        <v>0</v>
      </c>
      <c r="AB83" s="130"/>
      <c r="AC83" s="130"/>
      <c r="AD83" s="130"/>
      <c r="AE83" s="153">
        <f>SUM(Tabelle1[[#This Row],[Istkosten 2025]:[Istkosten 2027]])</f>
        <v>0</v>
      </c>
      <c r="AF83" s="87" t="e">
        <f>IF(AA83="","",Tabelle1[[#This Row],[Ist-Kosten (Gesamt)]]/Tabelle1[[#This Row],[Plankosten 25-27]])</f>
        <v>#DIV/0!</v>
      </c>
      <c r="AG83" s="34"/>
      <c r="AH83" s="29"/>
      <c r="AI83" s="154"/>
      <c r="AJ83" s="155"/>
      <c r="AK83" s="156"/>
      <c r="AL83" s="97"/>
      <c r="AM83" s="97"/>
      <c r="AN83" s="97"/>
      <c r="AO83" s="94"/>
      <c r="AP83" s="94"/>
    </row>
    <row r="84" spans="2:42" x14ac:dyDescent="0.35">
      <c r="B84" s="94"/>
      <c r="C84" s="97"/>
      <c r="D84" s="97"/>
      <c r="E84" s="80"/>
      <c r="F84" s="80"/>
      <c r="G84" s="80"/>
      <c r="H84" s="34"/>
      <c r="I84" s="29"/>
      <c r="J84" s="34"/>
      <c r="K84" s="30"/>
      <c r="L84" s="29"/>
      <c r="M84" s="29"/>
      <c r="N84" s="29"/>
      <c r="O84" s="29"/>
      <c r="P84" s="29"/>
      <c r="Q84" s="29"/>
      <c r="R84" s="29"/>
      <c r="S84" s="29"/>
      <c r="T84" s="91"/>
      <c r="U84" s="91"/>
      <c r="V84" s="76" t="str">
        <f>IF(U84="","",NETWORKDAYS(T84,U84,Parameter!$C$4:$C$51))</f>
        <v/>
      </c>
      <c r="W84" s="98"/>
      <c r="X84" s="130"/>
      <c r="Y84" s="130"/>
      <c r="Z84" s="130"/>
      <c r="AA84" s="153">
        <f>SUM(Tabelle1[[#This Row],[Plankosten 2025]:[Plankosten 2027]])</f>
        <v>0</v>
      </c>
      <c r="AB84" s="130"/>
      <c r="AC84" s="130"/>
      <c r="AD84" s="130"/>
      <c r="AE84" s="153">
        <f>SUM(Tabelle1[[#This Row],[Istkosten 2025]:[Istkosten 2027]])</f>
        <v>0</v>
      </c>
      <c r="AF84" s="87" t="e">
        <f>IF(AA84="","",Tabelle1[[#This Row],[Ist-Kosten (Gesamt)]]/Tabelle1[[#This Row],[Plankosten 25-27]])</f>
        <v>#DIV/0!</v>
      </c>
      <c r="AG84" s="34"/>
      <c r="AH84" s="29"/>
      <c r="AI84" s="154"/>
      <c r="AJ84" s="155"/>
      <c r="AK84" s="156"/>
      <c r="AL84" s="97"/>
      <c r="AM84" s="97"/>
      <c r="AN84" s="97"/>
      <c r="AO84" s="94"/>
      <c r="AP84" s="94"/>
    </row>
    <row r="85" spans="2:42" x14ac:dyDescent="0.35">
      <c r="B85" s="94"/>
      <c r="C85" s="97"/>
      <c r="D85" s="97"/>
      <c r="E85" s="80"/>
      <c r="F85" s="80"/>
      <c r="G85" s="80"/>
      <c r="H85" s="34"/>
      <c r="I85" s="29"/>
      <c r="J85" s="34"/>
      <c r="K85" s="30"/>
      <c r="L85" s="29"/>
      <c r="M85" s="29"/>
      <c r="N85" s="29"/>
      <c r="O85" s="29"/>
      <c r="P85" s="29"/>
      <c r="Q85" s="29"/>
      <c r="R85" s="29"/>
      <c r="S85" s="29"/>
      <c r="T85" s="91"/>
      <c r="U85" s="91"/>
      <c r="V85" s="76" t="str">
        <f>IF(U85="","",NETWORKDAYS(T85,U85,Parameter!$C$4:$C$51))</f>
        <v/>
      </c>
      <c r="W85" s="98"/>
      <c r="X85" s="130"/>
      <c r="Y85" s="130"/>
      <c r="Z85" s="130"/>
      <c r="AA85" s="153">
        <f>SUM(Tabelle1[[#This Row],[Plankosten 2025]:[Plankosten 2027]])</f>
        <v>0</v>
      </c>
      <c r="AB85" s="130"/>
      <c r="AC85" s="130"/>
      <c r="AD85" s="130"/>
      <c r="AE85" s="153">
        <f>SUM(Tabelle1[[#This Row],[Istkosten 2025]:[Istkosten 2027]])</f>
        <v>0</v>
      </c>
      <c r="AF85" s="87" t="e">
        <f>IF(AA85="","",Tabelle1[[#This Row],[Ist-Kosten (Gesamt)]]/Tabelle1[[#This Row],[Plankosten 25-27]])</f>
        <v>#DIV/0!</v>
      </c>
      <c r="AG85" s="34"/>
      <c r="AH85" s="29"/>
      <c r="AI85" s="154"/>
      <c r="AJ85" s="155"/>
      <c r="AK85" s="156"/>
      <c r="AL85" s="97"/>
      <c r="AM85" s="97"/>
      <c r="AN85" s="97"/>
      <c r="AO85" s="94"/>
      <c r="AP85" s="94"/>
    </row>
    <row r="86" spans="2:42" x14ac:dyDescent="0.35">
      <c r="B86" s="94"/>
      <c r="C86" s="97"/>
      <c r="D86" s="97"/>
      <c r="E86" s="80"/>
      <c r="F86" s="80"/>
      <c r="G86" s="80"/>
      <c r="H86" s="34"/>
      <c r="I86" s="29"/>
      <c r="J86" s="34"/>
      <c r="K86" s="30"/>
      <c r="L86" s="29"/>
      <c r="M86" s="29"/>
      <c r="N86" s="29"/>
      <c r="O86" s="29"/>
      <c r="P86" s="29"/>
      <c r="Q86" s="29"/>
      <c r="R86" s="29"/>
      <c r="S86" s="29"/>
      <c r="T86" s="91"/>
      <c r="U86" s="91"/>
      <c r="V86" s="76" t="str">
        <f>IF(U86="","",NETWORKDAYS(T86,U86,Parameter!$C$4:$C$51))</f>
        <v/>
      </c>
      <c r="W86" s="98"/>
      <c r="X86" s="130"/>
      <c r="Y86" s="130"/>
      <c r="Z86" s="130"/>
      <c r="AA86" s="153">
        <f>SUM(Tabelle1[[#This Row],[Plankosten 2025]:[Plankosten 2027]])</f>
        <v>0</v>
      </c>
      <c r="AB86" s="130"/>
      <c r="AC86" s="130"/>
      <c r="AD86" s="130"/>
      <c r="AE86" s="153">
        <f>SUM(Tabelle1[[#This Row],[Istkosten 2025]:[Istkosten 2027]])</f>
        <v>0</v>
      </c>
      <c r="AF86" s="87" t="e">
        <f>IF(AA86="","",Tabelle1[[#This Row],[Ist-Kosten (Gesamt)]]/Tabelle1[[#This Row],[Plankosten 25-27]])</f>
        <v>#DIV/0!</v>
      </c>
      <c r="AG86" s="34"/>
      <c r="AH86" s="29"/>
      <c r="AI86" s="154"/>
      <c r="AJ86" s="155"/>
      <c r="AK86" s="156"/>
      <c r="AL86" s="97"/>
      <c r="AM86" s="97"/>
      <c r="AN86" s="97"/>
      <c r="AO86" s="94"/>
      <c r="AP86" s="94"/>
    </row>
    <row r="87" spans="2:42" x14ac:dyDescent="0.35">
      <c r="B87" s="94"/>
      <c r="C87" s="97"/>
      <c r="D87" s="97"/>
      <c r="E87" s="80"/>
      <c r="F87" s="80"/>
      <c r="G87" s="80"/>
      <c r="H87" s="34"/>
      <c r="I87" s="29"/>
      <c r="J87" s="34"/>
      <c r="K87" s="30"/>
      <c r="L87" s="29"/>
      <c r="M87" s="29"/>
      <c r="N87" s="29"/>
      <c r="O87" s="29"/>
      <c r="P87" s="29"/>
      <c r="Q87" s="29"/>
      <c r="R87" s="29"/>
      <c r="S87" s="29"/>
      <c r="T87" s="91"/>
      <c r="U87" s="91"/>
      <c r="V87" s="76" t="str">
        <f>IF(U87="","",NETWORKDAYS(T87,U87,Parameter!$C$4:$C$51))</f>
        <v/>
      </c>
      <c r="W87" s="98"/>
      <c r="X87" s="130"/>
      <c r="Y87" s="130"/>
      <c r="Z87" s="130"/>
      <c r="AA87" s="153">
        <f>SUM(Tabelle1[[#This Row],[Plankosten 2025]:[Plankosten 2027]])</f>
        <v>0</v>
      </c>
      <c r="AB87" s="130"/>
      <c r="AC87" s="130"/>
      <c r="AD87" s="130"/>
      <c r="AE87" s="153">
        <f>SUM(Tabelle1[[#This Row],[Istkosten 2025]:[Istkosten 2027]])</f>
        <v>0</v>
      </c>
      <c r="AF87" s="87" t="e">
        <f>IF(AA87="","",Tabelle1[[#This Row],[Ist-Kosten (Gesamt)]]/Tabelle1[[#This Row],[Plankosten 25-27]])</f>
        <v>#DIV/0!</v>
      </c>
      <c r="AG87" s="34"/>
      <c r="AH87" s="29"/>
      <c r="AI87" s="154"/>
      <c r="AJ87" s="155"/>
      <c r="AK87" s="156"/>
      <c r="AL87" s="97"/>
      <c r="AM87" s="97"/>
      <c r="AN87" s="97"/>
      <c r="AO87" s="94"/>
      <c r="AP87" s="94"/>
    </row>
    <row r="88" spans="2:42" x14ac:dyDescent="0.35">
      <c r="B88" s="94"/>
      <c r="C88" s="97"/>
      <c r="D88" s="97"/>
      <c r="E88" s="80"/>
      <c r="F88" s="80"/>
      <c r="G88" s="80"/>
      <c r="H88" s="34"/>
      <c r="I88" s="29"/>
      <c r="J88" s="34"/>
      <c r="K88" s="30"/>
      <c r="L88" s="29"/>
      <c r="M88" s="29"/>
      <c r="N88" s="29"/>
      <c r="O88" s="29"/>
      <c r="P88" s="29"/>
      <c r="Q88" s="29"/>
      <c r="R88" s="29"/>
      <c r="S88" s="29"/>
      <c r="T88" s="91"/>
      <c r="U88" s="91"/>
      <c r="V88" s="76" t="str">
        <f>IF(U88="","",NETWORKDAYS(T88,U88,Parameter!$C$4:$C$51))</f>
        <v/>
      </c>
      <c r="W88" s="98"/>
      <c r="X88" s="130"/>
      <c r="Y88" s="130"/>
      <c r="Z88" s="130"/>
      <c r="AA88" s="153">
        <f>SUM(Tabelle1[[#This Row],[Plankosten 2025]:[Plankosten 2027]])</f>
        <v>0</v>
      </c>
      <c r="AB88" s="130"/>
      <c r="AC88" s="130"/>
      <c r="AD88" s="130"/>
      <c r="AE88" s="153">
        <f>SUM(Tabelle1[[#This Row],[Istkosten 2025]:[Istkosten 2027]])</f>
        <v>0</v>
      </c>
      <c r="AF88" s="87" t="e">
        <f>IF(AA88="","",Tabelle1[[#This Row],[Ist-Kosten (Gesamt)]]/Tabelle1[[#This Row],[Plankosten 25-27]])</f>
        <v>#DIV/0!</v>
      </c>
      <c r="AG88" s="34"/>
      <c r="AH88" s="29"/>
      <c r="AI88" s="154"/>
      <c r="AJ88" s="155"/>
      <c r="AK88" s="156"/>
      <c r="AL88" s="97"/>
      <c r="AM88" s="97"/>
      <c r="AN88" s="97"/>
      <c r="AO88" s="94"/>
      <c r="AP88" s="94"/>
    </row>
    <row r="89" spans="2:42" x14ac:dyDescent="0.35">
      <c r="B89" s="94"/>
      <c r="C89" s="97"/>
      <c r="D89" s="97"/>
      <c r="E89" s="80"/>
      <c r="F89" s="80"/>
      <c r="G89" s="80"/>
      <c r="H89" s="34"/>
      <c r="I89" s="29"/>
      <c r="J89" s="34"/>
      <c r="K89" s="30"/>
      <c r="L89" s="29"/>
      <c r="M89" s="29"/>
      <c r="N89" s="29"/>
      <c r="O89" s="29"/>
      <c r="P89" s="29"/>
      <c r="Q89" s="29"/>
      <c r="R89" s="29"/>
      <c r="S89" s="29"/>
      <c r="T89" s="91"/>
      <c r="U89" s="91"/>
      <c r="V89" s="76" t="str">
        <f>IF(U89="","",NETWORKDAYS(T89,U89,Parameter!$C$4:$C$51))</f>
        <v/>
      </c>
      <c r="W89" s="98"/>
      <c r="X89" s="130"/>
      <c r="Y89" s="130"/>
      <c r="Z89" s="130"/>
      <c r="AA89" s="153">
        <f>SUM(Tabelle1[[#This Row],[Plankosten 2025]:[Plankosten 2027]])</f>
        <v>0</v>
      </c>
      <c r="AB89" s="130"/>
      <c r="AC89" s="130"/>
      <c r="AD89" s="130"/>
      <c r="AE89" s="153">
        <f>SUM(Tabelle1[[#This Row],[Istkosten 2025]:[Istkosten 2027]])</f>
        <v>0</v>
      </c>
      <c r="AF89" s="87" t="e">
        <f>IF(AA89="","",Tabelle1[[#This Row],[Ist-Kosten (Gesamt)]]/Tabelle1[[#This Row],[Plankosten 25-27]])</f>
        <v>#DIV/0!</v>
      </c>
      <c r="AG89" s="34"/>
      <c r="AH89" s="29"/>
      <c r="AI89" s="154"/>
      <c r="AJ89" s="155"/>
      <c r="AK89" s="156"/>
      <c r="AL89" s="97"/>
      <c r="AM89" s="97"/>
      <c r="AN89" s="97"/>
      <c r="AO89" s="94"/>
      <c r="AP89" s="94"/>
    </row>
    <row r="90" spans="2:42" x14ac:dyDescent="0.35">
      <c r="B90" s="94"/>
      <c r="C90" s="97"/>
      <c r="D90" s="97"/>
      <c r="E90" s="80"/>
      <c r="F90" s="80"/>
      <c r="G90" s="80"/>
      <c r="H90" s="34"/>
      <c r="I90" s="29"/>
      <c r="J90" s="34"/>
      <c r="K90" s="30"/>
      <c r="L90" s="29"/>
      <c r="M90" s="29"/>
      <c r="N90" s="29"/>
      <c r="O90" s="29"/>
      <c r="P90" s="29"/>
      <c r="Q90" s="29"/>
      <c r="R90" s="29"/>
      <c r="S90" s="29"/>
      <c r="T90" s="91"/>
      <c r="U90" s="91"/>
      <c r="V90" s="76" t="str">
        <f>IF(U90="","",NETWORKDAYS(T90,U90,Parameter!$C$4:$C$51))</f>
        <v/>
      </c>
      <c r="W90" s="98"/>
      <c r="X90" s="130"/>
      <c r="Y90" s="130"/>
      <c r="Z90" s="130"/>
      <c r="AA90" s="153">
        <f>SUM(Tabelle1[[#This Row],[Plankosten 2025]:[Plankosten 2027]])</f>
        <v>0</v>
      </c>
      <c r="AB90" s="130"/>
      <c r="AC90" s="130"/>
      <c r="AD90" s="130"/>
      <c r="AE90" s="153">
        <f>SUM(Tabelle1[[#This Row],[Istkosten 2025]:[Istkosten 2027]])</f>
        <v>0</v>
      </c>
      <c r="AF90" s="87" t="e">
        <f>IF(AA90="","",Tabelle1[[#This Row],[Ist-Kosten (Gesamt)]]/Tabelle1[[#This Row],[Plankosten 25-27]])</f>
        <v>#DIV/0!</v>
      </c>
      <c r="AG90" s="34"/>
      <c r="AH90" s="29"/>
      <c r="AI90" s="154"/>
      <c r="AJ90" s="155"/>
      <c r="AK90" s="156"/>
      <c r="AL90" s="97"/>
      <c r="AM90" s="97"/>
      <c r="AN90" s="97"/>
      <c r="AO90" s="94"/>
      <c r="AP90" s="94"/>
    </row>
    <row r="91" spans="2:42" x14ac:dyDescent="0.35">
      <c r="B91" s="94"/>
      <c r="C91" s="97"/>
      <c r="D91" s="97"/>
      <c r="E91" s="80"/>
      <c r="F91" s="80"/>
      <c r="G91" s="80"/>
      <c r="H91" s="34"/>
      <c r="I91" s="29"/>
      <c r="J91" s="34"/>
      <c r="K91" s="30"/>
      <c r="L91" s="29"/>
      <c r="M91" s="29"/>
      <c r="N91" s="29"/>
      <c r="O91" s="29"/>
      <c r="P91" s="29"/>
      <c r="Q91" s="29"/>
      <c r="R91" s="29"/>
      <c r="S91" s="29"/>
      <c r="T91" s="91"/>
      <c r="U91" s="91"/>
      <c r="V91" s="76" t="str">
        <f>IF(U91="","",NETWORKDAYS(T91,U91,Parameter!$C$4:$C$51))</f>
        <v/>
      </c>
      <c r="W91" s="98"/>
      <c r="X91" s="130"/>
      <c r="Y91" s="130"/>
      <c r="Z91" s="130"/>
      <c r="AA91" s="153">
        <f>SUM(Tabelle1[[#This Row],[Plankosten 2025]:[Plankosten 2027]])</f>
        <v>0</v>
      </c>
      <c r="AB91" s="130"/>
      <c r="AC91" s="130"/>
      <c r="AD91" s="130"/>
      <c r="AE91" s="153">
        <f>SUM(Tabelle1[[#This Row],[Istkosten 2025]:[Istkosten 2027]])</f>
        <v>0</v>
      </c>
      <c r="AF91" s="87" t="e">
        <f>IF(AA91="","",Tabelle1[[#This Row],[Ist-Kosten (Gesamt)]]/Tabelle1[[#This Row],[Plankosten 25-27]])</f>
        <v>#DIV/0!</v>
      </c>
      <c r="AG91" s="34"/>
      <c r="AH91" s="29"/>
      <c r="AI91" s="154"/>
      <c r="AJ91" s="155"/>
      <c r="AK91" s="156"/>
      <c r="AL91" s="97"/>
      <c r="AM91" s="97"/>
      <c r="AN91" s="97"/>
      <c r="AO91" s="94"/>
      <c r="AP91" s="94"/>
    </row>
    <row r="92" spans="2:42" x14ac:dyDescent="0.35">
      <c r="B92" s="94"/>
      <c r="C92" s="97"/>
      <c r="D92" s="97"/>
      <c r="E92" s="80"/>
      <c r="F92" s="80"/>
      <c r="G92" s="80"/>
      <c r="H92" s="34"/>
      <c r="I92" s="29"/>
      <c r="J92" s="34"/>
      <c r="K92" s="30"/>
      <c r="L92" s="29"/>
      <c r="M92" s="29"/>
      <c r="N92" s="29"/>
      <c r="O92" s="29"/>
      <c r="P92" s="29"/>
      <c r="Q92" s="29"/>
      <c r="R92" s="29"/>
      <c r="S92" s="29"/>
      <c r="T92" s="91"/>
      <c r="U92" s="91"/>
      <c r="V92" s="76" t="str">
        <f>IF(U92="","",NETWORKDAYS(T92,U92,Parameter!$C$4:$C$51))</f>
        <v/>
      </c>
      <c r="W92" s="98"/>
      <c r="X92" s="130"/>
      <c r="Y92" s="130"/>
      <c r="Z92" s="130"/>
      <c r="AA92" s="153">
        <f>SUM(Tabelle1[[#This Row],[Plankosten 2025]:[Plankosten 2027]])</f>
        <v>0</v>
      </c>
      <c r="AB92" s="130"/>
      <c r="AC92" s="130"/>
      <c r="AD92" s="130"/>
      <c r="AE92" s="153">
        <f>SUM(Tabelle1[[#This Row],[Istkosten 2025]:[Istkosten 2027]])</f>
        <v>0</v>
      </c>
      <c r="AF92" s="87" t="e">
        <f>IF(AA92="","",Tabelle1[[#This Row],[Ist-Kosten (Gesamt)]]/Tabelle1[[#This Row],[Plankosten 25-27]])</f>
        <v>#DIV/0!</v>
      </c>
      <c r="AG92" s="34"/>
      <c r="AH92" s="29"/>
      <c r="AI92" s="154"/>
      <c r="AJ92" s="155"/>
      <c r="AK92" s="156"/>
      <c r="AL92" s="97"/>
      <c r="AM92" s="97"/>
      <c r="AN92" s="97"/>
      <c r="AO92" s="94"/>
      <c r="AP92" s="94"/>
    </row>
    <row r="93" spans="2:42" x14ac:dyDescent="0.35">
      <c r="B93" s="94"/>
      <c r="C93" s="97"/>
      <c r="D93" s="97"/>
      <c r="E93" s="80"/>
      <c r="F93" s="80"/>
      <c r="G93" s="80"/>
      <c r="H93" s="34"/>
      <c r="I93" s="29"/>
      <c r="J93" s="34"/>
      <c r="K93" s="30"/>
      <c r="L93" s="29"/>
      <c r="M93" s="29"/>
      <c r="N93" s="29"/>
      <c r="O93" s="29"/>
      <c r="P93" s="29"/>
      <c r="Q93" s="29"/>
      <c r="R93" s="29"/>
      <c r="S93" s="29"/>
      <c r="T93" s="91"/>
      <c r="U93" s="91"/>
      <c r="V93" s="76" t="str">
        <f>IF(U93="","",NETWORKDAYS(T93,U93,Parameter!$C$4:$C$51))</f>
        <v/>
      </c>
      <c r="W93" s="98"/>
      <c r="X93" s="130"/>
      <c r="Y93" s="130"/>
      <c r="Z93" s="130"/>
      <c r="AA93" s="153">
        <f>SUM(Tabelle1[[#This Row],[Plankosten 2025]:[Plankosten 2027]])</f>
        <v>0</v>
      </c>
      <c r="AB93" s="130"/>
      <c r="AC93" s="130"/>
      <c r="AD93" s="130"/>
      <c r="AE93" s="153">
        <f>SUM(Tabelle1[[#This Row],[Istkosten 2025]:[Istkosten 2027]])</f>
        <v>0</v>
      </c>
      <c r="AF93" s="87" t="e">
        <f>IF(AA93="","",Tabelle1[[#This Row],[Ist-Kosten (Gesamt)]]/Tabelle1[[#This Row],[Plankosten 25-27]])</f>
        <v>#DIV/0!</v>
      </c>
      <c r="AG93" s="34"/>
      <c r="AH93" s="29"/>
      <c r="AI93" s="154"/>
      <c r="AJ93" s="155"/>
      <c r="AK93" s="156"/>
      <c r="AL93" s="97"/>
      <c r="AM93" s="97"/>
      <c r="AN93" s="97"/>
      <c r="AO93" s="94"/>
      <c r="AP93" s="94"/>
    </row>
    <row r="94" spans="2:42" x14ac:dyDescent="0.35">
      <c r="B94" s="94"/>
      <c r="C94" s="97"/>
      <c r="D94" s="97"/>
      <c r="E94" s="80"/>
      <c r="F94" s="80"/>
      <c r="G94" s="80"/>
      <c r="H94" s="34"/>
      <c r="I94" s="29"/>
      <c r="J94" s="34"/>
      <c r="K94" s="30"/>
      <c r="L94" s="29"/>
      <c r="M94" s="29"/>
      <c r="N94" s="29"/>
      <c r="O94" s="29"/>
      <c r="P94" s="29"/>
      <c r="Q94" s="29"/>
      <c r="R94" s="29"/>
      <c r="S94" s="29"/>
      <c r="T94" s="91"/>
      <c r="U94" s="91"/>
      <c r="V94" s="76" t="str">
        <f>IF(U94="","",NETWORKDAYS(T94,U94,Parameter!$C$4:$C$51))</f>
        <v/>
      </c>
      <c r="W94" s="98"/>
      <c r="X94" s="130"/>
      <c r="Y94" s="130"/>
      <c r="Z94" s="130"/>
      <c r="AA94" s="153">
        <f>SUM(Tabelle1[[#This Row],[Plankosten 2025]:[Plankosten 2027]])</f>
        <v>0</v>
      </c>
      <c r="AB94" s="130"/>
      <c r="AC94" s="130"/>
      <c r="AD94" s="130"/>
      <c r="AE94" s="153">
        <f>SUM(Tabelle1[[#This Row],[Istkosten 2025]:[Istkosten 2027]])</f>
        <v>0</v>
      </c>
      <c r="AF94" s="87" t="e">
        <f>IF(AA94="","",Tabelle1[[#This Row],[Ist-Kosten (Gesamt)]]/Tabelle1[[#This Row],[Plankosten 25-27]])</f>
        <v>#DIV/0!</v>
      </c>
      <c r="AG94" s="34"/>
      <c r="AH94" s="29"/>
      <c r="AI94" s="154"/>
      <c r="AJ94" s="155"/>
      <c r="AK94" s="156"/>
      <c r="AL94" s="97"/>
      <c r="AM94" s="97"/>
      <c r="AN94" s="97"/>
      <c r="AO94" s="94"/>
      <c r="AP94" s="94"/>
    </row>
    <row r="95" spans="2:42" x14ac:dyDescent="0.35">
      <c r="B95" s="94"/>
      <c r="C95" s="97"/>
      <c r="D95" s="97"/>
      <c r="E95" s="80"/>
      <c r="F95" s="80"/>
      <c r="G95" s="80"/>
      <c r="H95" s="34"/>
      <c r="I95" s="29"/>
      <c r="J95" s="34"/>
      <c r="K95" s="30"/>
      <c r="L95" s="29"/>
      <c r="M95" s="29"/>
      <c r="N95" s="29"/>
      <c r="O95" s="29"/>
      <c r="P95" s="29"/>
      <c r="Q95" s="29"/>
      <c r="R95" s="29"/>
      <c r="S95" s="29"/>
      <c r="T95" s="91"/>
      <c r="U95" s="91"/>
      <c r="V95" s="76" t="str">
        <f>IF(U95="","",NETWORKDAYS(T95,U95,Parameter!$C$4:$C$51))</f>
        <v/>
      </c>
      <c r="W95" s="98"/>
      <c r="X95" s="130"/>
      <c r="Y95" s="130"/>
      <c r="Z95" s="130"/>
      <c r="AA95" s="153">
        <f>SUM(Tabelle1[[#This Row],[Plankosten 2025]:[Plankosten 2027]])</f>
        <v>0</v>
      </c>
      <c r="AB95" s="130"/>
      <c r="AC95" s="130"/>
      <c r="AD95" s="130"/>
      <c r="AE95" s="153">
        <f>SUM(Tabelle1[[#This Row],[Istkosten 2025]:[Istkosten 2027]])</f>
        <v>0</v>
      </c>
      <c r="AF95" s="87" t="e">
        <f>IF(AA95="","",Tabelle1[[#This Row],[Ist-Kosten (Gesamt)]]/Tabelle1[[#This Row],[Plankosten 25-27]])</f>
        <v>#DIV/0!</v>
      </c>
      <c r="AG95" s="34"/>
      <c r="AH95" s="29"/>
      <c r="AI95" s="154"/>
      <c r="AJ95" s="155"/>
      <c r="AK95" s="156"/>
      <c r="AL95" s="97"/>
      <c r="AM95" s="97"/>
      <c r="AN95" s="97"/>
      <c r="AO95" s="94"/>
      <c r="AP95" s="94"/>
    </row>
    <row r="96" spans="2:42" x14ac:dyDescent="0.35">
      <c r="B96" s="94"/>
      <c r="C96" s="97"/>
      <c r="D96" s="97"/>
      <c r="E96" s="80"/>
      <c r="F96" s="80"/>
      <c r="G96" s="80"/>
      <c r="H96" s="34"/>
      <c r="I96" s="29"/>
      <c r="J96" s="34"/>
      <c r="K96" s="30"/>
      <c r="L96" s="29"/>
      <c r="M96" s="29"/>
      <c r="N96" s="29"/>
      <c r="O96" s="29"/>
      <c r="P96" s="29"/>
      <c r="Q96" s="29"/>
      <c r="R96" s="29"/>
      <c r="S96" s="29"/>
      <c r="T96" s="91"/>
      <c r="U96" s="91"/>
      <c r="V96" s="76" t="str">
        <f>IF(U96="","",NETWORKDAYS(T96,U96,Parameter!$C$4:$C$51))</f>
        <v/>
      </c>
      <c r="W96" s="98"/>
      <c r="X96" s="130"/>
      <c r="Y96" s="130"/>
      <c r="Z96" s="130"/>
      <c r="AA96" s="153">
        <f>SUM(Tabelle1[[#This Row],[Plankosten 2025]:[Plankosten 2027]])</f>
        <v>0</v>
      </c>
      <c r="AB96" s="130"/>
      <c r="AC96" s="130"/>
      <c r="AD96" s="130"/>
      <c r="AE96" s="153">
        <f>SUM(Tabelle1[[#This Row],[Istkosten 2025]:[Istkosten 2027]])</f>
        <v>0</v>
      </c>
      <c r="AF96" s="87" t="e">
        <f>IF(AA96="","",Tabelle1[[#This Row],[Ist-Kosten (Gesamt)]]/Tabelle1[[#This Row],[Plankosten 25-27]])</f>
        <v>#DIV/0!</v>
      </c>
      <c r="AG96" s="34"/>
      <c r="AH96" s="29"/>
      <c r="AI96" s="154"/>
      <c r="AJ96" s="155"/>
      <c r="AK96" s="156"/>
      <c r="AL96" s="97"/>
      <c r="AM96" s="97"/>
      <c r="AN96" s="97"/>
      <c r="AO96" s="94"/>
      <c r="AP96" s="94"/>
    </row>
    <row r="97" spans="2:42" x14ac:dyDescent="0.35">
      <c r="B97" s="94"/>
      <c r="C97" s="97"/>
      <c r="D97" s="97"/>
      <c r="E97" s="80"/>
      <c r="F97" s="80"/>
      <c r="G97" s="80"/>
      <c r="H97" s="34"/>
      <c r="I97" s="29"/>
      <c r="J97" s="34"/>
      <c r="K97" s="30"/>
      <c r="L97" s="29"/>
      <c r="M97" s="29"/>
      <c r="N97" s="29"/>
      <c r="O97" s="29"/>
      <c r="P97" s="29"/>
      <c r="Q97" s="29"/>
      <c r="R97" s="29"/>
      <c r="S97" s="29"/>
      <c r="T97" s="91"/>
      <c r="U97" s="91"/>
      <c r="V97" s="76" t="str">
        <f>IF(U97="","",NETWORKDAYS(T97,U97,Parameter!$C$4:$C$51))</f>
        <v/>
      </c>
      <c r="W97" s="98"/>
      <c r="X97" s="130"/>
      <c r="Y97" s="130"/>
      <c r="Z97" s="130"/>
      <c r="AA97" s="153">
        <f>SUM(Tabelle1[[#This Row],[Plankosten 2025]:[Plankosten 2027]])</f>
        <v>0</v>
      </c>
      <c r="AB97" s="130"/>
      <c r="AC97" s="130"/>
      <c r="AD97" s="130"/>
      <c r="AE97" s="153">
        <f>SUM(Tabelle1[[#This Row],[Istkosten 2025]:[Istkosten 2027]])</f>
        <v>0</v>
      </c>
      <c r="AF97" s="87" t="e">
        <f>IF(AA97="","",Tabelle1[[#This Row],[Ist-Kosten (Gesamt)]]/Tabelle1[[#This Row],[Plankosten 25-27]])</f>
        <v>#DIV/0!</v>
      </c>
      <c r="AG97" s="34"/>
      <c r="AH97" s="29"/>
      <c r="AI97" s="154"/>
      <c r="AJ97" s="155"/>
      <c r="AK97" s="156"/>
      <c r="AL97" s="97"/>
      <c r="AM97" s="97"/>
      <c r="AN97" s="97"/>
      <c r="AO97" s="94"/>
      <c r="AP97" s="94"/>
    </row>
    <row r="98" spans="2:42" x14ac:dyDescent="0.35">
      <c r="B98" s="94"/>
      <c r="C98" s="97"/>
      <c r="D98" s="97"/>
      <c r="E98" s="80"/>
      <c r="F98" s="80"/>
      <c r="G98" s="80"/>
      <c r="H98" s="34"/>
      <c r="I98" s="29"/>
      <c r="J98" s="34"/>
      <c r="K98" s="30"/>
      <c r="L98" s="29"/>
      <c r="M98" s="29"/>
      <c r="N98" s="29"/>
      <c r="O98" s="29"/>
      <c r="P98" s="29"/>
      <c r="Q98" s="29"/>
      <c r="R98" s="29"/>
      <c r="S98" s="29"/>
      <c r="T98" s="91"/>
      <c r="U98" s="91"/>
      <c r="V98" s="76" t="str">
        <f>IF(U98="","",NETWORKDAYS(T98,U98,Parameter!$C$4:$C$51))</f>
        <v/>
      </c>
      <c r="W98" s="98"/>
      <c r="X98" s="130"/>
      <c r="Y98" s="130"/>
      <c r="Z98" s="130"/>
      <c r="AA98" s="153">
        <f>SUM(Tabelle1[[#This Row],[Plankosten 2025]:[Plankosten 2027]])</f>
        <v>0</v>
      </c>
      <c r="AB98" s="130"/>
      <c r="AC98" s="130"/>
      <c r="AD98" s="130"/>
      <c r="AE98" s="153">
        <f>SUM(Tabelle1[[#This Row],[Istkosten 2025]:[Istkosten 2027]])</f>
        <v>0</v>
      </c>
      <c r="AF98" s="87" t="e">
        <f>IF(AA98="","",Tabelle1[[#This Row],[Ist-Kosten (Gesamt)]]/Tabelle1[[#This Row],[Plankosten 25-27]])</f>
        <v>#DIV/0!</v>
      </c>
      <c r="AG98" s="34"/>
      <c r="AH98" s="29"/>
      <c r="AI98" s="154"/>
      <c r="AJ98" s="155"/>
      <c r="AK98" s="156"/>
      <c r="AL98" s="97"/>
      <c r="AM98" s="97"/>
      <c r="AN98" s="97"/>
      <c r="AO98" s="94"/>
      <c r="AP98" s="94"/>
    </row>
    <row r="99" spans="2:42" x14ac:dyDescent="0.35">
      <c r="B99" s="94"/>
      <c r="C99" s="97"/>
      <c r="D99" s="97"/>
      <c r="E99" s="80"/>
      <c r="F99" s="80"/>
      <c r="G99" s="80"/>
      <c r="H99" s="34"/>
      <c r="I99" s="29"/>
      <c r="J99" s="34"/>
      <c r="K99" s="30"/>
      <c r="L99" s="29"/>
      <c r="M99" s="29"/>
      <c r="N99" s="29"/>
      <c r="O99" s="29"/>
      <c r="P99" s="29"/>
      <c r="Q99" s="29"/>
      <c r="R99" s="29"/>
      <c r="S99" s="29"/>
      <c r="T99" s="91"/>
      <c r="U99" s="91"/>
      <c r="V99" s="76" t="str">
        <f>IF(U99="","",NETWORKDAYS(T99,U99,Parameter!$C$4:$C$51))</f>
        <v/>
      </c>
      <c r="W99" s="98"/>
      <c r="X99" s="130"/>
      <c r="Y99" s="130"/>
      <c r="Z99" s="130"/>
      <c r="AA99" s="153">
        <f>SUM(Tabelle1[[#This Row],[Plankosten 2025]:[Plankosten 2027]])</f>
        <v>0</v>
      </c>
      <c r="AB99" s="130"/>
      <c r="AC99" s="130"/>
      <c r="AD99" s="130"/>
      <c r="AE99" s="153">
        <f>SUM(Tabelle1[[#This Row],[Istkosten 2025]:[Istkosten 2027]])</f>
        <v>0</v>
      </c>
      <c r="AF99" s="87" t="e">
        <f>IF(AA99="","",Tabelle1[[#This Row],[Ist-Kosten (Gesamt)]]/Tabelle1[[#This Row],[Plankosten 25-27]])</f>
        <v>#DIV/0!</v>
      </c>
      <c r="AG99" s="34"/>
      <c r="AH99" s="29"/>
      <c r="AI99" s="154"/>
      <c r="AJ99" s="155"/>
      <c r="AK99" s="156"/>
      <c r="AL99" s="97"/>
      <c r="AM99" s="97"/>
      <c r="AN99" s="97"/>
      <c r="AO99" s="94"/>
      <c r="AP99" s="94"/>
    </row>
    <row r="100" spans="2:42" x14ac:dyDescent="0.35">
      <c r="B100" s="94"/>
      <c r="C100" s="97"/>
      <c r="D100" s="97"/>
      <c r="E100" s="80"/>
      <c r="F100" s="80"/>
      <c r="G100" s="80"/>
      <c r="H100" s="34"/>
      <c r="I100" s="29"/>
      <c r="J100" s="34"/>
      <c r="K100" s="30"/>
      <c r="L100" s="29"/>
      <c r="M100" s="29"/>
      <c r="N100" s="29"/>
      <c r="O100" s="29"/>
      <c r="P100" s="29"/>
      <c r="Q100" s="29"/>
      <c r="R100" s="29"/>
      <c r="S100" s="29"/>
      <c r="T100" s="91"/>
      <c r="U100" s="91"/>
      <c r="V100" s="76" t="str">
        <f>IF(U100="","",NETWORKDAYS(T100,U100,Parameter!$C$4:$C$51))</f>
        <v/>
      </c>
      <c r="W100" s="98"/>
      <c r="X100" s="130"/>
      <c r="Y100" s="130"/>
      <c r="Z100" s="130"/>
      <c r="AA100" s="153">
        <f>SUM(Tabelle1[[#This Row],[Plankosten 2025]:[Plankosten 2027]])</f>
        <v>0</v>
      </c>
      <c r="AB100" s="130"/>
      <c r="AC100" s="130"/>
      <c r="AD100" s="130"/>
      <c r="AE100" s="153">
        <f>SUM(Tabelle1[[#This Row],[Istkosten 2025]:[Istkosten 2027]])</f>
        <v>0</v>
      </c>
      <c r="AF100" s="87" t="e">
        <f>IF(AA100="","",Tabelle1[[#This Row],[Ist-Kosten (Gesamt)]]/Tabelle1[[#This Row],[Plankosten 25-27]])</f>
        <v>#DIV/0!</v>
      </c>
      <c r="AG100" s="34"/>
      <c r="AH100" s="29"/>
      <c r="AI100" s="154"/>
      <c r="AJ100" s="155"/>
      <c r="AK100" s="156"/>
      <c r="AL100" s="97"/>
      <c r="AM100" s="97"/>
      <c r="AN100" s="97"/>
      <c r="AO100" s="94"/>
      <c r="AP100" s="94"/>
    </row>
    <row r="101" spans="2:42" x14ac:dyDescent="0.35">
      <c r="B101" s="94"/>
      <c r="C101" s="97"/>
      <c r="D101" s="97"/>
      <c r="E101" s="80"/>
      <c r="F101" s="80"/>
      <c r="G101" s="80"/>
      <c r="H101" s="34"/>
      <c r="I101" s="29"/>
      <c r="J101" s="34"/>
      <c r="K101" s="30"/>
      <c r="L101" s="29"/>
      <c r="M101" s="29"/>
      <c r="N101" s="29"/>
      <c r="O101" s="29"/>
      <c r="P101" s="29"/>
      <c r="Q101" s="29"/>
      <c r="R101" s="29"/>
      <c r="S101" s="29"/>
      <c r="T101" s="91"/>
      <c r="U101" s="91"/>
      <c r="V101" s="76" t="str">
        <f>IF(U101="","",NETWORKDAYS(T101,U101,Parameter!$C$4:$C$51))</f>
        <v/>
      </c>
      <c r="W101" s="98"/>
      <c r="X101" s="130"/>
      <c r="Y101" s="130"/>
      <c r="Z101" s="130"/>
      <c r="AA101" s="153">
        <f>SUM(Tabelle1[[#This Row],[Plankosten 2025]:[Plankosten 2027]])</f>
        <v>0</v>
      </c>
      <c r="AB101" s="130"/>
      <c r="AC101" s="130"/>
      <c r="AD101" s="130"/>
      <c r="AE101" s="153">
        <f>SUM(Tabelle1[[#This Row],[Istkosten 2025]:[Istkosten 2027]])</f>
        <v>0</v>
      </c>
      <c r="AF101" s="87" t="e">
        <f>IF(AA101="","",Tabelle1[[#This Row],[Ist-Kosten (Gesamt)]]/Tabelle1[[#This Row],[Plankosten 25-27]])</f>
        <v>#DIV/0!</v>
      </c>
      <c r="AG101" s="34"/>
      <c r="AH101" s="29"/>
      <c r="AI101" s="154"/>
      <c r="AJ101" s="155"/>
      <c r="AK101" s="156"/>
      <c r="AL101" s="97"/>
      <c r="AM101" s="97"/>
      <c r="AN101" s="97"/>
      <c r="AO101" s="94"/>
      <c r="AP101" s="94"/>
    </row>
    <row r="102" spans="2:42" x14ac:dyDescent="0.35">
      <c r="B102" s="94"/>
      <c r="C102" s="97"/>
      <c r="D102" s="97"/>
      <c r="E102" s="80"/>
      <c r="F102" s="80"/>
      <c r="G102" s="80"/>
      <c r="H102" s="34"/>
      <c r="I102" s="29"/>
      <c r="J102" s="34"/>
      <c r="K102" s="30"/>
      <c r="L102" s="29"/>
      <c r="M102" s="29"/>
      <c r="N102" s="29"/>
      <c r="O102" s="29"/>
      <c r="P102" s="29"/>
      <c r="Q102" s="29"/>
      <c r="R102" s="29"/>
      <c r="S102" s="29"/>
      <c r="T102" s="91"/>
      <c r="U102" s="91"/>
      <c r="V102" s="76" t="str">
        <f>IF(U102="","",NETWORKDAYS(T102,U102,Parameter!$C$4:$C$51))</f>
        <v/>
      </c>
      <c r="W102" s="98"/>
      <c r="X102" s="130"/>
      <c r="Y102" s="130"/>
      <c r="Z102" s="130"/>
      <c r="AA102" s="153">
        <f>SUM(Tabelle1[[#This Row],[Plankosten 2025]:[Plankosten 2027]])</f>
        <v>0</v>
      </c>
      <c r="AB102" s="130"/>
      <c r="AC102" s="130"/>
      <c r="AD102" s="130"/>
      <c r="AE102" s="153">
        <f>SUM(Tabelle1[[#This Row],[Istkosten 2025]:[Istkosten 2027]])</f>
        <v>0</v>
      </c>
      <c r="AF102" s="87" t="e">
        <f>IF(AA102="","",Tabelle1[[#This Row],[Ist-Kosten (Gesamt)]]/Tabelle1[[#This Row],[Plankosten 25-27]])</f>
        <v>#DIV/0!</v>
      </c>
      <c r="AG102" s="34"/>
      <c r="AH102" s="29"/>
      <c r="AI102" s="154"/>
      <c r="AJ102" s="155"/>
      <c r="AK102" s="156"/>
      <c r="AL102" s="97"/>
      <c r="AM102" s="97"/>
      <c r="AN102" s="97"/>
      <c r="AO102" s="94"/>
      <c r="AP102" s="94"/>
    </row>
    <row r="103" spans="2:42" x14ac:dyDescent="0.35">
      <c r="B103" s="94"/>
      <c r="C103" s="97"/>
      <c r="D103" s="97"/>
      <c r="E103" s="80"/>
      <c r="F103" s="80"/>
      <c r="G103" s="80"/>
      <c r="H103" s="34"/>
      <c r="I103" s="29"/>
      <c r="J103" s="34"/>
      <c r="K103" s="30"/>
      <c r="L103" s="29"/>
      <c r="M103" s="29"/>
      <c r="N103" s="29"/>
      <c r="O103" s="29"/>
      <c r="P103" s="29"/>
      <c r="Q103" s="29"/>
      <c r="R103" s="29"/>
      <c r="S103" s="29"/>
      <c r="T103" s="91"/>
      <c r="U103" s="91"/>
      <c r="V103" s="76" t="str">
        <f>IF(U103="","",NETWORKDAYS(T103,U103,Parameter!$C$4:$C$51))</f>
        <v/>
      </c>
      <c r="W103" s="98"/>
      <c r="X103" s="130"/>
      <c r="Y103" s="130"/>
      <c r="Z103" s="130"/>
      <c r="AA103" s="153">
        <f>SUM(Tabelle1[[#This Row],[Plankosten 2025]:[Plankosten 2027]])</f>
        <v>0</v>
      </c>
      <c r="AB103" s="130"/>
      <c r="AC103" s="130"/>
      <c r="AD103" s="130"/>
      <c r="AE103" s="153">
        <f>SUM(Tabelle1[[#This Row],[Istkosten 2025]:[Istkosten 2027]])</f>
        <v>0</v>
      </c>
      <c r="AF103" s="87" t="e">
        <f>IF(AA103="","",Tabelle1[[#This Row],[Ist-Kosten (Gesamt)]]/Tabelle1[[#This Row],[Plankosten 25-27]])</f>
        <v>#DIV/0!</v>
      </c>
      <c r="AG103" s="34"/>
      <c r="AH103" s="29"/>
      <c r="AI103" s="154"/>
      <c r="AJ103" s="155"/>
      <c r="AK103" s="156"/>
      <c r="AL103" s="97"/>
      <c r="AM103" s="97"/>
      <c r="AN103" s="97"/>
      <c r="AO103" s="94"/>
      <c r="AP103" s="94"/>
    </row>
    <row r="104" spans="2:42" x14ac:dyDescent="0.35">
      <c r="B104" s="94"/>
      <c r="C104" s="97"/>
      <c r="D104" s="97"/>
      <c r="E104" s="80"/>
      <c r="F104" s="80"/>
      <c r="G104" s="80"/>
      <c r="H104" s="34"/>
      <c r="I104" s="29"/>
      <c r="J104" s="34"/>
      <c r="K104" s="30"/>
      <c r="L104" s="29"/>
      <c r="M104" s="29"/>
      <c r="N104" s="29"/>
      <c r="O104" s="29"/>
      <c r="P104" s="29"/>
      <c r="Q104" s="29"/>
      <c r="R104" s="29"/>
      <c r="S104" s="29"/>
      <c r="T104" s="91"/>
      <c r="U104" s="91"/>
      <c r="V104" s="76" t="str">
        <f>IF(U104="","",NETWORKDAYS(T104,U104,Parameter!$C$4:$C$51))</f>
        <v/>
      </c>
      <c r="W104" s="98"/>
      <c r="X104" s="130"/>
      <c r="Y104" s="130"/>
      <c r="Z104" s="130"/>
      <c r="AA104" s="153">
        <f>SUM(Tabelle1[[#This Row],[Plankosten 2025]:[Plankosten 2027]])</f>
        <v>0</v>
      </c>
      <c r="AB104" s="130"/>
      <c r="AC104" s="130"/>
      <c r="AD104" s="130"/>
      <c r="AE104" s="153">
        <f>SUM(Tabelle1[[#This Row],[Istkosten 2025]:[Istkosten 2027]])</f>
        <v>0</v>
      </c>
      <c r="AF104" s="87" t="e">
        <f>IF(AA104="","",Tabelle1[[#This Row],[Ist-Kosten (Gesamt)]]/Tabelle1[[#This Row],[Plankosten 25-27]])</f>
        <v>#DIV/0!</v>
      </c>
      <c r="AG104" s="34"/>
      <c r="AH104" s="29"/>
      <c r="AI104" s="154"/>
      <c r="AJ104" s="155"/>
      <c r="AK104" s="156"/>
      <c r="AL104" s="97"/>
      <c r="AM104" s="97"/>
      <c r="AN104" s="97"/>
      <c r="AO104" s="94"/>
      <c r="AP104" s="94"/>
    </row>
    <row r="105" spans="2:42" x14ac:dyDescent="0.35">
      <c r="B105" s="94"/>
      <c r="C105" s="97"/>
      <c r="D105" s="97"/>
      <c r="E105" s="80"/>
      <c r="F105" s="80"/>
      <c r="G105" s="80"/>
      <c r="H105" s="34"/>
      <c r="I105" s="29"/>
      <c r="J105" s="34"/>
      <c r="K105" s="30"/>
      <c r="L105" s="29"/>
      <c r="M105" s="29"/>
      <c r="N105" s="29"/>
      <c r="O105" s="29"/>
      <c r="P105" s="29"/>
      <c r="Q105" s="29"/>
      <c r="R105" s="29"/>
      <c r="S105" s="29"/>
      <c r="T105" s="91"/>
      <c r="U105" s="91"/>
      <c r="V105" s="76" t="str">
        <f>IF(U105="","",NETWORKDAYS(T105,U105,Parameter!$C$4:$C$51))</f>
        <v/>
      </c>
      <c r="W105" s="98"/>
      <c r="X105" s="130"/>
      <c r="Y105" s="130"/>
      <c r="Z105" s="130"/>
      <c r="AA105" s="153">
        <f>SUM(Tabelle1[[#This Row],[Plankosten 2025]:[Plankosten 2027]])</f>
        <v>0</v>
      </c>
      <c r="AB105" s="130"/>
      <c r="AC105" s="130"/>
      <c r="AD105" s="130"/>
      <c r="AE105" s="153">
        <f>SUM(Tabelle1[[#This Row],[Istkosten 2025]:[Istkosten 2027]])</f>
        <v>0</v>
      </c>
      <c r="AF105" s="87" t="e">
        <f>IF(AA105="","",Tabelle1[[#This Row],[Ist-Kosten (Gesamt)]]/Tabelle1[[#This Row],[Plankosten 25-27]])</f>
        <v>#DIV/0!</v>
      </c>
      <c r="AG105" s="34"/>
      <c r="AH105" s="29"/>
      <c r="AI105" s="154"/>
      <c r="AJ105" s="155"/>
      <c r="AK105" s="156"/>
      <c r="AL105" s="97"/>
      <c r="AM105" s="97"/>
      <c r="AN105" s="97"/>
      <c r="AO105" s="94"/>
      <c r="AP105" s="94"/>
    </row>
    <row r="106" spans="2:42" x14ac:dyDescent="0.35">
      <c r="B106" s="94"/>
      <c r="C106" s="97"/>
      <c r="D106" s="97"/>
      <c r="E106" s="80"/>
      <c r="F106" s="80"/>
      <c r="G106" s="80"/>
      <c r="H106" s="34"/>
      <c r="I106" s="29"/>
      <c r="J106" s="34"/>
      <c r="K106" s="30"/>
      <c r="L106" s="29"/>
      <c r="M106" s="29"/>
      <c r="N106" s="29"/>
      <c r="O106" s="29"/>
      <c r="P106" s="29"/>
      <c r="Q106" s="29"/>
      <c r="R106" s="29"/>
      <c r="S106" s="29"/>
      <c r="T106" s="91"/>
      <c r="U106" s="91"/>
      <c r="V106" s="76" t="str">
        <f>IF(U106="","",NETWORKDAYS(T106,U106,Parameter!$C$4:$C$51))</f>
        <v/>
      </c>
      <c r="W106" s="98"/>
      <c r="X106" s="130"/>
      <c r="Y106" s="130"/>
      <c r="Z106" s="130"/>
      <c r="AA106" s="153">
        <f>SUM(Tabelle1[[#This Row],[Plankosten 2025]:[Plankosten 2027]])</f>
        <v>0</v>
      </c>
      <c r="AB106" s="130"/>
      <c r="AC106" s="130"/>
      <c r="AD106" s="130"/>
      <c r="AE106" s="153">
        <f>SUM(Tabelle1[[#This Row],[Istkosten 2025]:[Istkosten 2027]])</f>
        <v>0</v>
      </c>
      <c r="AF106" s="87" t="e">
        <f>IF(AA106="","",Tabelle1[[#This Row],[Ist-Kosten (Gesamt)]]/Tabelle1[[#This Row],[Plankosten 25-27]])</f>
        <v>#DIV/0!</v>
      </c>
      <c r="AG106" s="34"/>
      <c r="AH106" s="29"/>
      <c r="AI106" s="154"/>
      <c r="AJ106" s="155"/>
      <c r="AK106" s="156"/>
      <c r="AL106" s="97"/>
      <c r="AM106" s="97"/>
      <c r="AN106" s="97"/>
      <c r="AO106" s="94"/>
      <c r="AP106" s="94"/>
    </row>
    <row r="107" spans="2:42" x14ac:dyDescent="0.35">
      <c r="B107" s="94"/>
      <c r="C107" s="97"/>
      <c r="D107" s="97"/>
      <c r="E107" s="80"/>
      <c r="F107" s="80"/>
      <c r="G107" s="80"/>
      <c r="H107" s="34"/>
      <c r="I107" s="29"/>
      <c r="J107" s="34"/>
      <c r="K107" s="30"/>
      <c r="L107" s="29"/>
      <c r="M107" s="29"/>
      <c r="N107" s="29"/>
      <c r="O107" s="29"/>
      <c r="P107" s="29"/>
      <c r="Q107" s="29"/>
      <c r="R107" s="29"/>
      <c r="S107" s="29"/>
      <c r="T107" s="91"/>
      <c r="U107" s="91"/>
      <c r="V107" s="76" t="str">
        <f>IF(U107="","",NETWORKDAYS(T107,U107,Parameter!$C$4:$C$51))</f>
        <v/>
      </c>
      <c r="W107" s="98"/>
      <c r="X107" s="130"/>
      <c r="Y107" s="130"/>
      <c r="Z107" s="130"/>
      <c r="AA107" s="153">
        <f>SUM(Tabelle1[[#This Row],[Plankosten 2025]:[Plankosten 2027]])</f>
        <v>0</v>
      </c>
      <c r="AB107" s="130"/>
      <c r="AC107" s="130"/>
      <c r="AD107" s="130"/>
      <c r="AE107" s="153">
        <f>SUM(Tabelle1[[#This Row],[Istkosten 2025]:[Istkosten 2027]])</f>
        <v>0</v>
      </c>
      <c r="AF107" s="87" t="e">
        <f>IF(AA107="","",Tabelle1[[#This Row],[Ist-Kosten (Gesamt)]]/Tabelle1[[#This Row],[Plankosten 25-27]])</f>
        <v>#DIV/0!</v>
      </c>
      <c r="AG107" s="34"/>
      <c r="AH107" s="29"/>
      <c r="AI107" s="154"/>
      <c r="AJ107" s="155"/>
      <c r="AK107" s="156"/>
      <c r="AL107" s="97"/>
      <c r="AM107" s="97"/>
      <c r="AN107" s="97"/>
      <c r="AO107" s="94"/>
      <c r="AP107" s="94"/>
    </row>
    <row r="108" spans="2:42" x14ac:dyDescent="0.35">
      <c r="B108" s="94"/>
      <c r="C108" s="97"/>
      <c r="D108" s="97"/>
      <c r="E108" s="80"/>
      <c r="F108" s="80"/>
      <c r="G108" s="80"/>
      <c r="H108" s="34"/>
      <c r="I108" s="29"/>
      <c r="J108" s="34"/>
      <c r="K108" s="30"/>
      <c r="L108" s="29"/>
      <c r="M108" s="29"/>
      <c r="N108" s="29"/>
      <c r="O108" s="29"/>
      <c r="P108" s="29"/>
      <c r="Q108" s="29"/>
      <c r="R108" s="29"/>
      <c r="S108" s="29"/>
      <c r="T108" s="91"/>
      <c r="U108" s="91"/>
      <c r="V108" s="76" t="str">
        <f>IF(U108="","",NETWORKDAYS(T108,U108,Parameter!$C$4:$C$51))</f>
        <v/>
      </c>
      <c r="W108" s="98"/>
      <c r="X108" s="130"/>
      <c r="Y108" s="130"/>
      <c r="Z108" s="130"/>
      <c r="AA108" s="153">
        <f>SUM(Tabelle1[[#This Row],[Plankosten 2025]:[Plankosten 2027]])</f>
        <v>0</v>
      </c>
      <c r="AB108" s="130"/>
      <c r="AC108" s="130"/>
      <c r="AD108" s="130"/>
      <c r="AE108" s="153">
        <f>SUM(Tabelle1[[#This Row],[Istkosten 2025]:[Istkosten 2027]])</f>
        <v>0</v>
      </c>
      <c r="AF108" s="87" t="e">
        <f>IF(AA108="","",Tabelle1[[#This Row],[Ist-Kosten (Gesamt)]]/Tabelle1[[#This Row],[Plankosten 25-27]])</f>
        <v>#DIV/0!</v>
      </c>
      <c r="AG108" s="34"/>
      <c r="AH108" s="29"/>
      <c r="AI108" s="154"/>
      <c r="AJ108" s="155"/>
      <c r="AK108" s="156"/>
      <c r="AL108" s="97"/>
      <c r="AM108" s="97"/>
      <c r="AN108" s="97"/>
      <c r="AO108" s="94"/>
      <c r="AP108" s="94"/>
    </row>
    <row r="109" spans="2:42" x14ac:dyDescent="0.35">
      <c r="B109" s="94"/>
      <c r="C109" s="97"/>
      <c r="D109" s="97"/>
      <c r="E109" s="80"/>
      <c r="F109" s="80"/>
      <c r="G109" s="80"/>
      <c r="H109" s="34"/>
      <c r="I109" s="29"/>
      <c r="J109" s="34"/>
      <c r="K109" s="30"/>
      <c r="L109" s="29"/>
      <c r="M109" s="29"/>
      <c r="N109" s="29"/>
      <c r="O109" s="29"/>
      <c r="P109" s="29"/>
      <c r="Q109" s="29"/>
      <c r="R109" s="29"/>
      <c r="S109" s="29"/>
      <c r="T109" s="91"/>
      <c r="U109" s="91"/>
      <c r="V109" s="76" t="str">
        <f>IF(U109="","",NETWORKDAYS(T109,U109,Parameter!$C$4:$C$51))</f>
        <v/>
      </c>
      <c r="W109" s="98"/>
      <c r="X109" s="130"/>
      <c r="Y109" s="130"/>
      <c r="Z109" s="130"/>
      <c r="AA109" s="153">
        <f>SUM(Tabelle1[[#This Row],[Plankosten 2025]:[Plankosten 2027]])</f>
        <v>0</v>
      </c>
      <c r="AB109" s="130"/>
      <c r="AC109" s="130"/>
      <c r="AD109" s="130"/>
      <c r="AE109" s="153">
        <f>SUM(Tabelle1[[#This Row],[Istkosten 2025]:[Istkosten 2027]])</f>
        <v>0</v>
      </c>
      <c r="AF109" s="87" t="e">
        <f>IF(AA109="","",Tabelle1[[#This Row],[Ist-Kosten (Gesamt)]]/Tabelle1[[#This Row],[Plankosten 25-27]])</f>
        <v>#DIV/0!</v>
      </c>
      <c r="AG109" s="34"/>
      <c r="AH109" s="29"/>
      <c r="AI109" s="154"/>
      <c r="AJ109" s="155"/>
      <c r="AK109" s="156"/>
      <c r="AL109" s="97"/>
      <c r="AM109" s="97"/>
      <c r="AN109" s="97"/>
      <c r="AO109" s="94"/>
      <c r="AP109" s="94"/>
    </row>
    <row r="110" spans="2:42" x14ac:dyDescent="0.35">
      <c r="B110" s="94"/>
      <c r="C110" s="97"/>
      <c r="D110" s="97"/>
      <c r="E110" s="80"/>
      <c r="F110" s="80"/>
      <c r="G110" s="80"/>
      <c r="H110" s="34"/>
      <c r="I110" s="29"/>
      <c r="J110" s="34"/>
      <c r="K110" s="30"/>
      <c r="L110" s="29"/>
      <c r="M110" s="29"/>
      <c r="N110" s="29"/>
      <c r="O110" s="29"/>
      <c r="P110" s="29"/>
      <c r="Q110" s="29"/>
      <c r="R110" s="29"/>
      <c r="S110" s="29"/>
      <c r="T110" s="91"/>
      <c r="U110" s="91"/>
      <c r="V110" s="76" t="str">
        <f>IF(U110="","",NETWORKDAYS(T110,U110,Parameter!$C$4:$C$51))</f>
        <v/>
      </c>
      <c r="W110" s="98"/>
      <c r="X110" s="130"/>
      <c r="Y110" s="130"/>
      <c r="Z110" s="130"/>
      <c r="AA110" s="153">
        <f>SUM(Tabelle1[[#This Row],[Plankosten 2025]:[Plankosten 2027]])</f>
        <v>0</v>
      </c>
      <c r="AB110" s="130"/>
      <c r="AC110" s="130"/>
      <c r="AD110" s="130"/>
      <c r="AE110" s="153">
        <f>SUM(Tabelle1[[#This Row],[Istkosten 2025]:[Istkosten 2027]])</f>
        <v>0</v>
      </c>
      <c r="AF110" s="87" t="e">
        <f>IF(AA110="","",Tabelle1[[#This Row],[Ist-Kosten (Gesamt)]]/Tabelle1[[#This Row],[Plankosten 25-27]])</f>
        <v>#DIV/0!</v>
      </c>
      <c r="AG110" s="34"/>
      <c r="AH110" s="29"/>
      <c r="AI110" s="154"/>
      <c r="AJ110" s="155"/>
      <c r="AK110" s="156"/>
      <c r="AL110" s="97"/>
      <c r="AM110" s="97"/>
      <c r="AN110" s="97"/>
      <c r="AO110" s="94"/>
      <c r="AP110" s="94"/>
    </row>
    <row r="111" spans="2:42" x14ac:dyDescent="0.35">
      <c r="B111" s="94"/>
      <c r="C111" s="97"/>
      <c r="D111" s="97"/>
      <c r="E111" s="80"/>
      <c r="F111" s="80"/>
      <c r="G111" s="80"/>
      <c r="H111" s="34"/>
      <c r="I111" s="29"/>
      <c r="J111" s="34"/>
      <c r="K111" s="30"/>
      <c r="L111" s="29"/>
      <c r="M111" s="29"/>
      <c r="N111" s="29"/>
      <c r="O111" s="29"/>
      <c r="P111" s="29"/>
      <c r="Q111" s="29"/>
      <c r="R111" s="29"/>
      <c r="S111" s="29"/>
      <c r="T111" s="91"/>
      <c r="U111" s="91"/>
      <c r="V111" s="76" t="str">
        <f>IF(U111="","",NETWORKDAYS(T111,U111,Parameter!$C$4:$C$51))</f>
        <v/>
      </c>
      <c r="W111" s="98"/>
      <c r="X111" s="130"/>
      <c r="Y111" s="130"/>
      <c r="Z111" s="130"/>
      <c r="AA111" s="153">
        <f>SUM(Tabelle1[[#This Row],[Plankosten 2025]:[Plankosten 2027]])</f>
        <v>0</v>
      </c>
      <c r="AB111" s="130"/>
      <c r="AC111" s="130"/>
      <c r="AD111" s="130"/>
      <c r="AE111" s="153">
        <f>SUM(Tabelle1[[#This Row],[Istkosten 2025]:[Istkosten 2027]])</f>
        <v>0</v>
      </c>
      <c r="AF111" s="87" t="e">
        <f>IF(AA111="","",Tabelle1[[#This Row],[Ist-Kosten (Gesamt)]]/Tabelle1[[#This Row],[Plankosten 25-27]])</f>
        <v>#DIV/0!</v>
      </c>
      <c r="AG111" s="34"/>
      <c r="AH111" s="29"/>
      <c r="AI111" s="154"/>
      <c r="AJ111" s="155"/>
      <c r="AK111" s="156"/>
      <c r="AL111" s="97"/>
      <c r="AM111" s="97"/>
      <c r="AN111" s="97"/>
      <c r="AO111" s="94"/>
      <c r="AP111" s="94"/>
    </row>
    <row r="112" spans="2:42" x14ac:dyDescent="0.35">
      <c r="B112" s="94"/>
      <c r="C112" s="97"/>
      <c r="D112" s="97"/>
      <c r="E112" s="80"/>
      <c r="F112" s="80"/>
      <c r="G112" s="80"/>
      <c r="H112" s="34"/>
      <c r="I112" s="29"/>
      <c r="J112" s="34"/>
      <c r="K112" s="30"/>
      <c r="L112" s="29"/>
      <c r="M112" s="29"/>
      <c r="N112" s="29"/>
      <c r="O112" s="29"/>
      <c r="P112" s="29"/>
      <c r="Q112" s="29"/>
      <c r="R112" s="29"/>
      <c r="S112" s="29"/>
      <c r="T112" s="91"/>
      <c r="U112" s="91"/>
      <c r="V112" s="76" t="str">
        <f>IF(U112="","",NETWORKDAYS(T112,U112,Parameter!$C$4:$C$51))</f>
        <v/>
      </c>
      <c r="W112" s="98"/>
      <c r="X112" s="130"/>
      <c r="Y112" s="130"/>
      <c r="Z112" s="130"/>
      <c r="AA112" s="153">
        <f>SUM(Tabelle1[[#This Row],[Plankosten 2025]:[Plankosten 2027]])</f>
        <v>0</v>
      </c>
      <c r="AB112" s="130"/>
      <c r="AC112" s="130"/>
      <c r="AD112" s="130"/>
      <c r="AE112" s="153">
        <f>SUM(Tabelle1[[#This Row],[Istkosten 2025]:[Istkosten 2027]])</f>
        <v>0</v>
      </c>
      <c r="AF112" s="87" t="e">
        <f>IF(AA112="","",Tabelle1[[#This Row],[Ist-Kosten (Gesamt)]]/Tabelle1[[#This Row],[Plankosten 25-27]])</f>
        <v>#DIV/0!</v>
      </c>
      <c r="AG112" s="34"/>
      <c r="AH112" s="29"/>
      <c r="AI112" s="154"/>
      <c r="AJ112" s="155"/>
      <c r="AK112" s="156"/>
      <c r="AL112" s="97"/>
      <c r="AM112" s="97"/>
      <c r="AN112" s="97"/>
      <c r="AO112" s="94"/>
      <c r="AP112" s="94"/>
    </row>
    <row r="113" spans="2:48" x14ac:dyDescent="0.35">
      <c r="B113" s="94"/>
      <c r="C113" s="97"/>
      <c r="D113" s="97"/>
      <c r="E113" s="80"/>
      <c r="F113" s="80"/>
      <c r="G113" s="80"/>
      <c r="H113" s="34"/>
      <c r="I113" s="29"/>
      <c r="J113" s="34"/>
      <c r="K113" s="30"/>
      <c r="L113" s="29"/>
      <c r="M113" s="29"/>
      <c r="N113" s="29"/>
      <c r="O113" s="29"/>
      <c r="P113" s="29"/>
      <c r="Q113" s="29"/>
      <c r="R113" s="29"/>
      <c r="S113" s="29"/>
      <c r="T113" s="91"/>
      <c r="U113" s="91"/>
      <c r="V113" s="76" t="str">
        <f>IF(U113="","",NETWORKDAYS(T113,U113,Parameter!$C$4:$C$51))</f>
        <v/>
      </c>
      <c r="W113" s="98"/>
      <c r="X113" s="130"/>
      <c r="Y113" s="130"/>
      <c r="Z113" s="130"/>
      <c r="AA113" s="153">
        <f>SUM(Tabelle1[[#This Row],[Plankosten 2025]:[Plankosten 2027]])</f>
        <v>0</v>
      </c>
      <c r="AB113" s="130"/>
      <c r="AC113" s="130"/>
      <c r="AD113" s="130"/>
      <c r="AE113" s="153">
        <f>SUM(Tabelle1[[#This Row],[Istkosten 2025]:[Istkosten 2027]])</f>
        <v>0</v>
      </c>
      <c r="AF113" s="87" t="e">
        <f>IF(AA113="","",Tabelle1[[#This Row],[Ist-Kosten (Gesamt)]]/Tabelle1[[#This Row],[Plankosten 25-27]])</f>
        <v>#DIV/0!</v>
      </c>
      <c r="AG113" s="34"/>
      <c r="AH113" s="29"/>
      <c r="AI113" s="154"/>
      <c r="AJ113" s="155"/>
      <c r="AK113" s="156"/>
      <c r="AL113" s="97"/>
      <c r="AM113" s="97"/>
      <c r="AN113" s="97"/>
      <c r="AO113" s="94"/>
      <c r="AP113" s="94"/>
    </row>
    <row r="114" spans="2:48" x14ac:dyDescent="0.35">
      <c r="B114" s="94"/>
      <c r="C114" s="97"/>
      <c r="D114" s="97"/>
      <c r="E114" s="80"/>
      <c r="F114" s="80"/>
      <c r="G114" s="80"/>
      <c r="H114" s="34"/>
      <c r="I114" s="29"/>
      <c r="J114" s="34"/>
      <c r="K114" s="30"/>
      <c r="L114" s="29"/>
      <c r="M114" s="29"/>
      <c r="N114" s="29"/>
      <c r="O114" s="29"/>
      <c r="P114" s="29"/>
      <c r="Q114" s="29"/>
      <c r="R114" s="29"/>
      <c r="S114" s="29"/>
      <c r="T114" s="91"/>
      <c r="U114" s="91"/>
      <c r="V114" s="76" t="str">
        <f>IF(U114="","",NETWORKDAYS(T114,U114,Parameter!$C$4:$C$51))</f>
        <v/>
      </c>
      <c r="W114" s="98"/>
      <c r="X114" s="130"/>
      <c r="Y114" s="130"/>
      <c r="Z114" s="130"/>
      <c r="AA114" s="153">
        <f>SUM(Tabelle1[[#This Row],[Plankosten 2025]:[Plankosten 2027]])</f>
        <v>0</v>
      </c>
      <c r="AB114" s="130"/>
      <c r="AC114" s="130"/>
      <c r="AD114" s="130"/>
      <c r="AE114" s="153">
        <f>SUM(Tabelle1[[#This Row],[Istkosten 2025]:[Istkosten 2027]])</f>
        <v>0</v>
      </c>
      <c r="AF114" s="87" t="e">
        <f>IF(AA114="","",Tabelle1[[#This Row],[Ist-Kosten (Gesamt)]]/Tabelle1[[#This Row],[Plankosten 25-27]])</f>
        <v>#DIV/0!</v>
      </c>
      <c r="AG114" s="34"/>
      <c r="AH114" s="29"/>
      <c r="AI114" s="154"/>
      <c r="AJ114" s="155"/>
      <c r="AK114" s="156"/>
      <c r="AL114" s="97"/>
      <c r="AM114" s="97"/>
      <c r="AN114" s="97"/>
      <c r="AO114" s="94"/>
      <c r="AP114" s="94"/>
    </row>
    <row r="115" spans="2:48" x14ac:dyDescent="0.35">
      <c r="B115" s="94"/>
      <c r="C115" s="97"/>
      <c r="D115" s="97"/>
      <c r="E115" s="80"/>
      <c r="F115" s="80"/>
      <c r="G115" s="80"/>
      <c r="H115" s="34"/>
      <c r="I115" s="29"/>
      <c r="J115" s="34"/>
      <c r="K115" s="30"/>
      <c r="L115" s="29"/>
      <c r="M115" s="29"/>
      <c r="N115" s="29"/>
      <c r="O115" s="29"/>
      <c r="P115" s="29"/>
      <c r="Q115" s="29"/>
      <c r="R115" s="29"/>
      <c r="S115" s="29"/>
      <c r="T115" s="91"/>
      <c r="U115" s="91"/>
      <c r="V115" s="76" t="str">
        <f>IF(U115="","",NETWORKDAYS(T115,U115,Parameter!$C$4:$C$51))</f>
        <v/>
      </c>
      <c r="W115" s="98"/>
      <c r="X115" s="130"/>
      <c r="Y115" s="130"/>
      <c r="Z115" s="130"/>
      <c r="AA115" s="153">
        <f>SUM(Tabelle1[[#This Row],[Plankosten 2025]:[Plankosten 2027]])</f>
        <v>0</v>
      </c>
      <c r="AB115" s="130"/>
      <c r="AC115" s="130"/>
      <c r="AD115" s="130"/>
      <c r="AE115" s="153">
        <f>SUM(Tabelle1[[#This Row],[Istkosten 2025]:[Istkosten 2027]])</f>
        <v>0</v>
      </c>
      <c r="AF115" s="87" t="e">
        <f>IF(AA115="","",Tabelle1[[#This Row],[Ist-Kosten (Gesamt)]]/Tabelle1[[#This Row],[Plankosten 25-27]])</f>
        <v>#DIV/0!</v>
      </c>
      <c r="AG115" s="34"/>
      <c r="AH115" s="29"/>
      <c r="AI115" s="154"/>
      <c r="AJ115" s="155"/>
      <c r="AK115" s="156"/>
      <c r="AL115" s="97"/>
      <c r="AM115" s="97"/>
      <c r="AN115" s="97"/>
      <c r="AO115" s="94"/>
      <c r="AP115" s="94"/>
    </row>
    <row r="116" spans="2:48" x14ac:dyDescent="0.35">
      <c r="B116" s="94"/>
      <c r="C116" s="97"/>
      <c r="D116" s="97"/>
      <c r="E116" s="80"/>
      <c r="F116" s="80"/>
      <c r="G116" s="80"/>
      <c r="H116" s="34"/>
      <c r="I116" s="29"/>
      <c r="J116" s="34"/>
      <c r="K116" s="30"/>
      <c r="L116" s="29"/>
      <c r="M116" s="29"/>
      <c r="N116" s="29"/>
      <c r="O116" s="29"/>
      <c r="P116" s="29"/>
      <c r="Q116" s="29"/>
      <c r="R116" s="29"/>
      <c r="S116" s="29"/>
      <c r="T116" s="91"/>
      <c r="U116" s="91"/>
      <c r="V116" s="76" t="str">
        <f>IF(U116="","",NETWORKDAYS(T116,U116,Parameter!$C$4:$C$51))</f>
        <v/>
      </c>
      <c r="W116" s="98"/>
      <c r="X116" s="130"/>
      <c r="Y116" s="130"/>
      <c r="Z116" s="130"/>
      <c r="AA116" s="153">
        <f>SUM(Tabelle1[[#This Row],[Plankosten 2025]:[Plankosten 2027]])</f>
        <v>0</v>
      </c>
      <c r="AB116" s="130"/>
      <c r="AC116" s="130"/>
      <c r="AD116" s="130"/>
      <c r="AE116" s="153">
        <f>SUM(Tabelle1[[#This Row],[Istkosten 2025]:[Istkosten 2027]])</f>
        <v>0</v>
      </c>
      <c r="AF116" s="87" t="e">
        <f>IF(AA116="","",Tabelle1[[#This Row],[Ist-Kosten (Gesamt)]]/Tabelle1[[#This Row],[Plankosten 25-27]])</f>
        <v>#DIV/0!</v>
      </c>
      <c r="AG116" s="34"/>
      <c r="AH116" s="29"/>
      <c r="AI116" s="154"/>
      <c r="AJ116" s="155"/>
      <c r="AK116" s="156"/>
      <c r="AL116" s="97"/>
      <c r="AM116" s="97"/>
      <c r="AN116" s="97"/>
      <c r="AO116" s="94"/>
      <c r="AP116" s="94"/>
    </row>
    <row r="117" spans="2:48" x14ac:dyDescent="0.35">
      <c r="B117" s="94"/>
      <c r="C117" s="97"/>
      <c r="D117" s="97"/>
      <c r="E117" s="80"/>
      <c r="F117" s="80"/>
      <c r="G117" s="80"/>
      <c r="H117" s="34"/>
      <c r="I117" s="29"/>
      <c r="J117" s="34"/>
      <c r="K117" s="30"/>
      <c r="L117" s="29"/>
      <c r="M117" s="29"/>
      <c r="N117" s="29"/>
      <c r="O117" s="29"/>
      <c r="P117" s="29"/>
      <c r="Q117" s="29"/>
      <c r="R117" s="29"/>
      <c r="S117" s="29"/>
      <c r="T117" s="91"/>
      <c r="U117" s="91"/>
      <c r="V117" s="76" t="str">
        <f>IF(U117="","",NETWORKDAYS(T117,U117,Parameter!$C$4:$C$51))</f>
        <v/>
      </c>
      <c r="W117" s="98"/>
      <c r="X117" s="130"/>
      <c r="Y117" s="130"/>
      <c r="Z117" s="130"/>
      <c r="AA117" s="153">
        <f>SUM(Tabelle1[[#This Row],[Plankosten 2025]:[Plankosten 2027]])</f>
        <v>0</v>
      </c>
      <c r="AB117" s="130"/>
      <c r="AC117" s="130"/>
      <c r="AD117" s="130"/>
      <c r="AE117" s="153">
        <f>SUM(Tabelle1[[#This Row],[Istkosten 2025]:[Istkosten 2027]])</f>
        <v>0</v>
      </c>
      <c r="AF117" s="87" t="e">
        <f>IF(AA117="","",Tabelle1[[#This Row],[Ist-Kosten (Gesamt)]]/Tabelle1[[#This Row],[Plankosten 25-27]])</f>
        <v>#DIV/0!</v>
      </c>
      <c r="AG117" s="34"/>
      <c r="AH117" s="29"/>
      <c r="AI117" s="154"/>
      <c r="AJ117" s="155"/>
      <c r="AK117" s="156"/>
      <c r="AL117" s="97"/>
      <c r="AM117" s="97"/>
      <c r="AN117" s="97"/>
      <c r="AO117" s="94"/>
      <c r="AP117" s="94"/>
    </row>
    <row r="118" spans="2:48" x14ac:dyDescent="0.35">
      <c r="B118" s="94"/>
      <c r="C118" s="97"/>
      <c r="D118" s="97"/>
      <c r="E118" s="80"/>
      <c r="F118" s="80"/>
      <c r="G118" s="80"/>
      <c r="H118" s="34"/>
      <c r="I118" s="29"/>
      <c r="J118" s="34"/>
      <c r="K118" s="30"/>
      <c r="L118" s="29"/>
      <c r="M118" s="29"/>
      <c r="N118" s="29"/>
      <c r="O118" s="29"/>
      <c r="P118" s="29"/>
      <c r="Q118" s="29"/>
      <c r="R118" s="29"/>
      <c r="S118" s="29"/>
      <c r="T118" s="91"/>
      <c r="U118" s="91"/>
      <c r="V118" s="76" t="str">
        <f>IF(U118="","",NETWORKDAYS(T118,U118,Parameter!$C$4:$C$51))</f>
        <v/>
      </c>
      <c r="W118" s="98"/>
      <c r="X118" s="130"/>
      <c r="Y118" s="130"/>
      <c r="Z118" s="130"/>
      <c r="AA118" s="153">
        <f>SUM(Tabelle1[[#This Row],[Plankosten 2025]:[Plankosten 2027]])</f>
        <v>0</v>
      </c>
      <c r="AB118" s="130"/>
      <c r="AC118" s="130"/>
      <c r="AD118" s="130"/>
      <c r="AE118" s="153">
        <f>SUM(Tabelle1[[#This Row],[Istkosten 2025]:[Istkosten 2027]])</f>
        <v>0</v>
      </c>
      <c r="AF118" s="87" t="e">
        <f>IF(AA118="","",Tabelle1[[#This Row],[Ist-Kosten (Gesamt)]]/Tabelle1[[#This Row],[Plankosten 25-27]])</f>
        <v>#DIV/0!</v>
      </c>
      <c r="AG118" s="34"/>
      <c r="AH118" s="29"/>
      <c r="AI118" s="154"/>
      <c r="AJ118" s="155"/>
      <c r="AK118" s="156"/>
      <c r="AL118" s="97"/>
      <c r="AM118" s="97"/>
      <c r="AN118" s="97"/>
      <c r="AO118" s="94"/>
      <c r="AP118" s="94"/>
    </row>
    <row r="119" spans="2:48" x14ac:dyDescent="0.35">
      <c r="B119" s="94"/>
      <c r="C119" s="97"/>
      <c r="D119" s="97"/>
      <c r="E119" s="80"/>
      <c r="F119" s="80"/>
      <c r="G119" s="80"/>
      <c r="H119" s="34"/>
      <c r="I119" s="29"/>
      <c r="J119" s="34"/>
      <c r="K119" s="30"/>
      <c r="L119" s="29"/>
      <c r="M119" s="29"/>
      <c r="N119" s="29"/>
      <c r="O119" s="29"/>
      <c r="P119" s="29"/>
      <c r="Q119" s="29"/>
      <c r="R119" s="29"/>
      <c r="S119" s="29"/>
      <c r="T119" s="91"/>
      <c r="U119" s="91"/>
      <c r="V119" s="76" t="str">
        <f>IF(U119="","",NETWORKDAYS(T119,U119,Parameter!$C$4:$C$51))</f>
        <v/>
      </c>
      <c r="W119" s="98"/>
      <c r="X119" s="130"/>
      <c r="Y119" s="130"/>
      <c r="Z119" s="130"/>
      <c r="AA119" s="153">
        <f>SUM(Tabelle1[[#This Row],[Plankosten 2025]:[Plankosten 2027]])</f>
        <v>0</v>
      </c>
      <c r="AB119" s="130"/>
      <c r="AC119" s="130"/>
      <c r="AD119" s="130"/>
      <c r="AE119" s="153">
        <f>SUM(Tabelle1[[#This Row],[Istkosten 2025]:[Istkosten 2027]])</f>
        <v>0</v>
      </c>
      <c r="AF119" s="87" t="e">
        <f>IF(AA119="","",Tabelle1[[#This Row],[Ist-Kosten (Gesamt)]]/Tabelle1[[#This Row],[Plankosten 25-27]])</f>
        <v>#DIV/0!</v>
      </c>
      <c r="AG119" s="34"/>
      <c r="AH119" s="29"/>
      <c r="AI119" s="154"/>
      <c r="AJ119" s="155"/>
      <c r="AK119" s="156"/>
      <c r="AL119" s="97"/>
      <c r="AM119" s="97"/>
      <c r="AN119" s="97"/>
      <c r="AO119" s="94"/>
      <c r="AP119" s="94"/>
    </row>
    <row r="120" spans="2:48" x14ac:dyDescent="0.35">
      <c r="B120" s="23"/>
      <c r="C120" s="23"/>
      <c r="D120" s="23"/>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c r="AB120" s="138"/>
      <c r="AC120" s="138"/>
      <c r="AD120" s="138"/>
      <c r="AE120" s="138"/>
      <c r="AF120" s="138"/>
      <c r="AG120" s="138"/>
      <c r="AH120" s="138"/>
      <c r="AI120" s="138"/>
      <c r="AJ120" s="138"/>
      <c r="AK120" s="138"/>
      <c r="AL120" s="138"/>
      <c r="AM120" s="138"/>
      <c r="AN120" s="138"/>
      <c r="AO120" s="138"/>
      <c r="AP120" s="138"/>
      <c r="AQ120" s="138"/>
      <c r="AR120" s="138"/>
      <c r="AS120" s="138"/>
      <c r="AT120" s="138"/>
      <c r="AU120" s="138"/>
      <c r="AV120" s="138"/>
    </row>
    <row r="121" spans="2:48" x14ac:dyDescent="0.35">
      <c r="B121" s="5" t="s">
        <v>8</v>
      </c>
      <c r="C121" s="5"/>
      <c r="D121" s="5"/>
      <c r="E121" s="4" t="s">
        <v>148</v>
      </c>
      <c r="F121" s="4"/>
      <c r="G121" s="4"/>
      <c r="H121" s="4"/>
      <c r="I121" s="4"/>
      <c r="J121" s="8"/>
      <c r="K121" s="4"/>
      <c r="L121" s="4"/>
      <c r="M121" s="8"/>
      <c r="N121" s="4"/>
      <c r="O121" s="4"/>
      <c r="P121" s="84"/>
      <c r="Q121" s="84"/>
      <c r="R121" s="4"/>
      <c r="S121" s="4"/>
      <c r="T121" s="4"/>
      <c r="U121" s="4"/>
      <c r="V121" s="4"/>
      <c r="W121" s="4"/>
      <c r="X121" s="4"/>
      <c r="Y121" s="4"/>
      <c r="Z121" s="4"/>
      <c r="AA121" s="4"/>
      <c r="AB121" s="4"/>
      <c r="AC121" s="4"/>
      <c r="AD121" s="4"/>
      <c r="AE121" s="4"/>
      <c r="AF121" s="4"/>
      <c r="AG121" s="8"/>
      <c r="AH121" s="4"/>
      <c r="AI121" s="4"/>
      <c r="AJ121" s="4"/>
      <c r="AK121" s="4"/>
      <c r="AL121" s="4"/>
      <c r="AM121" s="4"/>
      <c r="AN121" s="4"/>
      <c r="AO121" s="4"/>
      <c r="AP121" s="4"/>
      <c r="AQ121" s="4"/>
      <c r="AR121" s="4"/>
      <c r="AS121" s="4"/>
      <c r="AT121" s="4"/>
      <c r="AU121" s="4"/>
      <c r="AV121" s="4"/>
    </row>
    <row r="122" spans="2:48" x14ac:dyDescent="0.35">
      <c r="B122" s="2"/>
      <c r="C122" s="2"/>
      <c r="D122" s="2"/>
      <c r="E122" s="2"/>
      <c r="F122" s="2"/>
      <c r="G122" s="2"/>
      <c r="H122" s="2"/>
      <c r="I122" s="2"/>
      <c r="J122" s="7"/>
      <c r="K122" s="2"/>
      <c r="L122" s="2"/>
      <c r="M122" s="7"/>
      <c r="N122" s="2"/>
      <c r="O122" s="2"/>
      <c r="P122" s="85"/>
      <c r="R122" s="2"/>
      <c r="S122" s="2"/>
      <c r="T122" s="2"/>
      <c r="U122" s="2"/>
      <c r="V122" s="2"/>
      <c r="W122" s="2"/>
      <c r="X122" s="2"/>
      <c r="Y122" s="2"/>
      <c r="Z122" s="2"/>
      <c r="AA122" s="2"/>
      <c r="AB122" s="2"/>
      <c r="AC122" s="2"/>
      <c r="AD122" s="2"/>
      <c r="AE122" s="2"/>
      <c r="AF122" s="2"/>
      <c r="AG122" s="7"/>
      <c r="AH122" s="2"/>
      <c r="AI122" s="2"/>
      <c r="AJ122" s="2"/>
      <c r="AK122" s="2"/>
      <c r="AL122" s="2"/>
      <c r="AM122" s="2"/>
      <c r="AN122" s="2"/>
      <c r="AO122" s="2"/>
      <c r="AP122" s="2"/>
      <c r="AQ122" s="2"/>
      <c r="AR122" s="2"/>
      <c r="AS122" s="2"/>
      <c r="AT122" s="2"/>
      <c r="AU122" s="2"/>
      <c r="AV122" s="2"/>
    </row>
  </sheetData>
  <mergeCells count="1">
    <mergeCell ref="E120:AV120"/>
  </mergeCells>
  <phoneticPr fontId="13" type="noConversion"/>
  <conditionalFormatting sqref="AG5:AH119">
    <cfRule type="cellIs" dxfId="21" priority="25" operator="equal">
      <formula>"Abgeschlossen"</formula>
    </cfRule>
    <cfRule type="containsText" dxfId="20" priority="31" operator="containsText" text="Blockiert">
      <formula>NOT(ISERROR(SEARCH("Blockiert",AG5)))</formula>
    </cfRule>
  </conditionalFormatting>
  <conditionalFormatting sqref="AH5:AH119">
    <cfRule type="cellIs" dxfId="19" priority="22" operator="equal">
      <formula>"Krise"</formula>
    </cfRule>
    <cfRule type="cellIs" dxfId="18" priority="23" operator="equal">
      <formula>"Vorsicht"</formula>
    </cfRule>
    <cfRule type="cellIs" dxfId="17" priority="24" operator="equal">
      <formula>"In Ordnung"</formula>
    </cfRule>
  </conditionalFormatting>
  <pageMargins left="0.7" right="0.7" top="0.78740157499999996" bottom="0.78740157499999996" header="0.3" footer="0.3"/>
  <legacyDrawing r:id="rId1"/>
  <tableParts count="1">
    <tablePart r:id="rId2"/>
  </tableParts>
  <extLst>
    <ext xmlns:x14="http://schemas.microsoft.com/office/spreadsheetml/2009/9/main" uri="{CCE6A557-97BC-4b89-ADB6-D9C93CAAB3DF}">
      <x14:dataValidations xmlns:xm="http://schemas.microsoft.com/office/excel/2006/main" count="10">
        <x14:dataValidation type="list" allowBlank="1" showInputMessage="1" showErrorMessage="1" xr:uid="{F3897BEB-77DF-4176-A449-7B0B7DCBAB0F}">
          <x14:formula1>
            <xm:f>Parameter!$V$4:$V$6</xm:f>
          </x14:formula1>
          <xm:sqref>R5:R119</xm:sqref>
        </x14:dataValidation>
        <x14:dataValidation type="list" allowBlank="1" showInputMessage="1" showErrorMessage="1" xr:uid="{FDC35737-E2CE-4393-9549-98258663C682}">
          <x14:formula1>
            <xm:f>Parameter!$AA$4:$AA$7</xm:f>
          </x14:formula1>
          <xm:sqref>I5:I119</xm:sqref>
        </x14:dataValidation>
        <x14:dataValidation type="list" allowBlank="1" showInputMessage="1" showErrorMessage="1" xr:uid="{FB37F229-E869-4471-B898-0639DB7415FD}">
          <x14:formula1>
            <xm:f>Parameter!$Y$4:$Y$8</xm:f>
          </x14:formula1>
          <xm:sqref>S5:S119</xm:sqref>
        </x14:dataValidation>
        <x14:dataValidation type="list" allowBlank="1" showInputMessage="1" showErrorMessage="1" xr:uid="{6DC4488A-92E5-47CC-9BD1-99DCCF5B9CF2}">
          <x14:formula1>
            <xm:f>Parameter!$P$4:$P$9</xm:f>
          </x14:formula1>
          <xm:sqref>AG5:AG119</xm:sqref>
        </x14:dataValidation>
        <x14:dataValidation type="list" allowBlank="1" showInputMessage="1" showErrorMessage="1" xr:uid="{9CC2F4E2-27DF-4CF9-9312-F1D4C27823E1}">
          <x14:formula1>
            <xm:f>Parameter!$K$4:$K$6</xm:f>
          </x14:formula1>
          <xm:sqref>K5:K119</xm:sqref>
        </x14:dataValidation>
        <x14:dataValidation type="list" allowBlank="1" showInputMessage="1" showErrorMessage="1" xr:uid="{39F6A7DA-ABD3-4785-812E-6F067AB61D90}">
          <x14:formula1>
            <xm:f>Parameter!$AH$4:$AH$7</xm:f>
          </x14:formula1>
          <xm:sqref>C5:C119</xm:sqref>
        </x14:dataValidation>
        <x14:dataValidation type="list" allowBlank="1" showInputMessage="1" showErrorMessage="1" xr:uid="{2E6E873E-ADD9-450A-B93D-A3B2CE5E3069}">
          <x14:formula1>
            <xm:f>Parameter!$H$4:$H$6</xm:f>
          </x14:formula1>
          <xm:sqref>M5:Q119 AJ5:AJ119</xm:sqref>
        </x14:dataValidation>
        <x14:dataValidation type="list" allowBlank="1" showInputMessage="1" showErrorMessage="1" xr:uid="{2BEBE44C-101D-4FA0-9041-43675680D785}">
          <x14:formula1>
            <xm:f>Parameter!$T$4:$T$13</xm:f>
          </x14:formula1>
          <xm:sqref>AI5:AI119</xm:sqref>
        </x14:dataValidation>
        <x14:dataValidation type="list" allowBlank="1" showInputMessage="1" showErrorMessage="1" xr:uid="{B7D944C6-0A94-49DB-93D2-CFB36D464191}">
          <x14:formula1>
            <xm:f>Parameter!$E$4:$E$7</xm:f>
          </x14:formula1>
          <xm:sqref>L5:L119</xm:sqref>
        </x14:dataValidation>
        <x14:dataValidation type="list" allowBlank="1" showInputMessage="1" showErrorMessage="1" xr:uid="{C9D33229-FE0E-4D1E-97F7-9E801226997E}">
          <x14:formula1>
            <xm:f>Parameter!$AC$4:$AC$6</xm:f>
          </x14:formula1>
          <xm:sqref>AH5:AH119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6B60-D008-432D-BEBA-00F84B88084D}">
  <sheetPr>
    <tabColor rgb="FF831933"/>
  </sheetPr>
  <dimension ref="A1:Q19"/>
  <sheetViews>
    <sheetView zoomScale="60" zoomScaleNormal="60" workbookViewId="0">
      <pane xSplit="1" ySplit="2" topLeftCell="B3" activePane="bottomRight" state="frozen"/>
      <selection activeCell="D14" sqref="D14"/>
      <selection pane="topRight" activeCell="D14" sqref="D14"/>
      <selection pane="bottomLeft" activeCell="D14" sqref="D14"/>
      <selection pane="bottomRight" activeCell="D24" sqref="D24"/>
    </sheetView>
  </sheetViews>
  <sheetFormatPr baseColWidth="10" defaultColWidth="11.453125" defaultRowHeight="14.5" x14ac:dyDescent="0.35"/>
  <cols>
    <col min="1" max="1" width="11.453125" style="82"/>
    <col min="2" max="2" width="18.54296875" style="82" customWidth="1"/>
    <col min="3" max="3" width="11.453125" style="82"/>
    <col min="4" max="4" width="27.7265625" style="82" customWidth="1"/>
    <col min="5" max="5" width="21.54296875" style="82" customWidth="1"/>
    <col min="6" max="6" width="19" style="82" customWidth="1"/>
    <col min="7" max="9" width="11.453125" style="82"/>
    <col min="10" max="10" width="19" style="82" customWidth="1"/>
    <col min="11" max="11" width="11.453125" style="82"/>
    <col min="12" max="12" width="19.54296875" style="82" customWidth="1"/>
    <col min="13" max="13" width="16.453125" style="82" customWidth="1"/>
    <col min="14" max="14" width="28.1796875" style="82" hidden="1" customWidth="1"/>
    <col min="15" max="15" width="0" style="82" hidden="1" customWidth="1"/>
    <col min="16" max="16" width="36" style="82" hidden="1" customWidth="1"/>
    <col min="17" max="17" width="36" style="82" customWidth="1"/>
    <col min="18" max="16384" width="11.453125" style="82"/>
  </cols>
  <sheetData>
    <row r="1" spans="1:17" x14ac:dyDescent="0.35">
      <c r="A1" s="99"/>
      <c r="B1" s="99"/>
      <c r="C1" s="99"/>
      <c r="D1" s="139" t="s">
        <v>201</v>
      </c>
      <c r="E1" s="139" t="s">
        <v>202</v>
      </c>
      <c r="F1" s="139" t="s">
        <v>203</v>
      </c>
      <c r="G1" s="139" t="s">
        <v>204</v>
      </c>
      <c r="H1" s="139"/>
      <c r="I1" s="139"/>
      <c r="J1" s="139" t="s">
        <v>205</v>
      </c>
      <c r="K1" s="139" t="s">
        <v>209</v>
      </c>
      <c r="L1" s="139"/>
      <c r="M1" s="139"/>
      <c r="N1" s="139"/>
      <c r="O1" s="139"/>
      <c r="P1" s="139" t="s">
        <v>251</v>
      </c>
      <c r="Q1" s="139" t="s">
        <v>252</v>
      </c>
    </row>
    <row r="2" spans="1:17" x14ac:dyDescent="0.35">
      <c r="A2" s="99" t="s">
        <v>206</v>
      </c>
      <c r="B2" s="99" t="s">
        <v>162</v>
      </c>
      <c r="C2" s="99" t="s">
        <v>207</v>
      </c>
      <c r="D2" s="140"/>
      <c r="E2" s="140"/>
      <c r="F2" s="140"/>
      <c r="G2" s="99">
        <v>2025</v>
      </c>
      <c r="H2" s="99">
        <v>2026</v>
      </c>
      <c r="I2" s="99">
        <v>2027</v>
      </c>
      <c r="J2" s="140"/>
      <c r="K2" s="99">
        <v>2025</v>
      </c>
      <c r="L2" s="99" t="s">
        <v>253</v>
      </c>
      <c r="M2" s="99" t="s">
        <v>254</v>
      </c>
      <c r="N2" s="99">
        <v>2026</v>
      </c>
      <c r="O2" s="99">
        <v>2027</v>
      </c>
      <c r="P2" s="140"/>
      <c r="Q2" s="140"/>
    </row>
    <row r="3" spans="1:17" ht="56.5" customHeight="1" x14ac:dyDescent="0.35">
      <c r="A3" s="100" t="s">
        <v>275</v>
      </c>
      <c r="B3" s="100" t="s">
        <v>225</v>
      </c>
      <c r="C3" s="100">
        <v>1</v>
      </c>
      <c r="D3" s="100" t="s">
        <v>283</v>
      </c>
      <c r="E3" s="100" t="s">
        <v>284</v>
      </c>
      <c r="F3" s="100">
        <v>1</v>
      </c>
      <c r="G3" s="100">
        <v>2</v>
      </c>
      <c r="H3" s="100">
        <v>2</v>
      </c>
      <c r="I3" s="100">
        <v>2</v>
      </c>
      <c r="J3" s="100" t="s">
        <v>275</v>
      </c>
      <c r="K3" s="100">
        <v>1</v>
      </c>
      <c r="L3" s="100">
        <f>K3-G3</f>
        <v>-1</v>
      </c>
      <c r="M3" s="131">
        <f t="shared" ref="M3:M19" si="0">IFERROR((K3-G3)/G3,"")</f>
        <v>-0.5</v>
      </c>
      <c r="N3" s="100"/>
      <c r="O3" s="100"/>
      <c r="P3" s="100" t="s">
        <v>215</v>
      </c>
      <c r="Q3" s="133" t="s">
        <v>282</v>
      </c>
    </row>
    <row r="4" spans="1:17" ht="14" customHeight="1" x14ac:dyDescent="0.35">
      <c r="A4" s="100"/>
      <c r="B4" s="100"/>
      <c r="C4" s="100"/>
      <c r="D4" s="100"/>
      <c r="E4" s="100"/>
      <c r="F4" s="100"/>
      <c r="G4" s="100"/>
      <c r="H4" s="100"/>
      <c r="I4" s="100"/>
      <c r="J4" s="100"/>
      <c r="K4" s="100"/>
      <c r="L4" s="100">
        <f t="shared" ref="L4:L19" si="1">K4-G4</f>
        <v>0</v>
      </c>
      <c r="M4" s="131" t="str">
        <f t="shared" si="0"/>
        <v/>
      </c>
      <c r="N4" s="100"/>
      <c r="O4" s="100"/>
      <c r="P4" s="100" t="s">
        <v>255</v>
      </c>
      <c r="Q4" s="132"/>
    </row>
    <row r="5" spans="1:17" ht="14" customHeight="1" x14ac:dyDescent="0.35">
      <c r="A5" s="100"/>
      <c r="B5" s="100"/>
      <c r="C5" s="100"/>
      <c r="D5" s="100"/>
      <c r="E5" s="100"/>
      <c r="F5" s="100"/>
      <c r="G5" s="100"/>
      <c r="H5" s="100"/>
      <c r="I5" s="100"/>
      <c r="J5" s="100"/>
      <c r="K5" s="100"/>
      <c r="L5" s="100">
        <f t="shared" si="1"/>
        <v>0</v>
      </c>
      <c r="M5" s="131" t="str">
        <f t="shared" si="0"/>
        <v/>
      </c>
      <c r="N5" s="100"/>
      <c r="O5" s="100"/>
      <c r="P5" s="100" t="s">
        <v>211</v>
      </c>
      <c r="Q5" s="133"/>
    </row>
    <row r="6" spans="1:17" ht="14" customHeight="1" x14ac:dyDescent="0.35">
      <c r="A6" s="100"/>
      <c r="B6" s="100"/>
      <c r="C6" s="100"/>
      <c r="D6" s="100"/>
      <c r="E6" s="100"/>
      <c r="F6" s="100"/>
      <c r="G6" s="100"/>
      <c r="H6" s="100"/>
      <c r="I6" s="100"/>
      <c r="J6" s="100"/>
      <c r="K6" s="100"/>
      <c r="L6" s="100">
        <f t="shared" si="1"/>
        <v>0</v>
      </c>
      <c r="M6" s="131" t="str">
        <f t="shared" si="0"/>
        <v/>
      </c>
      <c r="N6" s="100"/>
      <c r="O6" s="100"/>
      <c r="P6" s="100" t="s">
        <v>212</v>
      </c>
      <c r="Q6" s="100"/>
    </row>
    <row r="7" spans="1:17" ht="14" customHeight="1" x14ac:dyDescent="0.35">
      <c r="A7" s="100"/>
      <c r="B7" s="100"/>
      <c r="C7" s="100"/>
      <c r="D7" s="100"/>
      <c r="E7" s="100"/>
      <c r="F7" s="100"/>
      <c r="G7" s="100"/>
      <c r="H7" s="100"/>
      <c r="I7" s="100"/>
      <c r="J7" s="100"/>
      <c r="K7" s="100"/>
      <c r="L7" s="100">
        <f t="shared" si="1"/>
        <v>0</v>
      </c>
      <c r="M7" s="131" t="str">
        <f t="shared" si="0"/>
        <v/>
      </c>
      <c r="N7" s="100">
        <v>4</v>
      </c>
      <c r="O7" s="100"/>
      <c r="P7" s="100" t="s">
        <v>238</v>
      </c>
      <c r="Q7" s="100"/>
    </row>
    <row r="8" spans="1:17" ht="14" customHeight="1" x14ac:dyDescent="0.35">
      <c r="A8" s="100"/>
      <c r="B8" s="100"/>
      <c r="C8" s="100"/>
      <c r="D8" s="100"/>
      <c r="E8" s="100"/>
      <c r="F8" s="100"/>
      <c r="G8" s="100"/>
      <c r="H8" s="100"/>
      <c r="I8" s="100"/>
      <c r="J8" s="100"/>
      <c r="K8" s="100"/>
      <c r="L8" s="100">
        <f t="shared" si="1"/>
        <v>0</v>
      </c>
      <c r="M8" s="131" t="str">
        <f t="shared" si="0"/>
        <v/>
      </c>
      <c r="N8" s="100">
        <v>1</v>
      </c>
      <c r="O8" s="100"/>
      <c r="P8" s="100" t="s">
        <v>213</v>
      </c>
      <c r="Q8" s="133"/>
    </row>
    <row r="9" spans="1:17" ht="14" customHeight="1" x14ac:dyDescent="0.35">
      <c r="A9" s="100"/>
      <c r="B9" s="100"/>
      <c r="C9" s="100"/>
      <c r="D9" s="100"/>
      <c r="E9" s="100"/>
      <c r="F9" s="100"/>
      <c r="G9" s="100"/>
      <c r="H9" s="100"/>
      <c r="I9" s="100"/>
      <c r="J9" s="100"/>
      <c r="K9" s="100"/>
      <c r="L9" s="100">
        <f t="shared" si="1"/>
        <v>0</v>
      </c>
      <c r="M9" s="131" t="str">
        <f t="shared" si="0"/>
        <v/>
      </c>
      <c r="N9" s="100"/>
      <c r="O9" s="100"/>
      <c r="P9" s="100"/>
      <c r="Q9" s="100"/>
    </row>
    <row r="10" spans="1:17" ht="14" customHeight="1" x14ac:dyDescent="0.35">
      <c r="A10" s="100"/>
      <c r="B10" s="100"/>
      <c r="C10" s="100"/>
      <c r="D10" s="100"/>
      <c r="E10" s="100"/>
      <c r="F10" s="100"/>
      <c r="G10" s="100"/>
      <c r="H10" s="100"/>
      <c r="I10" s="100"/>
      <c r="J10" s="100"/>
      <c r="K10" s="100"/>
      <c r="L10" s="100">
        <f t="shared" si="1"/>
        <v>0</v>
      </c>
      <c r="M10" s="131" t="str">
        <f t="shared" si="0"/>
        <v/>
      </c>
      <c r="N10" s="100"/>
      <c r="O10" s="100"/>
      <c r="P10" s="100" t="s">
        <v>256</v>
      </c>
      <c r="Q10" s="100"/>
    </row>
    <row r="11" spans="1:17" ht="14" customHeight="1" x14ac:dyDescent="0.35">
      <c r="A11" s="100"/>
      <c r="B11" s="100"/>
      <c r="C11" s="100"/>
      <c r="D11" s="100"/>
      <c r="E11" s="100"/>
      <c r="F11" s="100"/>
      <c r="G11" s="100"/>
      <c r="H11" s="100"/>
      <c r="I11" s="100"/>
      <c r="J11" s="100"/>
      <c r="K11" s="100"/>
      <c r="L11" s="100">
        <f t="shared" si="1"/>
        <v>0</v>
      </c>
      <c r="M11" s="131" t="str">
        <f t="shared" si="0"/>
        <v/>
      </c>
      <c r="N11" s="100"/>
      <c r="O11" s="100"/>
      <c r="P11" s="100"/>
      <c r="Q11" s="100"/>
    </row>
    <row r="12" spans="1:17" ht="14" customHeight="1" x14ac:dyDescent="0.35">
      <c r="A12" s="100"/>
      <c r="B12" s="100"/>
      <c r="C12" s="100"/>
      <c r="D12" s="100"/>
      <c r="E12" s="100"/>
      <c r="F12" s="100"/>
      <c r="G12" s="100"/>
      <c r="H12" s="100"/>
      <c r="I12" s="100"/>
      <c r="J12" s="100"/>
      <c r="K12" s="100"/>
      <c r="L12" s="100">
        <f t="shared" si="1"/>
        <v>0</v>
      </c>
      <c r="M12" s="131" t="str">
        <f t="shared" si="0"/>
        <v/>
      </c>
      <c r="N12" s="100"/>
      <c r="O12" s="100"/>
      <c r="P12" s="100" t="s">
        <v>257</v>
      </c>
      <c r="Q12" s="100"/>
    </row>
    <row r="13" spans="1:17" ht="14" customHeight="1" x14ac:dyDescent="0.35">
      <c r="A13" s="100"/>
      <c r="B13" s="100"/>
      <c r="C13" s="100"/>
      <c r="D13" s="100"/>
      <c r="E13" s="100"/>
      <c r="F13" s="100"/>
      <c r="G13" s="100"/>
      <c r="H13" s="100"/>
      <c r="I13" s="100"/>
      <c r="J13" s="100"/>
      <c r="K13" s="100"/>
      <c r="L13" s="100">
        <f t="shared" si="1"/>
        <v>0</v>
      </c>
      <c r="M13" s="131" t="str">
        <f t="shared" si="0"/>
        <v/>
      </c>
      <c r="N13" s="100"/>
      <c r="O13" s="100"/>
      <c r="P13" s="100" t="s">
        <v>214</v>
      </c>
      <c r="Q13" s="100"/>
    </row>
    <row r="14" spans="1:17" ht="14" customHeight="1" x14ac:dyDescent="0.35">
      <c r="A14" s="100"/>
      <c r="B14" s="100"/>
      <c r="C14" s="100"/>
      <c r="D14" s="100"/>
      <c r="E14" s="100"/>
      <c r="F14" s="100"/>
      <c r="G14" s="100"/>
      <c r="H14" s="100"/>
      <c r="I14" s="100"/>
      <c r="J14" s="100"/>
      <c r="K14" s="100"/>
      <c r="L14" s="100">
        <f t="shared" si="1"/>
        <v>0</v>
      </c>
      <c r="M14" s="131" t="str">
        <f t="shared" si="0"/>
        <v/>
      </c>
      <c r="N14" s="100"/>
      <c r="O14" s="100"/>
      <c r="P14" s="100"/>
      <c r="Q14" s="100"/>
    </row>
    <row r="15" spans="1:17" ht="14" customHeight="1" x14ac:dyDescent="0.35">
      <c r="A15" s="100"/>
      <c r="B15" s="100"/>
      <c r="C15" s="100"/>
      <c r="D15" s="100"/>
      <c r="E15" s="100"/>
      <c r="F15" s="100"/>
      <c r="G15" s="100"/>
      <c r="H15" s="100"/>
      <c r="I15" s="100"/>
      <c r="J15" s="100"/>
      <c r="K15" s="100"/>
      <c r="L15" s="100">
        <f t="shared" ref="L15" si="2">K15-G15</f>
        <v>0</v>
      </c>
      <c r="M15" s="131" t="str">
        <f t="shared" ref="M15" si="3">IFERROR((K15-G15)/G15,"")</f>
        <v/>
      </c>
      <c r="N15" s="100"/>
      <c r="O15" s="100"/>
      <c r="P15" s="100"/>
      <c r="Q15" s="100"/>
    </row>
    <row r="16" spans="1:17" ht="14" customHeight="1" x14ac:dyDescent="0.35">
      <c r="A16" s="100"/>
      <c r="B16" s="100"/>
      <c r="C16" s="100"/>
      <c r="D16" s="100"/>
      <c r="E16" s="100"/>
      <c r="F16" s="100"/>
      <c r="G16" s="100"/>
      <c r="H16" s="100"/>
      <c r="I16" s="100"/>
      <c r="J16" s="100"/>
      <c r="K16" s="100"/>
      <c r="L16" s="100">
        <f t="shared" si="1"/>
        <v>0</v>
      </c>
      <c r="M16" s="131" t="str">
        <f t="shared" si="0"/>
        <v/>
      </c>
      <c r="N16" s="100"/>
      <c r="O16" s="100"/>
      <c r="P16" s="100" t="s">
        <v>179</v>
      </c>
      <c r="Q16" s="100"/>
    </row>
    <row r="17" spans="1:17" ht="14" customHeight="1" x14ac:dyDescent="0.35">
      <c r="A17" s="100"/>
      <c r="B17" s="100"/>
      <c r="C17" s="100"/>
      <c r="D17" s="100"/>
      <c r="E17" s="100"/>
      <c r="F17" s="100"/>
      <c r="G17" s="100"/>
      <c r="H17" s="100"/>
      <c r="I17" s="100"/>
      <c r="J17" s="100"/>
      <c r="K17" s="100"/>
      <c r="L17" s="100">
        <f t="shared" si="1"/>
        <v>0</v>
      </c>
      <c r="M17" s="131" t="str">
        <f t="shared" si="0"/>
        <v/>
      </c>
      <c r="N17" s="100"/>
      <c r="O17" s="100"/>
      <c r="P17" s="100"/>
      <c r="Q17" s="100"/>
    </row>
    <row r="18" spans="1:17" ht="14" customHeight="1" x14ac:dyDescent="0.35">
      <c r="A18" s="100"/>
      <c r="B18" s="100"/>
      <c r="C18" s="100"/>
      <c r="D18" s="100"/>
      <c r="E18" s="100"/>
      <c r="F18" s="100"/>
      <c r="G18" s="100"/>
      <c r="H18" s="100"/>
      <c r="I18" s="100"/>
      <c r="J18" s="100"/>
      <c r="K18" s="100"/>
      <c r="L18" s="100">
        <f t="shared" si="1"/>
        <v>0</v>
      </c>
      <c r="M18" s="131" t="str">
        <f t="shared" si="0"/>
        <v/>
      </c>
      <c r="N18" s="100"/>
      <c r="O18" s="100"/>
      <c r="P18" s="100" t="s">
        <v>258</v>
      </c>
      <c r="Q18" s="100"/>
    </row>
    <row r="19" spans="1:17" x14ac:dyDescent="0.35">
      <c r="A19" s="100"/>
      <c r="B19" s="100"/>
      <c r="C19" s="100"/>
      <c r="D19" s="100"/>
      <c r="E19" s="100"/>
      <c r="F19" s="100"/>
      <c r="G19" s="100"/>
      <c r="H19" s="100"/>
      <c r="I19" s="100"/>
      <c r="J19" s="100"/>
      <c r="K19" s="100"/>
      <c r="L19" s="100">
        <f t="shared" si="1"/>
        <v>0</v>
      </c>
      <c r="M19" s="131" t="str">
        <f t="shared" si="0"/>
        <v/>
      </c>
      <c r="N19" s="100"/>
      <c r="O19" s="100"/>
      <c r="P19" s="100"/>
      <c r="Q19" s="100"/>
    </row>
  </sheetData>
  <mergeCells count="8">
    <mergeCell ref="P1:P2"/>
    <mergeCell ref="Q1:Q2"/>
    <mergeCell ref="D1:D2"/>
    <mergeCell ref="E1:E2"/>
    <mergeCell ref="F1:F2"/>
    <mergeCell ref="G1:I1"/>
    <mergeCell ref="J1:J2"/>
    <mergeCell ref="K1:O1"/>
  </mergeCells>
  <conditionalFormatting sqref="K3:K20">
    <cfRule type="expression" dxfId="16" priority="1" stopIfTrue="1">
      <formula>OR(K3="",ISBLANK(K3))</formula>
    </cfRule>
    <cfRule type="expression" dxfId="15" priority="2">
      <formula>AND(K3&lt;&gt;"",G3&lt;&gt;"",K3&gt;=G3)</formula>
    </cfRule>
    <cfRule type="expression" dxfId="14" priority="3">
      <formula>AND(K3&lt;&gt;"",G3&lt;&gt;"",K3&lt;G3)</formula>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4A72A-2BA8-455C-92C8-9FE4E16725D1}">
  <sheetPr>
    <tabColor rgb="FF339966"/>
  </sheetPr>
  <dimension ref="A1:GK117"/>
  <sheetViews>
    <sheetView showGridLines="0" zoomScale="25" zoomScaleNormal="25" workbookViewId="0">
      <pane xSplit="2" ySplit="6" topLeftCell="C7" activePane="bottomRight" state="frozen"/>
      <selection pane="topRight" activeCell="C1" sqref="C1"/>
      <selection pane="bottomLeft" activeCell="A6" sqref="A6"/>
      <selection pane="bottomRight" activeCell="P47" sqref="P47"/>
    </sheetView>
  </sheetViews>
  <sheetFormatPr baseColWidth="10" defaultRowHeight="14.5" x14ac:dyDescent="0.35"/>
  <cols>
    <col min="1" max="1" width="1.7265625" customWidth="1"/>
    <col min="2" max="2" width="16.453125" hidden="1" customWidth="1"/>
    <col min="3" max="3" width="16.453125" customWidth="1"/>
    <col min="4" max="4" width="62.54296875" hidden="1" customWidth="1"/>
    <col min="5" max="5" width="23.453125" style="6" hidden="1" customWidth="1"/>
    <col min="6" max="6" width="15.453125" hidden="1" customWidth="1"/>
    <col min="7" max="7" width="16.7265625" hidden="1" customWidth="1"/>
    <col min="8" max="8" width="14.54296875" hidden="1" customWidth="1"/>
    <col min="9" max="9" width="21.81640625" hidden="1" customWidth="1"/>
    <col min="10" max="193" width="3.54296875" customWidth="1"/>
  </cols>
  <sheetData>
    <row r="1" spans="1:179" ht="41.15" customHeight="1" x14ac:dyDescent="0.35">
      <c r="A1" s="53"/>
      <c r="B1" s="152" t="s">
        <v>158</v>
      </c>
      <c r="C1" s="152"/>
      <c r="D1" s="152"/>
      <c r="E1" s="152"/>
      <c r="F1" s="152"/>
      <c r="G1" s="53"/>
      <c r="H1" s="69" t="s">
        <v>110</v>
      </c>
      <c r="I1" s="67">
        <f>Arbeitsbereich!M1</f>
        <v>46099</v>
      </c>
      <c r="J1" s="53"/>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c r="FA1" s="101"/>
      <c r="FB1" s="101"/>
      <c r="FC1" s="101"/>
      <c r="FD1" s="101"/>
      <c r="FE1" s="101"/>
      <c r="FF1" s="101"/>
      <c r="FG1" s="101"/>
      <c r="FH1" s="101"/>
      <c r="FI1" s="101"/>
      <c r="FJ1" s="101"/>
      <c r="FK1" s="101"/>
      <c r="FL1" s="101"/>
      <c r="FM1" s="101"/>
      <c r="FN1" s="101"/>
      <c r="FO1" s="101"/>
      <c r="FP1" s="101"/>
      <c r="FQ1" s="101"/>
      <c r="FR1" s="101"/>
      <c r="FS1" s="101"/>
      <c r="FT1" s="101"/>
      <c r="FU1" s="101"/>
      <c r="FV1" s="101"/>
      <c r="FW1" s="101"/>
    </row>
    <row r="2" spans="1:179" ht="8.15" customHeight="1" x14ac:dyDescent="0.35">
      <c r="A2" s="101"/>
      <c r="B2" s="101"/>
      <c r="C2" s="101"/>
      <c r="D2" s="101"/>
      <c r="E2" s="125"/>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1"/>
      <c r="CC2" s="101"/>
      <c r="CD2" s="101"/>
      <c r="CE2" s="101"/>
      <c r="CF2" s="101"/>
      <c r="CG2" s="101"/>
      <c r="CH2" s="101"/>
      <c r="CI2" s="101"/>
      <c r="CJ2" s="101"/>
      <c r="CK2" s="101"/>
      <c r="CL2" s="101"/>
      <c r="CM2" s="101"/>
      <c r="CN2" s="101"/>
      <c r="CO2" s="101"/>
      <c r="CP2" s="101"/>
      <c r="CQ2" s="101"/>
      <c r="CR2" s="101"/>
      <c r="CS2" s="101"/>
      <c r="CT2" s="101"/>
      <c r="CU2" s="101"/>
      <c r="CV2" s="101"/>
      <c r="CW2" s="101"/>
      <c r="CX2" s="101"/>
      <c r="CY2" s="101"/>
      <c r="CZ2" s="101"/>
      <c r="DA2" s="101"/>
      <c r="DB2" s="101"/>
      <c r="DC2" s="101"/>
      <c r="DD2" s="101"/>
      <c r="DE2" s="101"/>
      <c r="DF2" s="101"/>
      <c r="DG2" s="101"/>
      <c r="DH2" s="101"/>
      <c r="DI2" s="101"/>
      <c r="DJ2" s="101"/>
      <c r="DK2" s="101"/>
      <c r="DL2" s="101"/>
      <c r="DM2" s="101"/>
      <c r="DN2" s="101"/>
      <c r="DO2" s="101"/>
      <c r="DP2" s="101"/>
      <c r="DQ2" s="101"/>
      <c r="DR2" s="101"/>
      <c r="DS2" s="101"/>
      <c r="DT2" s="101"/>
      <c r="DU2" s="101"/>
      <c r="DV2" s="101"/>
      <c r="DW2" s="101"/>
      <c r="DX2" s="101"/>
      <c r="DY2" s="101"/>
      <c r="DZ2" s="101"/>
      <c r="EA2" s="101"/>
      <c r="EB2" s="101"/>
      <c r="EC2" s="101"/>
      <c r="ED2" s="101"/>
      <c r="EE2" s="101"/>
      <c r="EF2" s="101"/>
      <c r="EG2" s="101"/>
      <c r="EH2" s="101"/>
      <c r="EI2" s="101"/>
      <c r="EJ2" s="101"/>
      <c r="EK2" s="101"/>
      <c r="EL2" s="101"/>
      <c r="EM2" s="101"/>
      <c r="EN2" s="101"/>
      <c r="EO2" s="101"/>
      <c r="EP2" s="101"/>
      <c r="EQ2" s="101"/>
      <c r="ER2" s="101"/>
      <c r="ES2" s="101"/>
      <c r="ET2" s="101"/>
      <c r="EU2" s="101"/>
      <c r="EV2" s="101"/>
      <c r="EW2" s="101"/>
      <c r="EX2" s="101"/>
      <c r="EY2" s="101"/>
      <c r="EZ2" s="101"/>
      <c r="FA2" s="101"/>
      <c r="FB2" s="101"/>
      <c r="FC2" s="101"/>
      <c r="FD2" s="101"/>
      <c r="FE2" s="101"/>
      <c r="FF2" s="101"/>
      <c r="FG2" s="101"/>
      <c r="FH2" s="101"/>
      <c r="FI2" s="101"/>
      <c r="FJ2" s="101"/>
      <c r="FK2" s="101"/>
      <c r="FL2" s="101"/>
      <c r="FM2" s="101"/>
      <c r="FN2" s="101"/>
      <c r="FO2" s="101"/>
      <c r="FP2" s="101"/>
      <c r="FQ2" s="101"/>
      <c r="FR2" s="101"/>
      <c r="FS2" s="101"/>
      <c r="FT2" s="101"/>
      <c r="FU2" s="101"/>
      <c r="FV2" s="101"/>
      <c r="FW2" s="101"/>
    </row>
    <row r="3" spans="1:179" x14ac:dyDescent="0.35">
      <c r="A3" s="101"/>
      <c r="B3" s="111"/>
      <c r="C3" s="111"/>
      <c r="D3" s="111"/>
      <c r="E3" s="112"/>
      <c r="F3" s="111"/>
      <c r="G3" s="111"/>
      <c r="H3" s="111"/>
      <c r="I3" s="111"/>
      <c r="J3" s="111"/>
      <c r="K3" s="142">
        <f>L5</f>
        <v>45670</v>
      </c>
      <c r="L3" s="143"/>
      <c r="M3" s="143"/>
      <c r="N3" s="143"/>
      <c r="O3" s="143"/>
      <c r="P3" s="143"/>
      <c r="Q3" s="143"/>
      <c r="R3" s="143"/>
      <c r="S3" s="143"/>
      <c r="T3" s="143"/>
      <c r="U3" s="143"/>
      <c r="V3" s="143"/>
      <c r="W3" s="143"/>
      <c r="X3" s="141">
        <f>AH5</f>
        <v>45824</v>
      </c>
      <c r="Y3" s="141"/>
      <c r="Z3" s="141"/>
      <c r="AA3" s="141"/>
      <c r="AB3" s="141"/>
      <c r="AC3" s="141"/>
      <c r="AD3" s="141"/>
      <c r="AE3" s="141"/>
      <c r="AF3" s="141"/>
      <c r="AG3" s="141"/>
      <c r="AH3" s="141"/>
      <c r="AI3" s="141"/>
      <c r="AJ3" s="141"/>
      <c r="AK3" s="142">
        <f>AL5</f>
        <v>45852</v>
      </c>
      <c r="AL3" s="143"/>
      <c r="AM3" s="143"/>
      <c r="AN3" s="143"/>
      <c r="AO3" s="143"/>
      <c r="AP3" s="143"/>
      <c r="AQ3" s="143"/>
      <c r="AR3" s="143"/>
      <c r="AS3" s="143"/>
      <c r="AT3" s="143"/>
      <c r="AU3" s="143"/>
      <c r="AV3" s="143"/>
      <c r="AW3" s="143"/>
      <c r="AX3" s="141">
        <f>BH5</f>
        <v>46006</v>
      </c>
      <c r="AY3" s="141"/>
      <c r="AZ3" s="141"/>
      <c r="BA3" s="141"/>
      <c r="BB3" s="141"/>
      <c r="BC3" s="141"/>
      <c r="BD3" s="141"/>
      <c r="BE3" s="141"/>
      <c r="BF3" s="141"/>
      <c r="BG3" s="141"/>
      <c r="BH3" s="141"/>
      <c r="BI3" s="141"/>
      <c r="BJ3" s="141"/>
      <c r="BK3" s="142">
        <f>BL5</f>
        <v>46034</v>
      </c>
      <c r="BL3" s="143"/>
      <c r="BM3" s="143"/>
      <c r="BN3" s="143"/>
      <c r="BO3" s="143"/>
      <c r="BP3" s="143"/>
      <c r="BQ3" s="143"/>
      <c r="BR3" s="143"/>
      <c r="BS3" s="143"/>
      <c r="BT3" s="143"/>
      <c r="BU3" s="143"/>
      <c r="BV3" s="143"/>
      <c r="BW3" s="143"/>
      <c r="BX3" s="141">
        <f>CH5</f>
        <v>46188</v>
      </c>
      <c r="BY3" s="141"/>
      <c r="BZ3" s="141"/>
      <c r="CA3" s="141"/>
      <c r="CB3" s="141"/>
      <c r="CC3" s="141"/>
      <c r="CD3" s="141"/>
      <c r="CE3" s="141"/>
      <c r="CF3" s="141"/>
      <c r="CG3" s="141"/>
      <c r="CH3" s="141"/>
      <c r="CI3" s="141"/>
      <c r="CJ3" s="141"/>
      <c r="CK3" s="142">
        <f>CL5</f>
        <v>46216</v>
      </c>
      <c r="CL3" s="143"/>
      <c r="CM3" s="143"/>
      <c r="CN3" s="143"/>
      <c r="CO3" s="143"/>
      <c r="CP3" s="143"/>
      <c r="CQ3" s="143"/>
      <c r="CR3" s="143"/>
      <c r="CS3" s="143"/>
      <c r="CT3" s="143"/>
      <c r="CU3" s="143"/>
      <c r="CV3" s="143"/>
      <c r="CW3" s="143"/>
      <c r="CX3" s="141">
        <f>DH5</f>
        <v>46370</v>
      </c>
      <c r="CY3" s="141"/>
      <c r="CZ3" s="141"/>
      <c r="DA3" s="141"/>
      <c r="DB3" s="141"/>
      <c r="DC3" s="141"/>
      <c r="DD3" s="141"/>
      <c r="DE3" s="141"/>
      <c r="DF3" s="141"/>
      <c r="DG3" s="141"/>
      <c r="DH3" s="141"/>
      <c r="DI3" s="141"/>
      <c r="DJ3" s="141"/>
      <c r="DK3" s="142">
        <f>DL5</f>
        <v>46398</v>
      </c>
      <c r="DL3" s="143"/>
      <c r="DM3" s="143"/>
      <c r="DN3" s="143"/>
      <c r="DO3" s="143"/>
      <c r="DP3" s="143"/>
      <c r="DQ3" s="143"/>
      <c r="DR3" s="143"/>
      <c r="DS3" s="143"/>
      <c r="DT3" s="143"/>
      <c r="DU3" s="143"/>
      <c r="DV3" s="143"/>
      <c r="DW3" s="143"/>
      <c r="DX3" s="141">
        <f>EH5</f>
        <v>46552</v>
      </c>
      <c r="DY3" s="141"/>
      <c r="DZ3" s="141"/>
      <c r="EA3" s="141"/>
      <c r="EB3" s="141"/>
      <c r="EC3" s="141"/>
      <c r="ED3" s="141"/>
      <c r="EE3" s="141"/>
      <c r="EF3" s="141"/>
      <c r="EG3" s="141"/>
      <c r="EH3" s="141"/>
      <c r="EI3" s="141"/>
      <c r="EJ3" s="141"/>
      <c r="EK3" s="142">
        <f>EL5</f>
        <v>46580</v>
      </c>
      <c r="EL3" s="143"/>
      <c r="EM3" s="143"/>
      <c r="EN3" s="143"/>
      <c r="EO3" s="143"/>
      <c r="EP3" s="143"/>
      <c r="EQ3" s="143"/>
      <c r="ER3" s="143"/>
      <c r="ES3" s="143"/>
      <c r="ET3" s="143"/>
      <c r="EU3" s="143"/>
      <c r="EV3" s="143"/>
      <c r="EW3" s="143"/>
      <c r="EX3" s="141">
        <f>FH5</f>
        <v>46734</v>
      </c>
      <c r="EY3" s="141"/>
      <c r="EZ3" s="141"/>
      <c r="FA3" s="141"/>
      <c r="FB3" s="141"/>
      <c r="FC3" s="141"/>
      <c r="FD3" s="141"/>
      <c r="FE3" s="141"/>
      <c r="FF3" s="141"/>
      <c r="FG3" s="141"/>
      <c r="FH3" s="141"/>
      <c r="FI3" s="141"/>
      <c r="FJ3" s="141"/>
      <c r="FK3" s="142">
        <f>FL5</f>
        <v>46762</v>
      </c>
      <c r="FL3" s="143"/>
      <c r="FM3" s="143"/>
      <c r="FN3" s="143"/>
      <c r="FO3" s="143"/>
      <c r="FP3" s="143"/>
      <c r="FQ3" s="143"/>
      <c r="FR3" s="143"/>
      <c r="FS3" s="143"/>
      <c r="FT3" s="143"/>
      <c r="FU3" s="143"/>
      <c r="FV3" s="143"/>
      <c r="FW3" s="143"/>
    </row>
    <row r="4" spans="1:179" ht="18" x14ac:dyDescent="0.4">
      <c r="A4" s="101"/>
      <c r="B4" s="111"/>
      <c r="C4" s="111"/>
      <c r="D4" s="113" t="s">
        <v>11</v>
      </c>
      <c r="E4" s="114">
        <v>45658</v>
      </c>
      <c r="F4" s="115"/>
      <c r="G4" s="116"/>
      <c r="H4" s="117"/>
      <c r="I4" s="117"/>
      <c r="J4" s="111"/>
      <c r="K4" s="147">
        <f>L5</f>
        <v>45670</v>
      </c>
      <c r="L4" s="147"/>
      <c r="M4" s="147"/>
      <c r="N4" s="147"/>
      <c r="O4" s="148">
        <f>P5</f>
        <v>45698</v>
      </c>
      <c r="P4" s="148"/>
      <c r="Q4" s="148"/>
      <c r="R4" s="148"/>
      <c r="S4" s="144">
        <f>T5</f>
        <v>45726</v>
      </c>
      <c r="T4" s="145"/>
      <c r="U4" s="145"/>
      <c r="V4" s="145"/>
      <c r="W4" s="146"/>
      <c r="X4" s="148">
        <f>Y5</f>
        <v>45761</v>
      </c>
      <c r="Y4" s="148"/>
      <c r="Z4" s="148"/>
      <c r="AA4" s="148"/>
      <c r="AB4" s="144">
        <f>AC5</f>
        <v>45789</v>
      </c>
      <c r="AC4" s="145"/>
      <c r="AD4" s="145"/>
      <c r="AE4" s="146"/>
      <c r="AF4" s="149">
        <f>AG5</f>
        <v>45817</v>
      </c>
      <c r="AG4" s="150"/>
      <c r="AH4" s="150"/>
      <c r="AI4" s="150"/>
      <c r="AJ4" s="151"/>
      <c r="AK4" s="147">
        <f>AL5</f>
        <v>45852</v>
      </c>
      <c r="AL4" s="147"/>
      <c r="AM4" s="147"/>
      <c r="AN4" s="147"/>
      <c r="AO4" s="149">
        <f>AP5</f>
        <v>45880</v>
      </c>
      <c r="AP4" s="150"/>
      <c r="AQ4" s="150"/>
      <c r="AR4" s="151"/>
      <c r="AS4" s="144">
        <f>AT5</f>
        <v>45908</v>
      </c>
      <c r="AT4" s="145"/>
      <c r="AU4" s="145"/>
      <c r="AV4" s="145"/>
      <c r="AW4" s="146"/>
      <c r="AX4" s="148">
        <f>AY5</f>
        <v>45943</v>
      </c>
      <c r="AY4" s="148"/>
      <c r="AZ4" s="148"/>
      <c r="BA4" s="148"/>
      <c r="BB4" s="144">
        <f>BC5</f>
        <v>45971</v>
      </c>
      <c r="BC4" s="145"/>
      <c r="BD4" s="145"/>
      <c r="BE4" s="146"/>
      <c r="BF4" s="149">
        <f>BG5</f>
        <v>45999</v>
      </c>
      <c r="BG4" s="150"/>
      <c r="BH4" s="150"/>
      <c r="BI4" s="150"/>
      <c r="BJ4" s="151"/>
      <c r="BK4" s="147">
        <f>BL5</f>
        <v>46034</v>
      </c>
      <c r="BL4" s="147"/>
      <c r="BM4" s="147"/>
      <c r="BN4" s="147"/>
      <c r="BO4" s="149">
        <f>BP5</f>
        <v>46062</v>
      </c>
      <c r="BP4" s="150"/>
      <c r="BQ4" s="150"/>
      <c r="BR4" s="151"/>
      <c r="BS4" s="144">
        <f>BT5</f>
        <v>46090</v>
      </c>
      <c r="BT4" s="145"/>
      <c r="BU4" s="145"/>
      <c r="BV4" s="145"/>
      <c r="BW4" s="146"/>
      <c r="BX4" s="149">
        <f>BY5</f>
        <v>46125</v>
      </c>
      <c r="BY4" s="150"/>
      <c r="BZ4" s="150"/>
      <c r="CA4" s="151"/>
      <c r="CB4" s="144">
        <f>CC5</f>
        <v>46153</v>
      </c>
      <c r="CC4" s="145"/>
      <c r="CD4" s="145"/>
      <c r="CE4" s="146"/>
      <c r="CF4" s="149">
        <f>CG5</f>
        <v>46181</v>
      </c>
      <c r="CG4" s="150"/>
      <c r="CH4" s="150"/>
      <c r="CI4" s="150"/>
      <c r="CJ4" s="151"/>
      <c r="CK4" s="144">
        <f>CL5</f>
        <v>46216</v>
      </c>
      <c r="CL4" s="145"/>
      <c r="CM4" s="145"/>
      <c r="CN4" s="146"/>
      <c r="CO4" s="149">
        <f>CP5</f>
        <v>46244</v>
      </c>
      <c r="CP4" s="150"/>
      <c r="CQ4" s="150"/>
      <c r="CR4" s="150"/>
      <c r="CS4" s="151"/>
      <c r="CT4" s="147">
        <f>CU5</f>
        <v>46279</v>
      </c>
      <c r="CU4" s="147"/>
      <c r="CV4" s="147"/>
      <c r="CW4" s="147"/>
      <c r="CX4" s="148">
        <f>CY5</f>
        <v>46307</v>
      </c>
      <c r="CY4" s="148"/>
      <c r="CZ4" s="148"/>
      <c r="DA4" s="148"/>
      <c r="DB4" s="147">
        <f>DC5</f>
        <v>46335</v>
      </c>
      <c r="DC4" s="147"/>
      <c r="DD4" s="147"/>
      <c r="DE4" s="147"/>
      <c r="DF4" s="147"/>
      <c r="DG4" s="148">
        <f>DH5</f>
        <v>46370</v>
      </c>
      <c r="DH4" s="148"/>
      <c r="DI4" s="148"/>
      <c r="DJ4" s="148"/>
      <c r="DK4" s="147">
        <f>DL5</f>
        <v>46398</v>
      </c>
      <c r="DL4" s="147"/>
      <c r="DM4" s="147"/>
      <c r="DN4" s="147"/>
      <c r="DO4" s="149">
        <f>DP5</f>
        <v>46426</v>
      </c>
      <c r="DP4" s="150"/>
      <c r="DQ4" s="150"/>
      <c r="DR4" s="151"/>
      <c r="DS4" s="144">
        <f>DT5</f>
        <v>46454</v>
      </c>
      <c r="DT4" s="145"/>
      <c r="DU4" s="145"/>
      <c r="DV4" s="145"/>
      <c r="DW4" s="146"/>
      <c r="DX4" s="149">
        <f>DY5</f>
        <v>46489</v>
      </c>
      <c r="DY4" s="150"/>
      <c r="DZ4" s="150"/>
      <c r="EA4" s="151"/>
      <c r="EB4" s="144">
        <f>EC5</f>
        <v>46517</v>
      </c>
      <c r="EC4" s="145"/>
      <c r="ED4" s="145"/>
      <c r="EE4" s="145"/>
      <c r="EF4" s="146"/>
      <c r="EG4" s="148">
        <f>EH5</f>
        <v>46552</v>
      </c>
      <c r="EH4" s="148"/>
      <c r="EI4" s="148"/>
      <c r="EJ4" s="148"/>
      <c r="EK4" s="144">
        <f>EL5</f>
        <v>46580</v>
      </c>
      <c r="EL4" s="145"/>
      <c r="EM4" s="145"/>
      <c r="EN4" s="146"/>
      <c r="EO4" s="149">
        <f>EP5</f>
        <v>46608</v>
      </c>
      <c r="EP4" s="150"/>
      <c r="EQ4" s="150"/>
      <c r="ER4" s="150"/>
      <c r="ES4" s="151"/>
      <c r="ET4" s="147">
        <f>EU5</f>
        <v>46643</v>
      </c>
      <c r="EU4" s="147"/>
      <c r="EV4" s="147"/>
      <c r="EW4" s="147"/>
      <c r="EX4" s="149">
        <f>EY5</f>
        <v>46671</v>
      </c>
      <c r="EY4" s="150"/>
      <c r="EZ4" s="150"/>
      <c r="FA4" s="151"/>
      <c r="FB4" s="144">
        <f>FC5</f>
        <v>46699</v>
      </c>
      <c r="FC4" s="145"/>
      <c r="FD4" s="145"/>
      <c r="FE4" s="145"/>
      <c r="FF4" s="146"/>
      <c r="FG4" s="148">
        <f>FH5</f>
        <v>46734</v>
      </c>
      <c r="FH4" s="148"/>
      <c r="FI4" s="148"/>
      <c r="FJ4" s="148"/>
      <c r="FK4" s="144">
        <f>FL5</f>
        <v>46762</v>
      </c>
      <c r="FL4" s="145"/>
      <c r="FM4" s="145"/>
      <c r="FN4" s="145"/>
      <c r="FO4" s="146"/>
      <c r="FP4" s="149">
        <f>FQ5</f>
        <v>46797</v>
      </c>
      <c r="FQ4" s="150"/>
      <c r="FR4" s="150"/>
      <c r="FS4" s="151"/>
      <c r="FT4" s="144">
        <f>FU5</f>
        <v>46825</v>
      </c>
      <c r="FU4" s="145"/>
      <c r="FV4" s="145"/>
      <c r="FW4" s="146"/>
    </row>
    <row r="5" spans="1:179" s="101" customFormat="1" ht="53.25" customHeight="1" x14ac:dyDescent="0.35">
      <c r="B5" s="111"/>
      <c r="C5" s="111"/>
      <c r="D5" s="118" t="s">
        <v>56</v>
      </c>
      <c r="E5" s="119">
        <f ca="1">TODAY()</f>
        <v>46091</v>
      </c>
      <c r="F5" s="111"/>
      <c r="G5" s="118" t="s">
        <v>12</v>
      </c>
      <c r="H5" s="120" t="s">
        <v>13</v>
      </c>
      <c r="I5" s="120"/>
      <c r="J5" s="121" t="s">
        <v>5</v>
      </c>
      <c r="K5" s="122">
        <f>IF(MONTH(E4-WEEKDAY(E4,2)+1) &lt; MONTH(E4), (E4-28-DAY(E4)+7) - WEEKDAY(E4-DAY(E4)+7,2)+1, (E4-DAY(E4)+7) - WEEKDAY(E4-DAY(E4)+7,2)+1)</f>
        <v>45663</v>
      </c>
      <c r="L5" s="122">
        <f>K5+7</f>
        <v>45670</v>
      </c>
      <c r="M5" s="122">
        <f>L5+7</f>
        <v>45677</v>
      </c>
      <c r="N5" s="122">
        <f>M5+7</f>
        <v>45684</v>
      </c>
      <c r="O5" s="122">
        <f t="shared" ref="O5:BZ5" si="0">N5+7</f>
        <v>45691</v>
      </c>
      <c r="P5" s="122">
        <f t="shared" si="0"/>
        <v>45698</v>
      </c>
      <c r="Q5" s="122">
        <f t="shared" si="0"/>
        <v>45705</v>
      </c>
      <c r="R5" s="122">
        <f t="shared" si="0"/>
        <v>45712</v>
      </c>
      <c r="S5" s="122">
        <f t="shared" si="0"/>
        <v>45719</v>
      </c>
      <c r="T5" s="122">
        <f t="shared" si="0"/>
        <v>45726</v>
      </c>
      <c r="U5" s="122">
        <f t="shared" si="0"/>
        <v>45733</v>
      </c>
      <c r="V5" s="122">
        <f t="shared" si="0"/>
        <v>45740</v>
      </c>
      <c r="W5" s="122">
        <f t="shared" si="0"/>
        <v>45747</v>
      </c>
      <c r="X5" s="122">
        <f t="shared" si="0"/>
        <v>45754</v>
      </c>
      <c r="Y5" s="122">
        <f t="shared" si="0"/>
        <v>45761</v>
      </c>
      <c r="Z5" s="122">
        <f t="shared" si="0"/>
        <v>45768</v>
      </c>
      <c r="AA5" s="122">
        <f t="shared" si="0"/>
        <v>45775</v>
      </c>
      <c r="AB5" s="122">
        <f t="shared" si="0"/>
        <v>45782</v>
      </c>
      <c r="AC5" s="122">
        <f t="shared" si="0"/>
        <v>45789</v>
      </c>
      <c r="AD5" s="122">
        <f t="shared" si="0"/>
        <v>45796</v>
      </c>
      <c r="AE5" s="122">
        <f t="shared" si="0"/>
        <v>45803</v>
      </c>
      <c r="AF5" s="122">
        <f t="shared" si="0"/>
        <v>45810</v>
      </c>
      <c r="AG5" s="122">
        <f t="shared" si="0"/>
        <v>45817</v>
      </c>
      <c r="AH5" s="122">
        <f t="shared" si="0"/>
        <v>45824</v>
      </c>
      <c r="AI5" s="122">
        <f t="shared" si="0"/>
        <v>45831</v>
      </c>
      <c r="AJ5" s="122">
        <f t="shared" si="0"/>
        <v>45838</v>
      </c>
      <c r="AK5" s="122">
        <f t="shared" si="0"/>
        <v>45845</v>
      </c>
      <c r="AL5" s="122">
        <f t="shared" si="0"/>
        <v>45852</v>
      </c>
      <c r="AM5" s="122">
        <f t="shared" si="0"/>
        <v>45859</v>
      </c>
      <c r="AN5" s="122">
        <f t="shared" si="0"/>
        <v>45866</v>
      </c>
      <c r="AO5" s="122">
        <f t="shared" si="0"/>
        <v>45873</v>
      </c>
      <c r="AP5" s="122">
        <f t="shared" si="0"/>
        <v>45880</v>
      </c>
      <c r="AQ5" s="122">
        <f t="shared" si="0"/>
        <v>45887</v>
      </c>
      <c r="AR5" s="122">
        <f t="shared" si="0"/>
        <v>45894</v>
      </c>
      <c r="AS5" s="122">
        <f t="shared" si="0"/>
        <v>45901</v>
      </c>
      <c r="AT5" s="122">
        <f t="shared" si="0"/>
        <v>45908</v>
      </c>
      <c r="AU5" s="122">
        <f t="shared" si="0"/>
        <v>45915</v>
      </c>
      <c r="AV5" s="122">
        <f t="shared" si="0"/>
        <v>45922</v>
      </c>
      <c r="AW5" s="122">
        <f t="shared" si="0"/>
        <v>45929</v>
      </c>
      <c r="AX5" s="122">
        <f t="shared" si="0"/>
        <v>45936</v>
      </c>
      <c r="AY5" s="122">
        <f t="shared" si="0"/>
        <v>45943</v>
      </c>
      <c r="AZ5" s="122">
        <f t="shared" si="0"/>
        <v>45950</v>
      </c>
      <c r="BA5" s="122">
        <f t="shared" si="0"/>
        <v>45957</v>
      </c>
      <c r="BB5" s="122">
        <f t="shared" si="0"/>
        <v>45964</v>
      </c>
      <c r="BC5" s="122">
        <f t="shared" si="0"/>
        <v>45971</v>
      </c>
      <c r="BD5" s="122">
        <f t="shared" si="0"/>
        <v>45978</v>
      </c>
      <c r="BE5" s="122">
        <f t="shared" si="0"/>
        <v>45985</v>
      </c>
      <c r="BF5" s="122">
        <f t="shared" si="0"/>
        <v>45992</v>
      </c>
      <c r="BG5" s="122">
        <f t="shared" si="0"/>
        <v>45999</v>
      </c>
      <c r="BH5" s="122">
        <f t="shared" si="0"/>
        <v>46006</v>
      </c>
      <c r="BI5" s="122">
        <f t="shared" si="0"/>
        <v>46013</v>
      </c>
      <c r="BJ5" s="122">
        <f t="shared" si="0"/>
        <v>46020</v>
      </c>
      <c r="BK5" s="122">
        <f t="shared" si="0"/>
        <v>46027</v>
      </c>
      <c r="BL5" s="122">
        <f t="shared" si="0"/>
        <v>46034</v>
      </c>
      <c r="BM5" s="122">
        <f t="shared" si="0"/>
        <v>46041</v>
      </c>
      <c r="BN5" s="122">
        <f t="shared" si="0"/>
        <v>46048</v>
      </c>
      <c r="BO5" s="122">
        <f t="shared" si="0"/>
        <v>46055</v>
      </c>
      <c r="BP5" s="122">
        <f t="shared" si="0"/>
        <v>46062</v>
      </c>
      <c r="BQ5" s="122">
        <f t="shared" si="0"/>
        <v>46069</v>
      </c>
      <c r="BR5" s="122">
        <f t="shared" si="0"/>
        <v>46076</v>
      </c>
      <c r="BS5" s="122">
        <f t="shared" si="0"/>
        <v>46083</v>
      </c>
      <c r="BT5" s="122">
        <f t="shared" si="0"/>
        <v>46090</v>
      </c>
      <c r="BU5" s="122">
        <f t="shared" si="0"/>
        <v>46097</v>
      </c>
      <c r="BV5" s="122">
        <f t="shared" si="0"/>
        <v>46104</v>
      </c>
      <c r="BW5" s="122">
        <f t="shared" si="0"/>
        <v>46111</v>
      </c>
      <c r="BX5" s="122">
        <f t="shared" si="0"/>
        <v>46118</v>
      </c>
      <c r="BY5" s="122">
        <f t="shared" si="0"/>
        <v>46125</v>
      </c>
      <c r="BZ5" s="122">
        <f t="shared" si="0"/>
        <v>46132</v>
      </c>
      <c r="CA5" s="122">
        <f t="shared" ref="CA5:EL5" si="1">BZ5+7</f>
        <v>46139</v>
      </c>
      <c r="CB5" s="122">
        <f t="shared" si="1"/>
        <v>46146</v>
      </c>
      <c r="CC5" s="122">
        <f t="shared" si="1"/>
        <v>46153</v>
      </c>
      <c r="CD5" s="122">
        <f t="shared" si="1"/>
        <v>46160</v>
      </c>
      <c r="CE5" s="122">
        <f t="shared" si="1"/>
        <v>46167</v>
      </c>
      <c r="CF5" s="122">
        <f t="shared" si="1"/>
        <v>46174</v>
      </c>
      <c r="CG5" s="122">
        <f t="shared" si="1"/>
        <v>46181</v>
      </c>
      <c r="CH5" s="122">
        <f t="shared" si="1"/>
        <v>46188</v>
      </c>
      <c r="CI5" s="122">
        <f t="shared" si="1"/>
        <v>46195</v>
      </c>
      <c r="CJ5" s="122">
        <f t="shared" si="1"/>
        <v>46202</v>
      </c>
      <c r="CK5" s="122">
        <f t="shared" si="1"/>
        <v>46209</v>
      </c>
      <c r="CL5" s="122">
        <f t="shared" si="1"/>
        <v>46216</v>
      </c>
      <c r="CM5" s="122">
        <f t="shared" si="1"/>
        <v>46223</v>
      </c>
      <c r="CN5" s="122">
        <f t="shared" si="1"/>
        <v>46230</v>
      </c>
      <c r="CO5" s="122">
        <f t="shared" si="1"/>
        <v>46237</v>
      </c>
      <c r="CP5" s="122">
        <f t="shared" si="1"/>
        <v>46244</v>
      </c>
      <c r="CQ5" s="122">
        <f t="shared" si="1"/>
        <v>46251</v>
      </c>
      <c r="CR5" s="122">
        <f t="shared" si="1"/>
        <v>46258</v>
      </c>
      <c r="CS5" s="122">
        <f t="shared" si="1"/>
        <v>46265</v>
      </c>
      <c r="CT5" s="122">
        <f t="shared" si="1"/>
        <v>46272</v>
      </c>
      <c r="CU5" s="122">
        <f t="shared" si="1"/>
        <v>46279</v>
      </c>
      <c r="CV5" s="122">
        <f t="shared" si="1"/>
        <v>46286</v>
      </c>
      <c r="CW5" s="122">
        <f t="shared" si="1"/>
        <v>46293</v>
      </c>
      <c r="CX5" s="122">
        <f t="shared" si="1"/>
        <v>46300</v>
      </c>
      <c r="CY5" s="122">
        <f t="shared" si="1"/>
        <v>46307</v>
      </c>
      <c r="CZ5" s="122">
        <f t="shared" si="1"/>
        <v>46314</v>
      </c>
      <c r="DA5" s="122">
        <f t="shared" si="1"/>
        <v>46321</v>
      </c>
      <c r="DB5" s="122">
        <f t="shared" si="1"/>
        <v>46328</v>
      </c>
      <c r="DC5" s="122">
        <f t="shared" si="1"/>
        <v>46335</v>
      </c>
      <c r="DD5" s="122">
        <f t="shared" si="1"/>
        <v>46342</v>
      </c>
      <c r="DE5" s="122">
        <f t="shared" si="1"/>
        <v>46349</v>
      </c>
      <c r="DF5" s="122">
        <f t="shared" si="1"/>
        <v>46356</v>
      </c>
      <c r="DG5" s="122">
        <f t="shared" si="1"/>
        <v>46363</v>
      </c>
      <c r="DH5" s="122">
        <f t="shared" si="1"/>
        <v>46370</v>
      </c>
      <c r="DI5" s="122">
        <f t="shared" si="1"/>
        <v>46377</v>
      </c>
      <c r="DJ5" s="122">
        <f t="shared" si="1"/>
        <v>46384</v>
      </c>
      <c r="DK5" s="122">
        <f t="shared" si="1"/>
        <v>46391</v>
      </c>
      <c r="DL5" s="122">
        <f t="shared" si="1"/>
        <v>46398</v>
      </c>
      <c r="DM5" s="122">
        <f t="shared" si="1"/>
        <v>46405</v>
      </c>
      <c r="DN5" s="122">
        <f t="shared" si="1"/>
        <v>46412</v>
      </c>
      <c r="DO5" s="122">
        <f t="shared" si="1"/>
        <v>46419</v>
      </c>
      <c r="DP5" s="122">
        <f t="shared" si="1"/>
        <v>46426</v>
      </c>
      <c r="DQ5" s="122">
        <f t="shared" si="1"/>
        <v>46433</v>
      </c>
      <c r="DR5" s="122">
        <f t="shared" si="1"/>
        <v>46440</v>
      </c>
      <c r="DS5" s="122">
        <f t="shared" si="1"/>
        <v>46447</v>
      </c>
      <c r="DT5" s="122">
        <f t="shared" si="1"/>
        <v>46454</v>
      </c>
      <c r="DU5" s="122">
        <f t="shared" si="1"/>
        <v>46461</v>
      </c>
      <c r="DV5" s="122">
        <f t="shared" si="1"/>
        <v>46468</v>
      </c>
      <c r="DW5" s="122">
        <f t="shared" si="1"/>
        <v>46475</v>
      </c>
      <c r="DX5" s="122">
        <f t="shared" si="1"/>
        <v>46482</v>
      </c>
      <c r="DY5" s="122">
        <f t="shared" si="1"/>
        <v>46489</v>
      </c>
      <c r="DZ5" s="122">
        <f t="shared" si="1"/>
        <v>46496</v>
      </c>
      <c r="EA5" s="122">
        <f t="shared" si="1"/>
        <v>46503</v>
      </c>
      <c r="EB5" s="122">
        <f t="shared" si="1"/>
        <v>46510</v>
      </c>
      <c r="EC5" s="122">
        <f t="shared" si="1"/>
        <v>46517</v>
      </c>
      <c r="ED5" s="122">
        <f t="shared" si="1"/>
        <v>46524</v>
      </c>
      <c r="EE5" s="122">
        <f t="shared" si="1"/>
        <v>46531</v>
      </c>
      <c r="EF5" s="122">
        <f t="shared" si="1"/>
        <v>46538</v>
      </c>
      <c r="EG5" s="122">
        <f t="shared" si="1"/>
        <v>46545</v>
      </c>
      <c r="EH5" s="122">
        <f t="shared" si="1"/>
        <v>46552</v>
      </c>
      <c r="EI5" s="122">
        <f t="shared" si="1"/>
        <v>46559</v>
      </c>
      <c r="EJ5" s="122">
        <f t="shared" si="1"/>
        <v>46566</v>
      </c>
      <c r="EK5" s="122">
        <f t="shared" si="1"/>
        <v>46573</v>
      </c>
      <c r="EL5" s="122">
        <f t="shared" si="1"/>
        <v>46580</v>
      </c>
      <c r="EM5" s="122">
        <f t="shared" ref="EM5:FW5" si="2">EL5+7</f>
        <v>46587</v>
      </c>
      <c r="EN5" s="122">
        <f t="shared" si="2"/>
        <v>46594</v>
      </c>
      <c r="EO5" s="122">
        <f t="shared" si="2"/>
        <v>46601</v>
      </c>
      <c r="EP5" s="122">
        <f t="shared" si="2"/>
        <v>46608</v>
      </c>
      <c r="EQ5" s="122">
        <f t="shared" si="2"/>
        <v>46615</v>
      </c>
      <c r="ER5" s="122">
        <f t="shared" si="2"/>
        <v>46622</v>
      </c>
      <c r="ES5" s="122">
        <f t="shared" si="2"/>
        <v>46629</v>
      </c>
      <c r="ET5" s="122">
        <f t="shared" si="2"/>
        <v>46636</v>
      </c>
      <c r="EU5" s="122">
        <f t="shared" si="2"/>
        <v>46643</v>
      </c>
      <c r="EV5" s="122">
        <f t="shared" si="2"/>
        <v>46650</v>
      </c>
      <c r="EW5" s="122">
        <f t="shared" si="2"/>
        <v>46657</v>
      </c>
      <c r="EX5" s="122">
        <f t="shared" si="2"/>
        <v>46664</v>
      </c>
      <c r="EY5" s="122">
        <f t="shared" si="2"/>
        <v>46671</v>
      </c>
      <c r="EZ5" s="122">
        <f t="shared" si="2"/>
        <v>46678</v>
      </c>
      <c r="FA5" s="122">
        <f t="shared" si="2"/>
        <v>46685</v>
      </c>
      <c r="FB5" s="122">
        <f t="shared" si="2"/>
        <v>46692</v>
      </c>
      <c r="FC5" s="122">
        <f t="shared" si="2"/>
        <v>46699</v>
      </c>
      <c r="FD5" s="122">
        <f t="shared" si="2"/>
        <v>46706</v>
      </c>
      <c r="FE5" s="122">
        <f t="shared" si="2"/>
        <v>46713</v>
      </c>
      <c r="FF5" s="122">
        <f t="shared" si="2"/>
        <v>46720</v>
      </c>
      <c r="FG5" s="122">
        <f t="shared" si="2"/>
        <v>46727</v>
      </c>
      <c r="FH5" s="122">
        <f t="shared" si="2"/>
        <v>46734</v>
      </c>
      <c r="FI5" s="122">
        <f t="shared" si="2"/>
        <v>46741</v>
      </c>
      <c r="FJ5" s="123">
        <f t="shared" si="2"/>
        <v>46748</v>
      </c>
      <c r="FK5" s="124">
        <f t="shared" si="2"/>
        <v>46755</v>
      </c>
      <c r="FL5" s="122">
        <f t="shared" si="2"/>
        <v>46762</v>
      </c>
      <c r="FM5" s="122">
        <f t="shared" si="2"/>
        <v>46769</v>
      </c>
      <c r="FN5" s="122">
        <f t="shared" si="2"/>
        <v>46776</v>
      </c>
      <c r="FO5" s="122">
        <f t="shared" si="2"/>
        <v>46783</v>
      </c>
      <c r="FP5" s="122">
        <f t="shared" si="2"/>
        <v>46790</v>
      </c>
      <c r="FQ5" s="122">
        <f t="shared" si="2"/>
        <v>46797</v>
      </c>
      <c r="FR5" s="122">
        <f t="shared" si="2"/>
        <v>46804</v>
      </c>
      <c r="FS5" s="122">
        <f t="shared" si="2"/>
        <v>46811</v>
      </c>
      <c r="FT5" s="124">
        <f t="shared" si="2"/>
        <v>46818</v>
      </c>
      <c r="FU5" s="122">
        <f t="shared" si="2"/>
        <v>46825</v>
      </c>
      <c r="FV5" s="122">
        <f t="shared" si="2"/>
        <v>46832</v>
      </c>
      <c r="FW5" s="122">
        <f t="shared" si="2"/>
        <v>46839</v>
      </c>
    </row>
    <row r="6" spans="1:179" s="101" customFormat="1" ht="24.65" customHeight="1" x14ac:dyDescent="0.35">
      <c r="B6" s="102" t="s">
        <v>127</v>
      </c>
      <c r="C6" s="102" t="s">
        <v>161</v>
      </c>
      <c r="D6" s="102" t="s">
        <v>136</v>
      </c>
      <c r="E6" s="103" t="s">
        <v>0</v>
      </c>
      <c r="F6" s="103" t="s">
        <v>1</v>
      </c>
      <c r="G6" s="103" t="s">
        <v>2</v>
      </c>
      <c r="H6" s="103" t="s">
        <v>63</v>
      </c>
      <c r="I6" s="104" t="s">
        <v>49</v>
      </c>
      <c r="J6" s="105"/>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6"/>
      <c r="BL6" s="106"/>
      <c r="BM6" s="106"/>
      <c r="BN6" s="106"/>
      <c r="BO6" s="106"/>
      <c r="BP6" s="106"/>
      <c r="BQ6" s="106"/>
      <c r="BR6" s="106"/>
      <c r="BS6" s="106"/>
      <c r="BT6" s="106"/>
      <c r="BU6" s="106"/>
      <c r="BV6" s="106"/>
      <c r="BW6" s="106"/>
      <c r="BX6" s="106"/>
      <c r="BY6" s="106"/>
      <c r="BZ6" s="106"/>
      <c r="CA6" s="106"/>
      <c r="CB6" s="106"/>
      <c r="CC6" s="106"/>
      <c r="CD6" s="106"/>
      <c r="CE6" s="106"/>
      <c r="CF6" s="106"/>
      <c r="CG6" s="106"/>
      <c r="CH6" s="106"/>
      <c r="CI6" s="106"/>
      <c r="CJ6" s="106"/>
      <c r="CK6" s="106"/>
      <c r="CL6" s="106"/>
      <c r="CM6" s="106"/>
      <c r="CN6" s="106"/>
      <c r="CO6" s="106"/>
      <c r="CP6" s="106"/>
      <c r="CQ6" s="106"/>
      <c r="CR6" s="106"/>
      <c r="CS6" s="106"/>
      <c r="CT6" s="106"/>
      <c r="CU6" s="106"/>
      <c r="CV6" s="106"/>
      <c r="CW6" s="106"/>
      <c r="CX6" s="106"/>
      <c r="CY6" s="106"/>
      <c r="CZ6" s="106"/>
      <c r="DA6" s="106"/>
      <c r="DB6" s="106"/>
      <c r="DC6" s="106"/>
      <c r="DD6" s="106"/>
      <c r="DE6" s="106"/>
      <c r="DF6" s="106"/>
      <c r="DG6" s="106"/>
      <c r="DH6" s="106"/>
      <c r="DI6" s="106"/>
      <c r="DJ6" s="106"/>
      <c r="DK6" s="106"/>
      <c r="DL6" s="106"/>
      <c r="DM6" s="106"/>
      <c r="DN6" s="106"/>
      <c r="DO6" s="106"/>
      <c r="DP6" s="106"/>
      <c r="DQ6" s="106"/>
      <c r="DR6" s="106"/>
      <c r="DS6" s="106"/>
      <c r="DT6" s="106"/>
      <c r="DU6" s="106"/>
      <c r="DV6" s="106"/>
      <c r="DW6" s="106"/>
      <c r="DX6" s="106"/>
      <c r="DY6" s="106"/>
      <c r="DZ6" s="106"/>
      <c r="EA6" s="106"/>
      <c r="EB6" s="106"/>
      <c r="EC6" s="106"/>
      <c r="ED6" s="106"/>
      <c r="EE6" s="106"/>
      <c r="EF6" s="106"/>
      <c r="EG6" s="106"/>
      <c r="EH6" s="106"/>
      <c r="EI6" s="106"/>
      <c r="EJ6" s="106"/>
      <c r="EK6" s="106"/>
      <c r="EL6" s="106"/>
      <c r="EM6" s="106"/>
      <c r="EN6" s="106"/>
      <c r="EO6" s="106"/>
      <c r="EP6" s="106"/>
      <c r="EQ6" s="106"/>
      <c r="ER6" s="106"/>
      <c r="ES6" s="106"/>
      <c r="ET6" s="106"/>
      <c r="EU6" s="106"/>
      <c r="EV6" s="106"/>
      <c r="EW6" s="106"/>
      <c r="EX6" s="106"/>
      <c r="EY6" s="106"/>
      <c r="EZ6" s="106"/>
      <c r="FA6" s="106"/>
      <c r="FB6" s="106"/>
      <c r="FC6" s="106"/>
      <c r="FD6" s="106"/>
      <c r="FE6" s="106"/>
      <c r="FF6" s="106"/>
      <c r="FG6" s="106"/>
      <c r="FH6" s="106"/>
      <c r="FI6" s="106"/>
      <c r="FJ6" s="106"/>
      <c r="FK6" s="106"/>
      <c r="FL6" s="106"/>
      <c r="FM6" s="106"/>
      <c r="FN6" s="106"/>
      <c r="FO6" s="106"/>
      <c r="FP6" s="106"/>
      <c r="FQ6" s="106"/>
      <c r="FR6" s="106"/>
      <c r="FS6" s="106"/>
      <c r="FT6" s="106"/>
      <c r="FU6" s="106"/>
      <c r="FV6" s="106"/>
      <c r="FW6" s="106"/>
    </row>
    <row r="7" spans="1:179" s="101" customFormat="1" ht="21" customHeight="1" x14ac:dyDescent="0.35">
      <c r="B7" s="27" t="e">
        <f>Portfolio_Daten!#REF!</f>
        <v>#REF!</v>
      </c>
      <c r="C7" s="27" t="str">
        <f>Portfolio_Daten!B5</f>
        <v>A1.1.1.1.1</v>
      </c>
      <c r="D7" s="28" t="str">
        <f>Portfolio_Daten!E5</f>
        <v>Zentrale Beschaffung Labormaterialien</v>
      </c>
      <c r="E7" s="31">
        <f>Portfolio_Daten!T5</f>
        <v>45689</v>
      </c>
      <c r="F7" s="31">
        <f>Portfolio_Daten!U5</f>
        <v>46568</v>
      </c>
      <c r="G7" s="107">
        <f>IF(F7="","",NETWORKDAYS(E7,F7,Parameter!$C$4:$C$51))</f>
        <v>596</v>
      </c>
      <c r="H7" s="29" t="str">
        <f>Portfolio_Daten!AG5</f>
        <v>In Arbeit</v>
      </c>
      <c r="I7" s="33">
        <f>Portfolio_Daten!AI5</f>
        <v>0.33</v>
      </c>
      <c r="J7" s="106"/>
      <c r="K7" s="108" t="str">
        <f t="shared" ref="K7:T16" si="3">IF(K$5=($F7-WEEKDAY($F7,2)+1),"u","")</f>
        <v/>
      </c>
      <c r="L7" s="108" t="str">
        <f t="shared" si="3"/>
        <v/>
      </c>
      <c r="M7" s="108" t="str">
        <f t="shared" si="3"/>
        <v/>
      </c>
      <c r="N7" s="108" t="str">
        <f t="shared" si="3"/>
        <v/>
      </c>
      <c r="O7" s="108" t="str">
        <f t="shared" si="3"/>
        <v/>
      </c>
      <c r="P7" s="108" t="str">
        <f t="shared" si="3"/>
        <v/>
      </c>
      <c r="Q7" s="108" t="str">
        <f t="shared" si="3"/>
        <v/>
      </c>
      <c r="R7" s="108" t="str">
        <f t="shared" si="3"/>
        <v/>
      </c>
      <c r="S7" s="108" t="str">
        <f t="shared" si="3"/>
        <v/>
      </c>
      <c r="T7" s="108" t="str">
        <f t="shared" si="3"/>
        <v/>
      </c>
      <c r="U7" s="108" t="str">
        <f t="shared" ref="U7:AD16" si="4">IF(U$5=($F7-WEEKDAY($F7,2)+1),"u","")</f>
        <v/>
      </c>
      <c r="V7" s="108" t="str">
        <f t="shared" si="4"/>
        <v/>
      </c>
      <c r="W7" s="108" t="str">
        <f t="shared" si="4"/>
        <v/>
      </c>
      <c r="X7" s="108" t="str">
        <f t="shared" si="4"/>
        <v/>
      </c>
      <c r="Y7" s="108" t="str">
        <f t="shared" si="4"/>
        <v/>
      </c>
      <c r="Z7" s="108" t="str">
        <f t="shared" si="4"/>
        <v/>
      </c>
      <c r="AA7" s="108" t="str">
        <f t="shared" si="4"/>
        <v/>
      </c>
      <c r="AB7" s="108" t="str">
        <f t="shared" si="4"/>
        <v/>
      </c>
      <c r="AC7" s="108" t="str">
        <f t="shared" si="4"/>
        <v/>
      </c>
      <c r="AD7" s="108" t="str">
        <f t="shared" si="4"/>
        <v/>
      </c>
      <c r="AE7" s="108" t="str">
        <f t="shared" ref="AE7:AN16" si="5">IF(AE$5=($F7-WEEKDAY($F7,2)+1),"u","")</f>
        <v/>
      </c>
      <c r="AF7" s="108" t="str">
        <f t="shared" si="5"/>
        <v/>
      </c>
      <c r="AG7" s="108" t="str">
        <f t="shared" si="5"/>
        <v/>
      </c>
      <c r="AH7" s="108" t="str">
        <f t="shared" si="5"/>
        <v/>
      </c>
      <c r="AI7" s="108" t="str">
        <f t="shared" si="5"/>
        <v/>
      </c>
      <c r="AJ7" s="108" t="str">
        <f t="shared" si="5"/>
        <v/>
      </c>
      <c r="AK7" s="108" t="str">
        <f t="shared" si="5"/>
        <v/>
      </c>
      <c r="AL7" s="108" t="str">
        <f t="shared" si="5"/>
        <v/>
      </c>
      <c r="AM7" s="108" t="str">
        <f t="shared" si="5"/>
        <v/>
      </c>
      <c r="AN7" s="108" t="str">
        <f t="shared" si="5"/>
        <v/>
      </c>
      <c r="AO7" s="108" t="str">
        <f t="shared" ref="AO7:AX16" si="6">IF(AO$5=($F7-WEEKDAY($F7,2)+1),"u","")</f>
        <v/>
      </c>
      <c r="AP7" s="108" t="str">
        <f t="shared" si="6"/>
        <v/>
      </c>
      <c r="AQ7" s="108" t="str">
        <f t="shared" si="6"/>
        <v/>
      </c>
      <c r="AR7" s="108" t="str">
        <f t="shared" si="6"/>
        <v/>
      </c>
      <c r="AS7" s="108" t="str">
        <f t="shared" si="6"/>
        <v/>
      </c>
      <c r="AT7" s="108" t="str">
        <f t="shared" si="6"/>
        <v/>
      </c>
      <c r="AU7" s="108" t="str">
        <f t="shared" si="6"/>
        <v/>
      </c>
      <c r="AV7" s="108" t="str">
        <f t="shared" si="6"/>
        <v/>
      </c>
      <c r="AW7" s="108" t="str">
        <f t="shared" si="6"/>
        <v/>
      </c>
      <c r="AX7" s="108" t="str">
        <f t="shared" si="6"/>
        <v/>
      </c>
      <c r="AY7" s="108" t="str">
        <f t="shared" ref="AY7:BH16" si="7">IF(AY$5=($F7-WEEKDAY($F7,2)+1),"u","")</f>
        <v/>
      </c>
      <c r="AZ7" s="108" t="str">
        <f t="shared" si="7"/>
        <v/>
      </c>
      <c r="BA7" s="108" t="str">
        <f t="shared" si="7"/>
        <v/>
      </c>
      <c r="BB7" s="108" t="str">
        <f t="shared" si="7"/>
        <v/>
      </c>
      <c r="BC7" s="108" t="str">
        <f t="shared" si="7"/>
        <v/>
      </c>
      <c r="BD7" s="108" t="str">
        <f t="shared" si="7"/>
        <v/>
      </c>
      <c r="BE7" s="108" t="str">
        <f t="shared" si="7"/>
        <v/>
      </c>
      <c r="BF7" s="108" t="str">
        <f t="shared" si="7"/>
        <v/>
      </c>
      <c r="BG7" s="108" t="str">
        <f t="shared" si="7"/>
        <v/>
      </c>
      <c r="BH7" s="108" t="str">
        <f t="shared" si="7"/>
        <v/>
      </c>
      <c r="BI7" s="108" t="str">
        <f t="shared" ref="BI7:BR16" si="8">IF(BI$5=($F7-WEEKDAY($F7,2)+1),"u","")</f>
        <v/>
      </c>
      <c r="BJ7" s="108" t="str">
        <f t="shared" si="8"/>
        <v/>
      </c>
      <c r="BK7" s="108" t="str">
        <f t="shared" si="8"/>
        <v/>
      </c>
      <c r="BL7" s="108" t="str">
        <f t="shared" si="8"/>
        <v/>
      </c>
      <c r="BM7" s="108" t="str">
        <f t="shared" si="8"/>
        <v/>
      </c>
      <c r="BN7" s="108" t="str">
        <f t="shared" si="8"/>
        <v/>
      </c>
      <c r="BO7" s="108" t="str">
        <f t="shared" si="8"/>
        <v/>
      </c>
      <c r="BP7" s="108" t="str">
        <f t="shared" si="8"/>
        <v/>
      </c>
      <c r="BQ7" s="108" t="str">
        <f t="shared" si="8"/>
        <v/>
      </c>
      <c r="BR7" s="108" t="str">
        <f t="shared" si="8"/>
        <v/>
      </c>
      <c r="BS7" s="108" t="str">
        <f t="shared" ref="BS7:CB16" si="9">IF(BS$5=($F7-WEEKDAY($F7,2)+1),"u","")</f>
        <v/>
      </c>
      <c r="BT7" s="108" t="str">
        <f t="shared" si="9"/>
        <v/>
      </c>
      <c r="BU7" s="108" t="str">
        <f t="shared" si="9"/>
        <v/>
      </c>
      <c r="BV7" s="108" t="str">
        <f t="shared" si="9"/>
        <v/>
      </c>
      <c r="BW7" s="108" t="str">
        <f t="shared" si="9"/>
        <v/>
      </c>
      <c r="BX7" s="108" t="str">
        <f t="shared" si="9"/>
        <v/>
      </c>
      <c r="BY7" s="108" t="str">
        <f t="shared" si="9"/>
        <v/>
      </c>
      <c r="BZ7" s="108" t="str">
        <f t="shared" si="9"/>
        <v/>
      </c>
      <c r="CA7" s="108" t="str">
        <f t="shared" si="9"/>
        <v/>
      </c>
      <c r="CB7" s="108" t="str">
        <f t="shared" si="9"/>
        <v/>
      </c>
      <c r="CC7" s="108" t="str">
        <f t="shared" ref="CC7:CL16" si="10">IF(CC$5=($F7-WEEKDAY($F7,2)+1),"u","")</f>
        <v/>
      </c>
      <c r="CD7" s="108" t="str">
        <f t="shared" si="10"/>
        <v/>
      </c>
      <c r="CE7" s="108" t="str">
        <f t="shared" si="10"/>
        <v/>
      </c>
      <c r="CF7" s="108" t="str">
        <f t="shared" si="10"/>
        <v/>
      </c>
      <c r="CG7" s="108" t="str">
        <f t="shared" si="10"/>
        <v/>
      </c>
      <c r="CH7" s="108" t="str">
        <f t="shared" si="10"/>
        <v/>
      </c>
      <c r="CI7" s="108" t="str">
        <f t="shared" si="10"/>
        <v/>
      </c>
      <c r="CJ7" s="108" t="str">
        <f t="shared" si="10"/>
        <v/>
      </c>
      <c r="CK7" s="108" t="str">
        <f t="shared" si="10"/>
        <v/>
      </c>
      <c r="CL7" s="108" t="str">
        <f t="shared" si="10"/>
        <v/>
      </c>
      <c r="CM7" s="108" t="str">
        <f t="shared" ref="CM7:CV16" si="11">IF(CM$5=($F7-WEEKDAY($F7,2)+1),"u","")</f>
        <v/>
      </c>
      <c r="CN7" s="108" t="str">
        <f t="shared" si="11"/>
        <v/>
      </c>
      <c r="CO7" s="108" t="str">
        <f t="shared" si="11"/>
        <v/>
      </c>
      <c r="CP7" s="108" t="str">
        <f t="shared" si="11"/>
        <v/>
      </c>
      <c r="CQ7" s="108" t="str">
        <f t="shared" si="11"/>
        <v/>
      </c>
      <c r="CR7" s="109" t="str">
        <f t="shared" si="11"/>
        <v/>
      </c>
      <c r="CS7" s="108" t="str">
        <f t="shared" si="11"/>
        <v/>
      </c>
      <c r="CT7" s="108" t="str">
        <f t="shared" si="11"/>
        <v/>
      </c>
      <c r="CU7" s="108" t="str">
        <f t="shared" si="11"/>
        <v/>
      </c>
      <c r="CV7" s="108" t="str">
        <f t="shared" si="11"/>
        <v/>
      </c>
      <c r="CW7" s="108" t="str">
        <f t="shared" ref="CW7:DF16" si="12">IF(CW$5=($F7-WEEKDAY($F7,2)+1),"u","")</f>
        <v/>
      </c>
      <c r="CX7" s="108" t="str">
        <f t="shared" si="12"/>
        <v/>
      </c>
      <c r="CY7" s="108" t="str">
        <f t="shared" si="12"/>
        <v/>
      </c>
      <c r="CZ7" s="109" t="str">
        <f t="shared" si="12"/>
        <v/>
      </c>
      <c r="DA7" s="108" t="str">
        <f t="shared" si="12"/>
        <v/>
      </c>
      <c r="DB7" s="108" t="str">
        <f t="shared" si="12"/>
        <v/>
      </c>
      <c r="DC7" s="108" t="str">
        <f t="shared" si="12"/>
        <v/>
      </c>
      <c r="DD7" s="108" t="str">
        <f t="shared" si="12"/>
        <v/>
      </c>
      <c r="DE7" s="108" t="str">
        <f t="shared" si="12"/>
        <v/>
      </c>
      <c r="DF7" s="108" t="str">
        <f t="shared" si="12"/>
        <v/>
      </c>
      <c r="DG7" s="108" t="str">
        <f t="shared" ref="DG7:DP16" si="13">IF(DG$5=($F7-WEEKDAY($F7,2)+1),"u","")</f>
        <v/>
      </c>
      <c r="DH7" s="109" t="str">
        <f t="shared" si="13"/>
        <v/>
      </c>
      <c r="DI7" s="108" t="str">
        <f t="shared" si="13"/>
        <v/>
      </c>
      <c r="DJ7" s="108" t="str">
        <f t="shared" si="13"/>
        <v/>
      </c>
      <c r="DK7" s="108" t="str">
        <f t="shared" si="13"/>
        <v/>
      </c>
      <c r="DL7" s="108" t="str">
        <f t="shared" si="13"/>
        <v/>
      </c>
      <c r="DM7" s="108" t="str">
        <f t="shared" si="13"/>
        <v/>
      </c>
      <c r="DN7" s="108" t="str">
        <f t="shared" si="13"/>
        <v/>
      </c>
      <c r="DO7" s="109" t="str">
        <f t="shared" si="13"/>
        <v/>
      </c>
      <c r="DP7" s="108" t="str">
        <f t="shared" si="13"/>
        <v/>
      </c>
      <c r="DQ7" s="108" t="str">
        <f t="shared" ref="DQ7:DZ16" si="14">IF(DQ$5=($F7-WEEKDAY($F7,2)+1),"u","")</f>
        <v/>
      </c>
      <c r="DR7" s="108" t="str">
        <f t="shared" si="14"/>
        <v/>
      </c>
      <c r="DS7" s="108" t="str">
        <f t="shared" si="14"/>
        <v/>
      </c>
      <c r="DT7" s="108" t="str">
        <f t="shared" si="14"/>
        <v/>
      </c>
      <c r="DU7" s="108" t="str">
        <f t="shared" si="14"/>
        <v/>
      </c>
      <c r="DV7" s="108" t="str">
        <f t="shared" si="14"/>
        <v/>
      </c>
      <c r="DW7" s="109" t="str">
        <f t="shared" si="14"/>
        <v/>
      </c>
      <c r="DX7" s="108" t="str">
        <f t="shared" si="14"/>
        <v/>
      </c>
      <c r="DY7" s="108" t="str">
        <f t="shared" si="14"/>
        <v/>
      </c>
      <c r="DZ7" s="108" t="str">
        <f t="shared" si="14"/>
        <v/>
      </c>
      <c r="EA7" s="108" t="str">
        <f t="shared" ref="EA7:EJ16" si="15">IF(EA$5=($F7-WEEKDAY($F7,2)+1),"u","")</f>
        <v/>
      </c>
      <c r="EB7" s="108" t="str">
        <f t="shared" si="15"/>
        <v/>
      </c>
      <c r="EC7" s="108" t="str">
        <f t="shared" si="15"/>
        <v/>
      </c>
      <c r="ED7" s="109" t="str">
        <f t="shared" si="15"/>
        <v/>
      </c>
      <c r="EE7" s="108" t="str">
        <f t="shared" si="15"/>
        <v/>
      </c>
      <c r="EF7" s="108" t="str">
        <f t="shared" si="15"/>
        <v/>
      </c>
      <c r="EG7" s="108" t="str">
        <f t="shared" si="15"/>
        <v/>
      </c>
      <c r="EH7" s="108" t="str">
        <f t="shared" si="15"/>
        <v/>
      </c>
      <c r="EI7" s="108" t="str">
        <f t="shared" si="15"/>
        <v/>
      </c>
      <c r="EJ7" s="108" t="str">
        <f t="shared" si="15"/>
        <v>u</v>
      </c>
      <c r="EK7" s="108" t="str">
        <f t="shared" ref="EK7:ET16" si="16">IF(EK$5=($F7-WEEKDAY($F7,2)+1),"u","")</f>
        <v/>
      </c>
      <c r="EL7" s="108" t="str">
        <f t="shared" si="16"/>
        <v/>
      </c>
      <c r="EM7" s="108" t="str">
        <f t="shared" si="16"/>
        <v/>
      </c>
      <c r="EN7" s="108" t="str">
        <f t="shared" si="16"/>
        <v/>
      </c>
      <c r="EO7" s="108" t="str">
        <f t="shared" si="16"/>
        <v/>
      </c>
      <c r="EP7" s="108" t="str">
        <f t="shared" si="16"/>
        <v/>
      </c>
      <c r="EQ7" s="108" t="str">
        <f t="shared" si="16"/>
        <v/>
      </c>
      <c r="ER7" s="108" t="str">
        <f t="shared" si="16"/>
        <v/>
      </c>
      <c r="ES7" s="109" t="str">
        <f t="shared" si="16"/>
        <v/>
      </c>
      <c r="ET7" s="108" t="str">
        <f t="shared" si="16"/>
        <v/>
      </c>
      <c r="EU7" s="108" t="str">
        <f t="shared" ref="EU7:FD16" si="17">IF(EU$5=($F7-WEEKDAY($F7,2)+1),"u","")</f>
        <v/>
      </c>
      <c r="EV7" s="108" t="str">
        <f t="shared" si="17"/>
        <v/>
      </c>
      <c r="EW7" s="108" t="str">
        <f t="shared" si="17"/>
        <v/>
      </c>
      <c r="EX7" s="108" t="str">
        <f t="shared" si="17"/>
        <v/>
      </c>
      <c r="EY7" s="108" t="str">
        <f t="shared" si="17"/>
        <v/>
      </c>
      <c r="EZ7" s="108" t="str">
        <f t="shared" si="17"/>
        <v/>
      </c>
      <c r="FA7" s="108" t="str">
        <f t="shared" si="17"/>
        <v/>
      </c>
      <c r="FB7" s="108" t="str">
        <f t="shared" si="17"/>
        <v/>
      </c>
      <c r="FC7" s="108" t="str">
        <f t="shared" si="17"/>
        <v/>
      </c>
      <c r="FD7" s="108" t="str">
        <f t="shared" si="17"/>
        <v/>
      </c>
      <c r="FE7" s="108" t="str">
        <f t="shared" ref="FE7:FN16" si="18">IF(FE$5=($F7-WEEKDAY($F7,2)+1),"u","")</f>
        <v/>
      </c>
      <c r="FF7" s="109" t="str">
        <f t="shared" si="18"/>
        <v/>
      </c>
      <c r="FG7" s="108" t="str">
        <f t="shared" si="18"/>
        <v/>
      </c>
      <c r="FH7" s="108" t="str">
        <f t="shared" si="18"/>
        <v/>
      </c>
      <c r="FI7" s="108" t="str">
        <f t="shared" si="18"/>
        <v/>
      </c>
      <c r="FJ7" s="108" t="str">
        <f t="shared" si="18"/>
        <v/>
      </c>
      <c r="FK7" s="108" t="str">
        <f t="shared" si="18"/>
        <v/>
      </c>
      <c r="FL7" s="108" t="str">
        <f t="shared" si="18"/>
        <v/>
      </c>
      <c r="FM7" s="108" t="str">
        <f t="shared" si="18"/>
        <v/>
      </c>
      <c r="FN7" s="108" t="str">
        <f t="shared" si="18"/>
        <v/>
      </c>
      <c r="FO7" s="108" t="str">
        <f t="shared" ref="FO7:FW16" si="19">IF(FO$5=($F7-WEEKDAY($F7,2)+1),"u","")</f>
        <v/>
      </c>
      <c r="FP7" s="108" t="str">
        <f t="shared" si="19"/>
        <v/>
      </c>
      <c r="FQ7" s="108" t="str">
        <f t="shared" si="19"/>
        <v/>
      </c>
      <c r="FR7" s="108" t="str">
        <f t="shared" si="19"/>
        <v/>
      </c>
      <c r="FS7" s="108" t="str">
        <f t="shared" si="19"/>
        <v/>
      </c>
      <c r="FT7" s="108" t="str">
        <f t="shared" si="19"/>
        <v/>
      </c>
      <c r="FU7" s="108" t="str">
        <f t="shared" si="19"/>
        <v/>
      </c>
      <c r="FV7" s="108" t="str">
        <f t="shared" si="19"/>
        <v/>
      </c>
      <c r="FW7" s="110" t="str">
        <f t="shared" si="19"/>
        <v/>
      </c>
    </row>
    <row r="8" spans="1:179" s="101" customFormat="1" ht="21" customHeight="1" x14ac:dyDescent="0.35">
      <c r="B8" s="27" t="e">
        <f>Portfolio_Daten!#REF!</f>
        <v>#REF!</v>
      </c>
      <c r="C8" s="27" t="str">
        <f>Portfolio_Daten!B6</f>
        <v>C1.2.2</v>
      </c>
      <c r="D8" s="28" t="str">
        <f>Portfolio_Daten!E6</f>
        <v>Digitale Lehr- und Prüfungsorganisation</v>
      </c>
      <c r="E8" s="31">
        <f>Portfolio_Daten!T6</f>
        <v>46023</v>
      </c>
      <c r="F8" s="31">
        <f>Portfolio_Daten!U6</f>
        <v>46752</v>
      </c>
      <c r="G8" s="107">
        <f>IF(F8="","",NETWORKDAYS(E8,F8,Parameter!$C$4:$C$51))</f>
        <v>497</v>
      </c>
      <c r="H8" s="29" t="str">
        <f>Portfolio_Daten!AG6</f>
        <v>Planung</v>
      </c>
      <c r="I8" s="33">
        <f>Portfolio_Daten!AI6</f>
        <v>0</v>
      </c>
      <c r="J8" s="106"/>
      <c r="K8" s="108" t="str">
        <f t="shared" si="3"/>
        <v/>
      </c>
      <c r="L8" s="108" t="str">
        <f t="shared" si="3"/>
        <v/>
      </c>
      <c r="M8" s="108" t="str">
        <f t="shared" si="3"/>
        <v/>
      </c>
      <c r="N8" s="108" t="str">
        <f t="shared" si="3"/>
        <v/>
      </c>
      <c r="O8" s="108" t="str">
        <f t="shared" si="3"/>
        <v/>
      </c>
      <c r="P8" s="108" t="str">
        <f t="shared" si="3"/>
        <v/>
      </c>
      <c r="Q8" s="108" t="str">
        <f t="shared" si="3"/>
        <v/>
      </c>
      <c r="R8" s="108" t="str">
        <f t="shared" si="3"/>
        <v/>
      </c>
      <c r="S8" s="108" t="str">
        <f t="shared" si="3"/>
        <v/>
      </c>
      <c r="T8" s="108" t="str">
        <f t="shared" si="3"/>
        <v/>
      </c>
      <c r="U8" s="108" t="str">
        <f t="shared" si="4"/>
        <v/>
      </c>
      <c r="V8" s="108" t="str">
        <f t="shared" si="4"/>
        <v/>
      </c>
      <c r="W8" s="108" t="str">
        <f t="shared" si="4"/>
        <v/>
      </c>
      <c r="X8" s="108" t="str">
        <f t="shared" si="4"/>
        <v/>
      </c>
      <c r="Y8" s="108" t="str">
        <f t="shared" si="4"/>
        <v/>
      </c>
      <c r="Z8" s="108" t="str">
        <f t="shared" si="4"/>
        <v/>
      </c>
      <c r="AA8" s="108" t="str">
        <f t="shared" si="4"/>
        <v/>
      </c>
      <c r="AB8" s="108" t="str">
        <f t="shared" si="4"/>
        <v/>
      </c>
      <c r="AC8" s="108" t="str">
        <f t="shared" si="4"/>
        <v/>
      </c>
      <c r="AD8" s="108" t="str">
        <f t="shared" si="4"/>
        <v/>
      </c>
      <c r="AE8" s="108" t="str">
        <f t="shared" si="5"/>
        <v/>
      </c>
      <c r="AF8" s="108" t="str">
        <f t="shared" si="5"/>
        <v/>
      </c>
      <c r="AG8" s="108" t="str">
        <f t="shared" si="5"/>
        <v/>
      </c>
      <c r="AH8" s="108" t="str">
        <f t="shared" si="5"/>
        <v/>
      </c>
      <c r="AI8" s="108" t="str">
        <f t="shared" si="5"/>
        <v/>
      </c>
      <c r="AJ8" s="108" t="str">
        <f t="shared" si="5"/>
        <v/>
      </c>
      <c r="AK8" s="108" t="str">
        <f t="shared" si="5"/>
        <v/>
      </c>
      <c r="AL8" s="108" t="str">
        <f t="shared" si="5"/>
        <v/>
      </c>
      <c r="AM8" s="108" t="str">
        <f t="shared" si="5"/>
        <v/>
      </c>
      <c r="AN8" s="108" t="str">
        <f t="shared" si="5"/>
        <v/>
      </c>
      <c r="AO8" s="108" t="str">
        <f t="shared" si="6"/>
        <v/>
      </c>
      <c r="AP8" s="108" t="str">
        <f t="shared" si="6"/>
        <v/>
      </c>
      <c r="AQ8" s="108" t="str">
        <f t="shared" si="6"/>
        <v/>
      </c>
      <c r="AR8" s="108" t="str">
        <f t="shared" si="6"/>
        <v/>
      </c>
      <c r="AS8" s="108" t="str">
        <f t="shared" si="6"/>
        <v/>
      </c>
      <c r="AT8" s="108" t="str">
        <f t="shared" si="6"/>
        <v/>
      </c>
      <c r="AU8" s="108" t="str">
        <f t="shared" si="6"/>
        <v/>
      </c>
      <c r="AV8" s="108" t="str">
        <f t="shared" si="6"/>
        <v/>
      </c>
      <c r="AW8" s="108" t="str">
        <f t="shared" si="6"/>
        <v/>
      </c>
      <c r="AX8" s="108" t="str">
        <f t="shared" si="6"/>
        <v/>
      </c>
      <c r="AY8" s="108" t="str">
        <f t="shared" si="7"/>
        <v/>
      </c>
      <c r="AZ8" s="108" t="str">
        <f t="shared" si="7"/>
        <v/>
      </c>
      <c r="BA8" s="108" t="str">
        <f t="shared" si="7"/>
        <v/>
      </c>
      <c r="BB8" s="108" t="str">
        <f t="shared" si="7"/>
        <v/>
      </c>
      <c r="BC8" s="108" t="str">
        <f t="shared" si="7"/>
        <v/>
      </c>
      <c r="BD8" s="108" t="str">
        <f t="shared" si="7"/>
        <v/>
      </c>
      <c r="BE8" s="108" t="str">
        <f t="shared" si="7"/>
        <v/>
      </c>
      <c r="BF8" s="108" t="str">
        <f t="shared" si="7"/>
        <v/>
      </c>
      <c r="BG8" s="108" t="str">
        <f t="shared" si="7"/>
        <v/>
      </c>
      <c r="BH8" s="108" t="str">
        <f t="shared" si="7"/>
        <v/>
      </c>
      <c r="BI8" s="108" t="str">
        <f t="shared" si="8"/>
        <v/>
      </c>
      <c r="BJ8" s="108" t="str">
        <f t="shared" si="8"/>
        <v/>
      </c>
      <c r="BK8" s="108" t="str">
        <f t="shared" si="8"/>
        <v/>
      </c>
      <c r="BL8" s="108" t="str">
        <f t="shared" si="8"/>
        <v/>
      </c>
      <c r="BM8" s="108" t="str">
        <f t="shared" si="8"/>
        <v/>
      </c>
      <c r="BN8" s="108" t="str">
        <f t="shared" si="8"/>
        <v/>
      </c>
      <c r="BO8" s="108" t="str">
        <f t="shared" si="8"/>
        <v/>
      </c>
      <c r="BP8" s="108" t="str">
        <f t="shared" si="8"/>
        <v/>
      </c>
      <c r="BQ8" s="108" t="str">
        <f t="shared" si="8"/>
        <v/>
      </c>
      <c r="BR8" s="108" t="str">
        <f t="shared" si="8"/>
        <v/>
      </c>
      <c r="BS8" s="108" t="str">
        <f t="shared" si="9"/>
        <v/>
      </c>
      <c r="BT8" s="108" t="str">
        <f t="shared" si="9"/>
        <v/>
      </c>
      <c r="BU8" s="108" t="str">
        <f t="shared" si="9"/>
        <v/>
      </c>
      <c r="BV8" s="108" t="str">
        <f t="shared" si="9"/>
        <v/>
      </c>
      <c r="BW8" s="108" t="str">
        <f t="shared" si="9"/>
        <v/>
      </c>
      <c r="BX8" s="108" t="str">
        <f t="shared" si="9"/>
        <v/>
      </c>
      <c r="BY8" s="108" t="str">
        <f t="shared" si="9"/>
        <v/>
      </c>
      <c r="BZ8" s="108" t="str">
        <f t="shared" si="9"/>
        <v/>
      </c>
      <c r="CA8" s="108" t="str">
        <f t="shared" si="9"/>
        <v/>
      </c>
      <c r="CB8" s="108" t="str">
        <f t="shared" si="9"/>
        <v/>
      </c>
      <c r="CC8" s="108" t="str">
        <f t="shared" si="10"/>
        <v/>
      </c>
      <c r="CD8" s="108" t="str">
        <f t="shared" si="10"/>
        <v/>
      </c>
      <c r="CE8" s="108" t="str">
        <f t="shared" si="10"/>
        <v/>
      </c>
      <c r="CF8" s="108" t="str">
        <f t="shared" si="10"/>
        <v/>
      </c>
      <c r="CG8" s="108" t="str">
        <f t="shared" si="10"/>
        <v/>
      </c>
      <c r="CH8" s="108" t="str">
        <f t="shared" si="10"/>
        <v/>
      </c>
      <c r="CI8" s="108" t="str">
        <f t="shared" si="10"/>
        <v/>
      </c>
      <c r="CJ8" s="108" t="str">
        <f t="shared" si="10"/>
        <v/>
      </c>
      <c r="CK8" s="108" t="str">
        <f t="shared" si="10"/>
        <v/>
      </c>
      <c r="CL8" s="108" t="str">
        <f t="shared" si="10"/>
        <v/>
      </c>
      <c r="CM8" s="108" t="str">
        <f t="shared" si="11"/>
        <v/>
      </c>
      <c r="CN8" s="108" t="str">
        <f t="shared" si="11"/>
        <v/>
      </c>
      <c r="CO8" s="108" t="str">
        <f t="shared" si="11"/>
        <v/>
      </c>
      <c r="CP8" s="108" t="str">
        <f t="shared" si="11"/>
        <v/>
      </c>
      <c r="CQ8" s="108" t="str">
        <f t="shared" si="11"/>
        <v/>
      </c>
      <c r="CR8" s="109" t="str">
        <f t="shared" si="11"/>
        <v/>
      </c>
      <c r="CS8" s="108" t="str">
        <f t="shared" si="11"/>
        <v/>
      </c>
      <c r="CT8" s="108" t="str">
        <f t="shared" si="11"/>
        <v/>
      </c>
      <c r="CU8" s="108" t="str">
        <f t="shared" si="11"/>
        <v/>
      </c>
      <c r="CV8" s="108" t="str">
        <f t="shared" si="11"/>
        <v/>
      </c>
      <c r="CW8" s="108" t="str">
        <f t="shared" si="12"/>
        <v/>
      </c>
      <c r="CX8" s="108" t="str">
        <f t="shared" si="12"/>
        <v/>
      </c>
      <c r="CY8" s="108" t="str">
        <f t="shared" si="12"/>
        <v/>
      </c>
      <c r="CZ8" s="109" t="str">
        <f t="shared" si="12"/>
        <v/>
      </c>
      <c r="DA8" s="108" t="str">
        <f t="shared" si="12"/>
        <v/>
      </c>
      <c r="DB8" s="108" t="str">
        <f t="shared" si="12"/>
        <v/>
      </c>
      <c r="DC8" s="108" t="str">
        <f t="shared" si="12"/>
        <v/>
      </c>
      <c r="DD8" s="108" t="str">
        <f t="shared" si="12"/>
        <v/>
      </c>
      <c r="DE8" s="108" t="str">
        <f t="shared" si="12"/>
        <v/>
      </c>
      <c r="DF8" s="108" t="str">
        <f t="shared" si="12"/>
        <v/>
      </c>
      <c r="DG8" s="108" t="str">
        <f t="shared" si="13"/>
        <v/>
      </c>
      <c r="DH8" s="109" t="str">
        <f t="shared" si="13"/>
        <v/>
      </c>
      <c r="DI8" s="108" t="str">
        <f t="shared" si="13"/>
        <v/>
      </c>
      <c r="DJ8" s="108" t="str">
        <f t="shared" si="13"/>
        <v/>
      </c>
      <c r="DK8" s="108" t="str">
        <f t="shared" si="13"/>
        <v/>
      </c>
      <c r="DL8" s="108" t="str">
        <f t="shared" si="13"/>
        <v/>
      </c>
      <c r="DM8" s="108" t="str">
        <f t="shared" si="13"/>
        <v/>
      </c>
      <c r="DN8" s="108" t="str">
        <f t="shared" si="13"/>
        <v/>
      </c>
      <c r="DO8" s="109" t="str">
        <f t="shared" si="13"/>
        <v/>
      </c>
      <c r="DP8" s="108" t="str">
        <f t="shared" si="13"/>
        <v/>
      </c>
      <c r="DQ8" s="108" t="str">
        <f t="shared" si="14"/>
        <v/>
      </c>
      <c r="DR8" s="108" t="str">
        <f t="shared" si="14"/>
        <v/>
      </c>
      <c r="DS8" s="108" t="str">
        <f t="shared" si="14"/>
        <v/>
      </c>
      <c r="DT8" s="108" t="str">
        <f t="shared" si="14"/>
        <v/>
      </c>
      <c r="DU8" s="108" t="str">
        <f t="shared" si="14"/>
        <v/>
      </c>
      <c r="DV8" s="108" t="str">
        <f t="shared" si="14"/>
        <v/>
      </c>
      <c r="DW8" s="109" t="str">
        <f t="shared" si="14"/>
        <v/>
      </c>
      <c r="DX8" s="108" t="str">
        <f t="shared" si="14"/>
        <v/>
      </c>
      <c r="DY8" s="108" t="str">
        <f t="shared" si="14"/>
        <v/>
      </c>
      <c r="DZ8" s="108" t="str">
        <f t="shared" si="14"/>
        <v/>
      </c>
      <c r="EA8" s="108" t="str">
        <f t="shared" si="15"/>
        <v/>
      </c>
      <c r="EB8" s="108" t="str">
        <f t="shared" si="15"/>
        <v/>
      </c>
      <c r="EC8" s="108" t="str">
        <f t="shared" si="15"/>
        <v/>
      </c>
      <c r="ED8" s="109" t="str">
        <f t="shared" si="15"/>
        <v/>
      </c>
      <c r="EE8" s="108" t="str">
        <f t="shared" si="15"/>
        <v/>
      </c>
      <c r="EF8" s="108" t="str">
        <f t="shared" si="15"/>
        <v/>
      </c>
      <c r="EG8" s="108" t="str">
        <f t="shared" si="15"/>
        <v/>
      </c>
      <c r="EH8" s="108" t="str">
        <f t="shared" si="15"/>
        <v/>
      </c>
      <c r="EI8" s="108" t="str">
        <f t="shared" si="15"/>
        <v/>
      </c>
      <c r="EJ8" s="108" t="str">
        <f t="shared" si="15"/>
        <v/>
      </c>
      <c r="EK8" s="108" t="str">
        <f t="shared" si="16"/>
        <v/>
      </c>
      <c r="EL8" s="108" t="str">
        <f t="shared" si="16"/>
        <v/>
      </c>
      <c r="EM8" s="108" t="str">
        <f t="shared" si="16"/>
        <v/>
      </c>
      <c r="EN8" s="108" t="str">
        <f t="shared" si="16"/>
        <v/>
      </c>
      <c r="EO8" s="108" t="str">
        <f t="shared" si="16"/>
        <v/>
      </c>
      <c r="EP8" s="108" t="str">
        <f t="shared" si="16"/>
        <v/>
      </c>
      <c r="EQ8" s="108" t="str">
        <f t="shared" si="16"/>
        <v/>
      </c>
      <c r="ER8" s="108" t="str">
        <f t="shared" si="16"/>
        <v/>
      </c>
      <c r="ES8" s="109" t="str">
        <f t="shared" si="16"/>
        <v/>
      </c>
      <c r="ET8" s="108" t="str">
        <f t="shared" si="16"/>
        <v/>
      </c>
      <c r="EU8" s="108" t="str">
        <f t="shared" si="17"/>
        <v/>
      </c>
      <c r="EV8" s="108" t="str">
        <f t="shared" si="17"/>
        <v/>
      </c>
      <c r="EW8" s="108" t="str">
        <f t="shared" si="17"/>
        <v/>
      </c>
      <c r="EX8" s="108" t="str">
        <f t="shared" si="17"/>
        <v/>
      </c>
      <c r="EY8" s="108" t="str">
        <f t="shared" si="17"/>
        <v/>
      </c>
      <c r="EZ8" s="108" t="str">
        <f t="shared" si="17"/>
        <v/>
      </c>
      <c r="FA8" s="108" t="str">
        <f t="shared" si="17"/>
        <v/>
      </c>
      <c r="FB8" s="108" t="str">
        <f t="shared" si="17"/>
        <v/>
      </c>
      <c r="FC8" s="108" t="str">
        <f t="shared" si="17"/>
        <v/>
      </c>
      <c r="FD8" s="108" t="str">
        <f t="shared" si="17"/>
        <v/>
      </c>
      <c r="FE8" s="108" t="str">
        <f t="shared" si="18"/>
        <v/>
      </c>
      <c r="FF8" s="109" t="str">
        <f t="shared" si="18"/>
        <v/>
      </c>
      <c r="FG8" s="108" t="str">
        <f t="shared" si="18"/>
        <v/>
      </c>
      <c r="FH8" s="108" t="str">
        <f t="shared" si="18"/>
        <v/>
      </c>
      <c r="FI8" s="108" t="str">
        <f t="shared" si="18"/>
        <v/>
      </c>
      <c r="FJ8" s="108" t="str">
        <f t="shared" si="18"/>
        <v>u</v>
      </c>
      <c r="FK8" s="108" t="str">
        <f t="shared" si="18"/>
        <v/>
      </c>
      <c r="FL8" s="108" t="str">
        <f t="shared" si="18"/>
        <v/>
      </c>
      <c r="FM8" s="108" t="str">
        <f t="shared" si="18"/>
        <v/>
      </c>
      <c r="FN8" s="108" t="str">
        <f t="shared" si="18"/>
        <v/>
      </c>
      <c r="FO8" s="108" t="str">
        <f t="shared" si="19"/>
        <v/>
      </c>
      <c r="FP8" s="108" t="str">
        <f t="shared" si="19"/>
        <v/>
      </c>
      <c r="FQ8" s="108" t="str">
        <f t="shared" si="19"/>
        <v/>
      </c>
      <c r="FR8" s="108" t="str">
        <f t="shared" si="19"/>
        <v/>
      </c>
      <c r="FS8" s="108" t="str">
        <f t="shared" si="19"/>
        <v/>
      </c>
      <c r="FT8" s="108" t="str">
        <f t="shared" si="19"/>
        <v/>
      </c>
      <c r="FU8" s="108" t="str">
        <f t="shared" si="19"/>
        <v/>
      </c>
      <c r="FV8" s="108" t="str">
        <f t="shared" si="19"/>
        <v/>
      </c>
      <c r="FW8" s="110" t="str">
        <f t="shared" si="19"/>
        <v/>
      </c>
    </row>
    <row r="9" spans="1:179" s="101" customFormat="1" ht="21" customHeight="1" x14ac:dyDescent="0.35">
      <c r="B9" s="27" t="e">
        <f>Portfolio_Daten!#REF!</f>
        <v>#REF!</v>
      </c>
      <c r="C9" s="27" t="str">
        <f>Portfolio_Daten!B7</f>
        <v>C7.7.7.8</v>
      </c>
      <c r="D9" s="28" t="str">
        <f>Portfolio_Daten!E7</f>
        <v>Einführung Erweiterungsstudium Meereskrabben</v>
      </c>
      <c r="E9" s="31">
        <f>Portfolio_Daten!T7</f>
        <v>0</v>
      </c>
      <c r="F9" s="31">
        <f>Portfolio_Daten!U7</f>
        <v>0</v>
      </c>
      <c r="G9" s="107">
        <f>IF(F9="","",NETWORKDAYS(E9,F9,Parameter!$C$4:$C$51))</f>
        <v>0</v>
      </c>
      <c r="H9" s="29" t="str">
        <f>Portfolio_Daten!AG7</f>
        <v>Idee erfasst/noch nicht gestartet</v>
      </c>
      <c r="I9" s="33">
        <f>Portfolio_Daten!AI7</f>
        <v>0</v>
      </c>
      <c r="J9" s="106"/>
      <c r="K9" s="108" t="str">
        <f t="shared" si="3"/>
        <v/>
      </c>
      <c r="L9" s="108" t="str">
        <f t="shared" si="3"/>
        <v/>
      </c>
      <c r="M9" s="108" t="str">
        <f t="shared" si="3"/>
        <v/>
      </c>
      <c r="N9" s="108" t="str">
        <f t="shared" si="3"/>
        <v/>
      </c>
      <c r="O9" s="108" t="str">
        <f t="shared" si="3"/>
        <v/>
      </c>
      <c r="P9" s="108" t="str">
        <f t="shared" si="3"/>
        <v/>
      </c>
      <c r="Q9" s="108" t="str">
        <f t="shared" si="3"/>
        <v/>
      </c>
      <c r="R9" s="108" t="str">
        <f t="shared" si="3"/>
        <v/>
      </c>
      <c r="S9" s="108" t="str">
        <f t="shared" si="3"/>
        <v/>
      </c>
      <c r="T9" s="108" t="str">
        <f t="shared" si="3"/>
        <v/>
      </c>
      <c r="U9" s="108" t="str">
        <f t="shared" si="4"/>
        <v/>
      </c>
      <c r="V9" s="108" t="str">
        <f t="shared" si="4"/>
        <v/>
      </c>
      <c r="W9" s="108" t="str">
        <f t="shared" si="4"/>
        <v/>
      </c>
      <c r="X9" s="108" t="str">
        <f t="shared" si="4"/>
        <v/>
      </c>
      <c r="Y9" s="108" t="str">
        <f t="shared" si="4"/>
        <v/>
      </c>
      <c r="Z9" s="108" t="str">
        <f t="shared" si="4"/>
        <v/>
      </c>
      <c r="AA9" s="108" t="str">
        <f t="shared" si="4"/>
        <v/>
      </c>
      <c r="AB9" s="108" t="str">
        <f t="shared" si="4"/>
        <v/>
      </c>
      <c r="AC9" s="108" t="str">
        <f t="shared" si="4"/>
        <v/>
      </c>
      <c r="AD9" s="108" t="str">
        <f t="shared" si="4"/>
        <v/>
      </c>
      <c r="AE9" s="108" t="str">
        <f t="shared" si="5"/>
        <v/>
      </c>
      <c r="AF9" s="108" t="str">
        <f t="shared" si="5"/>
        <v/>
      </c>
      <c r="AG9" s="108" t="str">
        <f t="shared" si="5"/>
        <v/>
      </c>
      <c r="AH9" s="108" t="str">
        <f t="shared" si="5"/>
        <v/>
      </c>
      <c r="AI9" s="108" t="str">
        <f t="shared" si="5"/>
        <v/>
      </c>
      <c r="AJ9" s="108" t="str">
        <f t="shared" si="5"/>
        <v/>
      </c>
      <c r="AK9" s="108" t="str">
        <f t="shared" si="5"/>
        <v/>
      </c>
      <c r="AL9" s="108" t="str">
        <f t="shared" si="5"/>
        <v/>
      </c>
      <c r="AM9" s="108" t="str">
        <f t="shared" si="5"/>
        <v/>
      </c>
      <c r="AN9" s="108" t="str">
        <f t="shared" si="5"/>
        <v/>
      </c>
      <c r="AO9" s="108" t="str">
        <f t="shared" si="6"/>
        <v/>
      </c>
      <c r="AP9" s="108" t="str">
        <f t="shared" si="6"/>
        <v/>
      </c>
      <c r="AQ9" s="108" t="str">
        <f t="shared" si="6"/>
        <v/>
      </c>
      <c r="AR9" s="108" t="str">
        <f t="shared" si="6"/>
        <v/>
      </c>
      <c r="AS9" s="108" t="str">
        <f t="shared" si="6"/>
        <v/>
      </c>
      <c r="AT9" s="108" t="str">
        <f t="shared" si="6"/>
        <v/>
      </c>
      <c r="AU9" s="108" t="str">
        <f t="shared" si="6"/>
        <v/>
      </c>
      <c r="AV9" s="108" t="str">
        <f t="shared" si="6"/>
        <v/>
      </c>
      <c r="AW9" s="108" t="str">
        <f t="shared" si="6"/>
        <v/>
      </c>
      <c r="AX9" s="108" t="str">
        <f t="shared" si="6"/>
        <v/>
      </c>
      <c r="AY9" s="108" t="str">
        <f t="shared" si="7"/>
        <v/>
      </c>
      <c r="AZ9" s="108" t="str">
        <f t="shared" si="7"/>
        <v/>
      </c>
      <c r="BA9" s="108" t="str">
        <f t="shared" si="7"/>
        <v/>
      </c>
      <c r="BB9" s="108" t="str">
        <f t="shared" si="7"/>
        <v/>
      </c>
      <c r="BC9" s="108" t="str">
        <f t="shared" si="7"/>
        <v/>
      </c>
      <c r="BD9" s="108" t="str">
        <f t="shared" si="7"/>
        <v/>
      </c>
      <c r="BE9" s="108" t="str">
        <f t="shared" si="7"/>
        <v/>
      </c>
      <c r="BF9" s="108" t="str">
        <f t="shared" si="7"/>
        <v/>
      </c>
      <c r="BG9" s="108" t="str">
        <f t="shared" si="7"/>
        <v/>
      </c>
      <c r="BH9" s="108" t="str">
        <f t="shared" si="7"/>
        <v/>
      </c>
      <c r="BI9" s="108" t="str">
        <f t="shared" si="8"/>
        <v/>
      </c>
      <c r="BJ9" s="108" t="str">
        <f t="shared" si="8"/>
        <v/>
      </c>
      <c r="BK9" s="108" t="str">
        <f t="shared" si="8"/>
        <v/>
      </c>
      <c r="BL9" s="108" t="str">
        <f t="shared" si="8"/>
        <v/>
      </c>
      <c r="BM9" s="108" t="str">
        <f t="shared" si="8"/>
        <v/>
      </c>
      <c r="BN9" s="108" t="str">
        <f t="shared" si="8"/>
        <v/>
      </c>
      <c r="BO9" s="108" t="str">
        <f t="shared" si="8"/>
        <v/>
      </c>
      <c r="BP9" s="108" t="str">
        <f t="shared" si="8"/>
        <v/>
      </c>
      <c r="BQ9" s="108" t="str">
        <f t="shared" si="8"/>
        <v/>
      </c>
      <c r="BR9" s="108" t="str">
        <f t="shared" si="8"/>
        <v/>
      </c>
      <c r="BS9" s="108" t="str">
        <f t="shared" si="9"/>
        <v/>
      </c>
      <c r="BT9" s="108" t="str">
        <f t="shared" si="9"/>
        <v/>
      </c>
      <c r="BU9" s="108" t="str">
        <f t="shared" si="9"/>
        <v/>
      </c>
      <c r="BV9" s="108" t="str">
        <f t="shared" si="9"/>
        <v/>
      </c>
      <c r="BW9" s="108" t="str">
        <f t="shared" si="9"/>
        <v/>
      </c>
      <c r="BX9" s="108" t="str">
        <f t="shared" si="9"/>
        <v/>
      </c>
      <c r="BY9" s="108" t="str">
        <f t="shared" si="9"/>
        <v/>
      </c>
      <c r="BZ9" s="108" t="str">
        <f t="shared" si="9"/>
        <v/>
      </c>
      <c r="CA9" s="108" t="str">
        <f t="shared" si="9"/>
        <v/>
      </c>
      <c r="CB9" s="108" t="str">
        <f t="shared" si="9"/>
        <v/>
      </c>
      <c r="CC9" s="108" t="str">
        <f t="shared" si="10"/>
        <v/>
      </c>
      <c r="CD9" s="108" t="str">
        <f t="shared" si="10"/>
        <v/>
      </c>
      <c r="CE9" s="108" t="str">
        <f t="shared" si="10"/>
        <v/>
      </c>
      <c r="CF9" s="108" t="str">
        <f t="shared" si="10"/>
        <v/>
      </c>
      <c r="CG9" s="108" t="str">
        <f t="shared" si="10"/>
        <v/>
      </c>
      <c r="CH9" s="108" t="str">
        <f t="shared" si="10"/>
        <v/>
      </c>
      <c r="CI9" s="108" t="str">
        <f t="shared" si="10"/>
        <v/>
      </c>
      <c r="CJ9" s="108" t="str">
        <f t="shared" si="10"/>
        <v/>
      </c>
      <c r="CK9" s="108" t="str">
        <f t="shared" si="10"/>
        <v/>
      </c>
      <c r="CL9" s="108" t="str">
        <f t="shared" si="10"/>
        <v/>
      </c>
      <c r="CM9" s="108" t="str">
        <f t="shared" si="11"/>
        <v/>
      </c>
      <c r="CN9" s="108" t="str">
        <f t="shared" si="11"/>
        <v/>
      </c>
      <c r="CO9" s="108" t="str">
        <f t="shared" si="11"/>
        <v/>
      </c>
      <c r="CP9" s="108" t="str">
        <f t="shared" si="11"/>
        <v/>
      </c>
      <c r="CQ9" s="108" t="str">
        <f t="shared" si="11"/>
        <v/>
      </c>
      <c r="CR9" s="109" t="str">
        <f t="shared" si="11"/>
        <v/>
      </c>
      <c r="CS9" s="108" t="str">
        <f t="shared" si="11"/>
        <v/>
      </c>
      <c r="CT9" s="108" t="str">
        <f t="shared" si="11"/>
        <v/>
      </c>
      <c r="CU9" s="108" t="str">
        <f t="shared" si="11"/>
        <v/>
      </c>
      <c r="CV9" s="108" t="str">
        <f t="shared" si="11"/>
        <v/>
      </c>
      <c r="CW9" s="108" t="str">
        <f t="shared" si="12"/>
        <v/>
      </c>
      <c r="CX9" s="108" t="str">
        <f t="shared" si="12"/>
        <v/>
      </c>
      <c r="CY9" s="108" t="str">
        <f t="shared" si="12"/>
        <v/>
      </c>
      <c r="CZ9" s="109" t="str">
        <f t="shared" si="12"/>
        <v/>
      </c>
      <c r="DA9" s="108" t="str">
        <f t="shared" si="12"/>
        <v/>
      </c>
      <c r="DB9" s="108" t="str">
        <f t="shared" si="12"/>
        <v/>
      </c>
      <c r="DC9" s="108" t="str">
        <f t="shared" si="12"/>
        <v/>
      </c>
      <c r="DD9" s="108" t="str">
        <f t="shared" si="12"/>
        <v/>
      </c>
      <c r="DE9" s="108" t="str">
        <f t="shared" si="12"/>
        <v/>
      </c>
      <c r="DF9" s="108" t="str">
        <f t="shared" si="12"/>
        <v/>
      </c>
      <c r="DG9" s="108" t="str">
        <f t="shared" si="13"/>
        <v/>
      </c>
      <c r="DH9" s="109" t="str">
        <f t="shared" si="13"/>
        <v/>
      </c>
      <c r="DI9" s="108" t="str">
        <f t="shared" si="13"/>
        <v/>
      </c>
      <c r="DJ9" s="108" t="str">
        <f t="shared" si="13"/>
        <v/>
      </c>
      <c r="DK9" s="108" t="str">
        <f t="shared" si="13"/>
        <v/>
      </c>
      <c r="DL9" s="108" t="str">
        <f t="shared" si="13"/>
        <v/>
      </c>
      <c r="DM9" s="108" t="str">
        <f t="shared" si="13"/>
        <v/>
      </c>
      <c r="DN9" s="108" t="str">
        <f t="shared" si="13"/>
        <v/>
      </c>
      <c r="DO9" s="109" t="str">
        <f t="shared" si="13"/>
        <v/>
      </c>
      <c r="DP9" s="108" t="str">
        <f t="shared" si="13"/>
        <v/>
      </c>
      <c r="DQ9" s="108" t="str">
        <f t="shared" si="14"/>
        <v/>
      </c>
      <c r="DR9" s="108" t="str">
        <f t="shared" si="14"/>
        <v/>
      </c>
      <c r="DS9" s="108" t="str">
        <f t="shared" si="14"/>
        <v/>
      </c>
      <c r="DT9" s="108" t="str">
        <f t="shared" si="14"/>
        <v/>
      </c>
      <c r="DU9" s="108" t="str">
        <f t="shared" si="14"/>
        <v/>
      </c>
      <c r="DV9" s="108" t="str">
        <f t="shared" si="14"/>
        <v/>
      </c>
      <c r="DW9" s="109" t="str">
        <f t="shared" si="14"/>
        <v/>
      </c>
      <c r="DX9" s="108" t="str">
        <f t="shared" si="14"/>
        <v/>
      </c>
      <c r="DY9" s="108" t="str">
        <f t="shared" si="14"/>
        <v/>
      </c>
      <c r="DZ9" s="108" t="str">
        <f t="shared" si="14"/>
        <v/>
      </c>
      <c r="EA9" s="108" t="str">
        <f t="shared" si="15"/>
        <v/>
      </c>
      <c r="EB9" s="108" t="str">
        <f t="shared" si="15"/>
        <v/>
      </c>
      <c r="EC9" s="108" t="str">
        <f t="shared" si="15"/>
        <v/>
      </c>
      <c r="ED9" s="109" t="str">
        <f t="shared" si="15"/>
        <v/>
      </c>
      <c r="EE9" s="108" t="str">
        <f t="shared" si="15"/>
        <v/>
      </c>
      <c r="EF9" s="108" t="str">
        <f t="shared" si="15"/>
        <v/>
      </c>
      <c r="EG9" s="108" t="str">
        <f t="shared" si="15"/>
        <v/>
      </c>
      <c r="EH9" s="108" t="str">
        <f t="shared" si="15"/>
        <v/>
      </c>
      <c r="EI9" s="108" t="str">
        <f t="shared" si="15"/>
        <v/>
      </c>
      <c r="EJ9" s="108" t="str">
        <f t="shared" si="15"/>
        <v/>
      </c>
      <c r="EK9" s="108" t="str">
        <f t="shared" si="16"/>
        <v/>
      </c>
      <c r="EL9" s="108" t="str">
        <f t="shared" si="16"/>
        <v/>
      </c>
      <c r="EM9" s="108" t="str">
        <f t="shared" si="16"/>
        <v/>
      </c>
      <c r="EN9" s="108" t="str">
        <f t="shared" si="16"/>
        <v/>
      </c>
      <c r="EO9" s="108" t="str">
        <f t="shared" si="16"/>
        <v/>
      </c>
      <c r="EP9" s="108" t="str">
        <f t="shared" si="16"/>
        <v/>
      </c>
      <c r="EQ9" s="108" t="str">
        <f t="shared" si="16"/>
        <v/>
      </c>
      <c r="ER9" s="108" t="str">
        <f t="shared" si="16"/>
        <v/>
      </c>
      <c r="ES9" s="109" t="str">
        <f t="shared" si="16"/>
        <v/>
      </c>
      <c r="ET9" s="108" t="str">
        <f t="shared" si="16"/>
        <v/>
      </c>
      <c r="EU9" s="108" t="str">
        <f t="shared" si="17"/>
        <v/>
      </c>
      <c r="EV9" s="108" t="str">
        <f t="shared" si="17"/>
        <v/>
      </c>
      <c r="EW9" s="108" t="str">
        <f t="shared" si="17"/>
        <v/>
      </c>
      <c r="EX9" s="108" t="str">
        <f t="shared" si="17"/>
        <v/>
      </c>
      <c r="EY9" s="108" t="str">
        <f t="shared" si="17"/>
        <v/>
      </c>
      <c r="EZ9" s="108" t="str">
        <f t="shared" si="17"/>
        <v/>
      </c>
      <c r="FA9" s="108" t="str">
        <f t="shared" si="17"/>
        <v/>
      </c>
      <c r="FB9" s="108" t="str">
        <f t="shared" si="17"/>
        <v/>
      </c>
      <c r="FC9" s="108" t="str">
        <f t="shared" si="17"/>
        <v/>
      </c>
      <c r="FD9" s="108" t="str">
        <f t="shared" si="17"/>
        <v/>
      </c>
      <c r="FE9" s="108" t="str">
        <f t="shared" si="18"/>
        <v/>
      </c>
      <c r="FF9" s="109" t="str">
        <f t="shared" si="18"/>
        <v/>
      </c>
      <c r="FG9" s="108" t="str">
        <f t="shared" si="18"/>
        <v/>
      </c>
      <c r="FH9" s="108" t="str">
        <f t="shared" si="18"/>
        <v/>
      </c>
      <c r="FI9" s="108" t="str">
        <f t="shared" si="18"/>
        <v/>
      </c>
      <c r="FJ9" s="108" t="str">
        <f t="shared" si="18"/>
        <v/>
      </c>
      <c r="FK9" s="108" t="str">
        <f t="shared" si="18"/>
        <v/>
      </c>
      <c r="FL9" s="108" t="str">
        <f t="shared" si="18"/>
        <v/>
      </c>
      <c r="FM9" s="108" t="str">
        <f t="shared" si="18"/>
        <v/>
      </c>
      <c r="FN9" s="108" t="str">
        <f t="shared" si="18"/>
        <v/>
      </c>
      <c r="FO9" s="108" t="str">
        <f t="shared" si="19"/>
        <v/>
      </c>
      <c r="FP9" s="108" t="str">
        <f t="shared" si="19"/>
        <v/>
      </c>
      <c r="FQ9" s="108" t="str">
        <f t="shared" si="19"/>
        <v/>
      </c>
      <c r="FR9" s="108" t="str">
        <f t="shared" si="19"/>
        <v/>
      </c>
      <c r="FS9" s="108" t="str">
        <f t="shared" si="19"/>
        <v/>
      </c>
      <c r="FT9" s="108" t="str">
        <f t="shared" si="19"/>
        <v/>
      </c>
      <c r="FU9" s="108" t="str">
        <f t="shared" si="19"/>
        <v/>
      </c>
      <c r="FV9" s="108" t="str">
        <f t="shared" si="19"/>
        <v/>
      </c>
      <c r="FW9" s="110" t="str">
        <f t="shared" si="19"/>
        <v/>
      </c>
    </row>
    <row r="10" spans="1:179" s="101" customFormat="1" ht="21" customHeight="1" x14ac:dyDescent="0.35">
      <c r="B10" s="27" t="e">
        <f>Portfolio_Daten!#REF!</f>
        <v>#REF!</v>
      </c>
      <c r="C10" s="27" t="str">
        <f>Portfolio_Daten!B8</f>
        <v>D3.3.3</v>
      </c>
      <c r="D10" s="28" t="str">
        <f>Portfolio_Daten!E8</f>
        <v>Neubau „Elefantenhaus“ – Trainings- und Untersuchungszentrum für Großsäuger</v>
      </c>
      <c r="E10" s="31">
        <f>Portfolio_Daten!T8</f>
        <v>45658</v>
      </c>
      <c r="F10" s="31">
        <f>Portfolio_Daten!U8</f>
        <v>46752</v>
      </c>
      <c r="G10" s="107">
        <f>IF(F10="","",NETWORKDAYS(E10,F10,Parameter!$C$4:$C$51))</f>
        <v>744</v>
      </c>
      <c r="H10" s="29" t="str">
        <f>Portfolio_Daten!AG8</f>
        <v>Planung</v>
      </c>
      <c r="I10" s="33">
        <f>Portfolio_Daten!AI8</f>
        <v>0.1</v>
      </c>
      <c r="J10" s="106"/>
      <c r="K10" s="108" t="str">
        <f t="shared" si="3"/>
        <v/>
      </c>
      <c r="L10" s="108" t="str">
        <f t="shared" si="3"/>
        <v/>
      </c>
      <c r="M10" s="108" t="str">
        <f t="shared" si="3"/>
        <v/>
      </c>
      <c r="N10" s="108" t="str">
        <f t="shared" si="3"/>
        <v/>
      </c>
      <c r="O10" s="108" t="str">
        <f t="shared" si="3"/>
        <v/>
      </c>
      <c r="P10" s="108" t="str">
        <f t="shared" si="3"/>
        <v/>
      </c>
      <c r="Q10" s="108" t="str">
        <f t="shared" si="3"/>
        <v/>
      </c>
      <c r="R10" s="108" t="str">
        <f t="shared" si="3"/>
        <v/>
      </c>
      <c r="S10" s="108" t="str">
        <f t="shared" si="3"/>
        <v/>
      </c>
      <c r="T10" s="108" t="str">
        <f t="shared" si="3"/>
        <v/>
      </c>
      <c r="U10" s="108" t="str">
        <f t="shared" si="4"/>
        <v/>
      </c>
      <c r="V10" s="108" t="str">
        <f t="shared" si="4"/>
        <v/>
      </c>
      <c r="W10" s="108" t="str">
        <f t="shared" si="4"/>
        <v/>
      </c>
      <c r="X10" s="108" t="str">
        <f t="shared" si="4"/>
        <v/>
      </c>
      <c r="Y10" s="108" t="str">
        <f t="shared" si="4"/>
        <v/>
      </c>
      <c r="Z10" s="108" t="str">
        <f t="shared" si="4"/>
        <v/>
      </c>
      <c r="AA10" s="108" t="str">
        <f t="shared" si="4"/>
        <v/>
      </c>
      <c r="AB10" s="108" t="str">
        <f t="shared" si="4"/>
        <v/>
      </c>
      <c r="AC10" s="108" t="str">
        <f t="shared" si="4"/>
        <v/>
      </c>
      <c r="AD10" s="108" t="str">
        <f t="shared" si="4"/>
        <v/>
      </c>
      <c r="AE10" s="108" t="str">
        <f t="shared" si="5"/>
        <v/>
      </c>
      <c r="AF10" s="108" t="str">
        <f t="shared" si="5"/>
        <v/>
      </c>
      <c r="AG10" s="108" t="str">
        <f t="shared" si="5"/>
        <v/>
      </c>
      <c r="AH10" s="108" t="str">
        <f t="shared" si="5"/>
        <v/>
      </c>
      <c r="AI10" s="108" t="str">
        <f t="shared" si="5"/>
        <v/>
      </c>
      <c r="AJ10" s="108" t="str">
        <f t="shared" si="5"/>
        <v/>
      </c>
      <c r="AK10" s="108" t="str">
        <f t="shared" si="5"/>
        <v/>
      </c>
      <c r="AL10" s="108" t="str">
        <f t="shared" si="5"/>
        <v/>
      </c>
      <c r="AM10" s="108" t="str">
        <f t="shared" si="5"/>
        <v/>
      </c>
      <c r="AN10" s="108" t="str">
        <f t="shared" si="5"/>
        <v/>
      </c>
      <c r="AO10" s="108" t="str">
        <f t="shared" si="6"/>
        <v/>
      </c>
      <c r="AP10" s="108" t="str">
        <f t="shared" si="6"/>
        <v/>
      </c>
      <c r="AQ10" s="108" t="str">
        <f t="shared" si="6"/>
        <v/>
      </c>
      <c r="AR10" s="108" t="str">
        <f t="shared" si="6"/>
        <v/>
      </c>
      <c r="AS10" s="108" t="str">
        <f t="shared" si="6"/>
        <v/>
      </c>
      <c r="AT10" s="108" t="str">
        <f t="shared" si="6"/>
        <v/>
      </c>
      <c r="AU10" s="108" t="str">
        <f t="shared" si="6"/>
        <v/>
      </c>
      <c r="AV10" s="108" t="str">
        <f t="shared" si="6"/>
        <v/>
      </c>
      <c r="AW10" s="108" t="str">
        <f t="shared" si="6"/>
        <v/>
      </c>
      <c r="AX10" s="108" t="str">
        <f t="shared" si="6"/>
        <v/>
      </c>
      <c r="AY10" s="108" t="str">
        <f t="shared" si="7"/>
        <v/>
      </c>
      <c r="AZ10" s="108" t="str">
        <f t="shared" si="7"/>
        <v/>
      </c>
      <c r="BA10" s="108" t="str">
        <f t="shared" si="7"/>
        <v/>
      </c>
      <c r="BB10" s="108" t="str">
        <f t="shared" si="7"/>
        <v/>
      </c>
      <c r="BC10" s="108" t="str">
        <f t="shared" si="7"/>
        <v/>
      </c>
      <c r="BD10" s="108" t="str">
        <f t="shared" si="7"/>
        <v/>
      </c>
      <c r="BE10" s="108" t="str">
        <f t="shared" si="7"/>
        <v/>
      </c>
      <c r="BF10" s="108" t="str">
        <f t="shared" si="7"/>
        <v/>
      </c>
      <c r="BG10" s="108" t="str">
        <f t="shared" si="7"/>
        <v/>
      </c>
      <c r="BH10" s="108" t="str">
        <f t="shared" si="7"/>
        <v/>
      </c>
      <c r="BI10" s="108" t="str">
        <f t="shared" si="8"/>
        <v/>
      </c>
      <c r="BJ10" s="108" t="str">
        <f t="shared" si="8"/>
        <v/>
      </c>
      <c r="BK10" s="108" t="str">
        <f t="shared" si="8"/>
        <v/>
      </c>
      <c r="BL10" s="108" t="str">
        <f t="shared" si="8"/>
        <v/>
      </c>
      <c r="BM10" s="108" t="str">
        <f t="shared" si="8"/>
        <v/>
      </c>
      <c r="BN10" s="108" t="str">
        <f t="shared" si="8"/>
        <v/>
      </c>
      <c r="BO10" s="108" t="str">
        <f t="shared" si="8"/>
        <v/>
      </c>
      <c r="BP10" s="108" t="str">
        <f t="shared" si="8"/>
        <v/>
      </c>
      <c r="BQ10" s="108" t="str">
        <f t="shared" si="8"/>
        <v/>
      </c>
      <c r="BR10" s="108" t="str">
        <f t="shared" si="8"/>
        <v/>
      </c>
      <c r="BS10" s="108" t="str">
        <f t="shared" si="9"/>
        <v/>
      </c>
      <c r="BT10" s="108" t="str">
        <f t="shared" si="9"/>
        <v/>
      </c>
      <c r="BU10" s="108" t="str">
        <f t="shared" si="9"/>
        <v/>
      </c>
      <c r="BV10" s="108" t="str">
        <f t="shared" si="9"/>
        <v/>
      </c>
      <c r="BW10" s="108" t="str">
        <f t="shared" si="9"/>
        <v/>
      </c>
      <c r="BX10" s="108" t="str">
        <f t="shared" si="9"/>
        <v/>
      </c>
      <c r="BY10" s="108" t="str">
        <f t="shared" si="9"/>
        <v/>
      </c>
      <c r="BZ10" s="108" t="str">
        <f t="shared" si="9"/>
        <v/>
      </c>
      <c r="CA10" s="108" t="str">
        <f t="shared" si="9"/>
        <v/>
      </c>
      <c r="CB10" s="108" t="str">
        <f t="shared" si="9"/>
        <v/>
      </c>
      <c r="CC10" s="108" t="str">
        <f t="shared" si="10"/>
        <v/>
      </c>
      <c r="CD10" s="108" t="str">
        <f t="shared" si="10"/>
        <v/>
      </c>
      <c r="CE10" s="108" t="str">
        <f t="shared" si="10"/>
        <v/>
      </c>
      <c r="CF10" s="108" t="str">
        <f t="shared" si="10"/>
        <v/>
      </c>
      <c r="CG10" s="108" t="str">
        <f t="shared" si="10"/>
        <v/>
      </c>
      <c r="CH10" s="108" t="str">
        <f t="shared" si="10"/>
        <v/>
      </c>
      <c r="CI10" s="108" t="str">
        <f t="shared" si="10"/>
        <v/>
      </c>
      <c r="CJ10" s="108" t="str">
        <f t="shared" si="10"/>
        <v/>
      </c>
      <c r="CK10" s="108" t="str">
        <f t="shared" si="10"/>
        <v/>
      </c>
      <c r="CL10" s="108" t="str">
        <f t="shared" si="10"/>
        <v/>
      </c>
      <c r="CM10" s="108" t="str">
        <f t="shared" si="11"/>
        <v/>
      </c>
      <c r="CN10" s="108" t="str">
        <f t="shared" si="11"/>
        <v/>
      </c>
      <c r="CO10" s="108" t="str">
        <f t="shared" si="11"/>
        <v/>
      </c>
      <c r="CP10" s="108" t="str">
        <f t="shared" si="11"/>
        <v/>
      </c>
      <c r="CQ10" s="108" t="str">
        <f t="shared" si="11"/>
        <v/>
      </c>
      <c r="CR10" s="109" t="str">
        <f t="shared" si="11"/>
        <v/>
      </c>
      <c r="CS10" s="108" t="str">
        <f t="shared" si="11"/>
        <v/>
      </c>
      <c r="CT10" s="108" t="str">
        <f t="shared" si="11"/>
        <v/>
      </c>
      <c r="CU10" s="108" t="str">
        <f t="shared" si="11"/>
        <v/>
      </c>
      <c r="CV10" s="108" t="str">
        <f t="shared" si="11"/>
        <v/>
      </c>
      <c r="CW10" s="108" t="str">
        <f t="shared" si="12"/>
        <v/>
      </c>
      <c r="CX10" s="108" t="str">
        <f t="shared" si="12"/>
        <v/>
      </c>
      <c r="CY10" s="108" t="str">
        <f t="shared" si="12"/>
        <v/>
      </c>
      <c r="CZ10" s="109" t="str">
        <f t="shared" si="12"/>
        <v/>
      </c>
      <c r="DA10" s="108" t="str">
        <f t="shared" si="12"/>
        <v/>
      </c>
      <c r="DB10" s="108" t="str">
        <f t="shared" si="12"/>
        <v/>
      </c>
      <c r="DC10" s="108" t="str">
        <f t="shared" si="12"/>
        <v/>
      </c>
      <c r="DD10" s="108" t="str">
        <f t="shared" si="12"/>
        <v/>
      </c>
      <c r="DE10" s="108" t="str">
        <f t="shared" si="12"/>
        <v/>
      </c>
      <c r="DF10" s="108" t="str">
        <f t="shared" si="12"/>
        <v/>
      </c>
      <c r="DG10" s="108" t="str">
        <f t="shared" si="13"/>
        <v/>
      </c>
      <c r="DH10" s="109" t="str">
        <f t="shared" si="13"/>
        <v/>
      </c>
      <c r="DI10" s="108" t="str">
        <f t="shared" si="13"/>
        <v/>
      </c>
      <c r="DJ10" s="108" t="str">
        <f t="shared" si="13"/>
        <v/>
      </c>
      <c r="DK10" s="108" t="str">
        <f t="shared" si="13"/>
        <v/>
      </c>
      <c r="DL10" s="108" t="str">
        <f t="shared" si="13"/>
        <v/>
      </c>
      <c r="DM10" s="108" t="str">
        <f t="shared" si="13"/>
        <v/>
      </c>
      <c r="DN10" s="108" t="str">
        <f t="shared" si="13"/>
        <v/>
      </c>
      <c r="DO10" s="109" t="str">
        <f t="shared" si="13"/>
        <v/>
      </c>
      <c r="DP10" s="108" t="str">
        <f t="shared" si="13"/>
        <v/>
      </c>
      <c r="DQ10" s="108" t="str">
        <f t="shared" si="14"/>
        <v/>
      </c>
      <c r="DR10" s="108" t="str">
        <f t="shared" si="14"/>
        <v/>
      </c>
      <c r="DS10" s="108" t="str">
        <f t="shared" si="14"/>
        <v/>
      </c>
      <c r="DT10" s="108" t="str">
        <f t="shared" si="14"/>
        <v/>
      </c>
      <c r="DU10" s="108" t="str">
        <f t="shared" si="14"/>
        <v/>
      </c>
      <c r="DV10" s="108" t="str">
        <f t="shared" si="14"/>
        <v/>
      </c>
      <c r="DW10" s="109" t="str">
        <f t="shared" si="14"/>
        <v/>
      </c>
      <c r="DX10" s="108" t="str">
        <f t="shared" si="14"/>
        <v/>
      </c>
      <c r="DY10" s="108" t="str">
        <f t="shared" si="14"/>
        <v/>
      </c>
      <c r="DZ10" s="108" t="str">
        <f t="shared" si="14"/>
        <v/>
      </c>
      <c r="EA10" s="108" t="str">
        <f t="shared" si="15"/>
        <v/>
      </c>
      <c r="EB10" s="108" t="str">
        <f t="shared" si="15"/>
        <v/>
      </c>
      <c r="EC10" s="108" t="str">
        <f t="shared" si="15"/>
        <v/>
      </c>
      <c r="ED10" s="109" t="str">
        <f t="shared" si="15"/>
        <v/>
      </c>
      <c r="EE10" s="108" t="str">
        <f t="shared" si="15"/>
        <v/>
      </c>
      <c r="EF10" s="108" t="str">
        <f t="shared" si="15"/>
        <v/>
      </c>
      <c r="EG10" s="108" t="str">
        <f t="shared" si="15"/>
        <v/>
      </c>
      <c r="EH10" s="108" t="str">
        <f t="shared" si="15"/>
        <v/>
      </c>
      <c r="EI10" s="108" t="str">
        <f t="shared" si="15"/>
        <v/>
      </c>
      <c r="EJ10" s="108" t="str">
        <f t="shared" si="15"/>
        <v/>
      </c>
      <c r="EK10" s="108" t="str">
        <f t="shared" si="16"/>
        <v/>
      </c>
      <c r="EL10" s="108" t="str">
        <f t="shared" si="16"/>
        <v/>
      </c>
      <c r="EM10" s="108" t="str">
        <f t="shared" si="16"/>
        <v/>
      </c>
      <c r="EN10" s="108" t="str">
        <f t="shared" si="16"/>
        <v/>
      </c>
      <c r="EO10" s="108" t="str">
        <f t="shared" si="16"/>
        <v/>
      </c>
      <c r="EP10" s="108" t="str">
        <f t="shared" si="16"/>
        <v/>
      </c>
      <c r="EQ10" s="108" t="str">
        <f t="shared" si="16"/>
        <v/>
      </c>
      <c r="ER10" s="108" t="str">
        <f t="shared" si="16"/>
        <v/>
      </c>
      <c r="ES10" s="109" t="str">
        <f t="shared" si="16"/>
        <v/>
      </c>
      <c r="ET10" s="108" t="str">
        <f t="shared" si="16"/>
        <v/>
      </c>
      <c r="EU10" s="108" t="str">
        <f t="shared" si="17"/>
        <v/>
      </c>
      <c r="EV10" s="108" t="str">
        <f t="shared" si="17"/>
        <v/>
      </c>
      <c r="EW10" s="108" t="str">
        <f t="shared" si="17"/>
        <v/>
      </c>
      <c r="EX10" s="108" t="str">
        <f t="shared" si="17"/>
        <v/>
      </c>
      <c r="EY10" s="108" t="str">
        <f t="shared" si="17"/>
        <v/>
      </c>
      <c r="EZ10" s="108" t="str">
        <f t="shared" si="17"/>
        <v/>
      </c>
      <c r="FA10" s="108" t="str">
        <f t="shared" si="17"/>
        <v/>
      </c>
      <c r="FB10" s="108" t="str">
        <f t="shared" si="17"/>
        <v/>
      </c>
      <c r="FC10" s="108" t="str">
        <f t="shared" si="17"/>
        <v/>
      </c>
      <c r="FD10" s="108" t="str">
        <f t="shared" si="17"/>
        <v/>
      </c>
      <c r="FE10" s="108" t="str">
        <f t="shared" si="18"/>
        <v/>
      </c>
      <c r="FF10" s="109" t="str">
        <f t="shared" si="18"/>
        <v/>
      </c>
      <c r="FG10" s="108" t="str">
        <f t="shared" si="18"/>
        <v/>
      </c>
      <c r="FH10" s="108" t="str">
        <f t="shared" si="18"/>
        <v/>
      </c>
      <c r="FI10" s="108" t="str">
        <f t="shared" si="18"/>
        <v/>
      </c>
      <c r="FJ10" s="108" t="str">
        <f t="shared" si="18"/>
        <v>u</v>
      </c>
      <c r="FK10" s="108" t="str">
        <f t="shared" si="18"/>
        <v/>
      </c>
      <c r="FL10" s="108" t="str">
        <f t="shared" si="18"/>
        <v/>
      </c>
      <c r="FM10" s="108" t="str">
        <f t="shared" si="18"/>
        <v/>
      </c>
      <c r="FN10" s="108" t="str">
        <f t="shared" si="18"/>
        <v/>
      </c>
      <c r="FO10" s="108" t="str">
        <f t="shared" si="19"/>
        <v/>
      </c>
      <c r="FP10" s="108" t="str">
        <f t="shared" si="19"/>
        <v/>
      </c>
      <c r="FQ10" s="108" t="str">
        <f t="shared" si="19"/>
        <v/>
      </c>
      <c r="FR10" s="108" t="str">
        <f t="shared" si="19"/>
        <v/>
      </c>
      <c r="FS10" s="108" t="str">
        <f t="shared" si="19"/>
        <v/>
      </c>
      <c r="FT10" s="108" t="str">
        <f t="shared" si="19"/>
        <v/>
      </c>
      <c r="FU10" s="108" t="str">
        <f t="shared" si="19"/>
        <v/>
      </c>
      <c r="FV10" s="108" t="str">
        <f t="shared" si="19"/>
        <v/>
      </c>
      <c r="FW10" s="110" t="str">
        <f t="shared" si="19"/>
        <v/>
      </c>
    </row>
    <row r="11" spans="1:179" s="101" customFormat="1" ht="21" customHeight="1" x14ac:dyDescent="0.35">
      <c r="B11" s="27" t="e">
        <f>Portfolio_Daten!#REF!</f>
        <v>#REF!</v>
      </c>
      <c r="C11" s="27">
        <f>Portfolio_Daten!B9</f>
        <v>0</v>
      </c>
      <c r="D11" s="28">
        <f>Portfolio_Daten!E9</f>
        <v>0</v>
      </c>
      <c r="E11" s="31">
        <f>Portfolio_Daten!T9</f>
        <v>0</v>
      </c>
      <c r="F11" s="31">
        <f>Portfolio_Daten!U9</f>
        <v>0</v>
      </c>
      <c r="G11" s="107">
        <f>IF(F11="","",NETWORKDAYS(E11,F11,Parameter!$C$4:$C$51))</f>
        <v>0</v>
      </c>
      <c r="H11" s="29">
        <f>Portfolio_Daten!AG9</f>
        <v>0</v>
      </c>
      <c r="I11" s="33">
        <f>Portfolio_Daten!AI9</f>
        <v>0</v>
      </c>
      <c r="J11" s="106"/>
      <c r="K11" s="108" t="str">
        <f t="shared" si="3"/>
        <v/>
      </c>
      <c r="L11" s="108" t="str">
        <f t="shared" si="3"/>
        <v/>
      </c>
      <c r="M11" s="108" t="str">
        <f t="shared" si="3"/>
        <v/>
      </c>
      <c r="N11" s="108" t="str">
        <f t="shared" si="3"/>
        <v/>
      </c>
      <c r="O11" s="108" t="str">
        <f t="shared" si="3"/>
        <v/>
      </c>
      <c r="P11" s="108" t="str">
        <f t="shared" si="3"/>
        <v/>
      </c>
      <c r="Q11" s="108" t="str">
        <f t="shared" si="3"/>
        <v/>
      </c>
      <c r="R11" s="108" t="str">
        <f t="shared" si="3"/>
        <v/>
      </c>
      <c r="S11" s="108" t="str">
        <f t="shared" si="3"/>
        <v/>
      </c>
      <c r="T11" s="108" t="str">
        <f t="shared" si="3"/>
        <v/>
      </c>
      <c r="U11" s="108" t="str">
        <f t="shared" si="4"/>
        <v/>
      </c>
      <c r="V11" s="108" t="str">
        <f t="shared" si="4"/>
        <v/>
      </c>
      <c r="W11" s="108" t="str">
        <f t="shared" si="4"/>
        <v/>
      </c>
      <c r="X11" s="108" t="str">
        <f t="shared" si="4"/>
        <v/>
      </c>
      <c r="Y11" s="108" t="str">
        <f t="shared" si="4"/>
        <v/>
      </c>
      <c r="Z11" s="108" t="str">
        <f t="shared" si="4"/>
        <v/>
      </c>
      <c r="AA11" s="108" t="str">
        <f t="shared" si="4"/>
        <v/>
      </c>
      <c r="AB11" s="108" t="str">
        <f t="shared" si="4"/>
        <v/>
      </c>
      <c r="AC11" s="108" t="str">
        <f t="shared" si="4"/>
        <v/>
      </c>
      <c r="AD11" s="108" t="str">
        <f t="shared" si="4"/>
        <v/>
      </c>
      <c r="AE11" s="108" t="str">
        <f t="shared" si="5"/>
        <v/>
      </c>
      <c r="AF11" s="108" t="str">
        <f t="shared" si="5"/>
        <v/>
      </c>
      <c r="AG11" s="108" t="str">
        <f t="shared" si="5"/>
        <v/>
      </c>
      <c r="AH11" s="108" t="str">
        <f t="shared" si="5"/>
        <v/>
      </c>
      <c r="AI11" s="108" t="str">
        <f t="shared" si="5"/>
        <v/>
      </c>
      <c r="AJ11" s="108" t="str">
        <f t="shared" si="5"/>
        <v/>
      </c>
      <c r="AK11" s="108" t="str">
        <f t="shared" si="5"/>
        <v/>
      </c>
      <c r="AL11" s="108" t="str">
        <f t="shared" si="5"/>
        <v/>
      </c>
      <c r="AM11" s="108" t="str">
        <f t="shared" si="5"/>
        <v/>
      </c>
      <c r="AN11" s="108" t="str">
        <f t="shared" si="5"/>
        <v/>
      </c>
      <c r="AO11" s="108" t="str">
        <f t="shared" si="6"/>
        <v/>
      </c>
      <c r="AP11" s="108" t="str">
        <f t="shared" si="6"/>
        <v/>
      </c>
      <c r="AQ11" s="108" t="str">
        <f t="shared" si="6"/>
        <v/>
      </c>
      <c r="AR11" s="108" t="str">
        <f t="shared" si="6"/>
        <v/>
      </c>
      <c r="AS11" s="108" t="str">
        <f t="shared" si="6"/>
        <v/>
      </c>
      <c r="AT11" s="108" t="str">
        <f t="shared" si="6"/>
        <v/>
      </c>
      <c r="AU11" s="108" t="str">
        <f t="shared" si="6"/>
        <v/>
      </c>
      <c r="AV11" s="108" t="str">
        <f t="shared" si="6"/>
        <v/>
      </c>
      <c r="AW11" s="108" t="str">
        <f t="shared" si="6"/>
        <v/>
      </c>
      <c r="AX11" s="108" t="str">
        <f t="shared" si="6"/>
        <v/>
      </c>
      <c r="AY11" s="108" t="str">
        <f t="shared" si="7"/>
        <v/>
      </c>
      <c r="AZ11" s="108" t="str">
        <f t="shared" si="7"/>
        <v/>
      </c>
      <c r="BA11" s="108" t="str">
        <f t="shared" si="7"/>
        <v/>
      </c>
      <c r="BB11" s="108" t="str">
        <f t="shared" si="7"/>
        <v/>
      </c>
      <c r="BC11" s="108" t="str">
        <f t="shared" si="7"/>
        <v/>
      </c>
      <c r="BD11" s="108" t="str">
        <f t="shared" si="7"/>
        <v/>
      </c>
      <c r="BE11" s="108" t="str">
        <f t="shared" si="7"/>
        <v/>
      </c>
      <c r="BF11" s="108" t="str">
        <f t="shared" si="7"/>
        <v/>
      </c>
      <c r="BG11" s="108" t="str">
        <f t="shared" si="7"/>
        <v/>
      </c>
      <c r="BH11" s="108" t="str">
        <f t="shared" si="7"/>
        <v/>
      </c>
      <c r="BI11" s="108" t="str">
        <f t="shared" si="8"/>
        <v/>
      </c>
      <c r="BJ11" s="108" t="str">
        <f t="shared" si="8"/>
        <v/>
      </c>
      <c r="BK11" s="108" t="str">
        <f t="shared" si="8"/>
        <v/>
      </c>
      <c r="BL11" s="108" t="str">
        <f t="shared" si="8"/>
        <v/>
      </c>
      <c r="BM11" s="108" t="str">
        <f t="shared" si="8"/>
        <v/>
      </c>
      <c r="BN11" s="108" t="str">
        <f t="shared" si="8"/>
        <v/>
      </c>
      <c r="BO11" s="108" t="str">
        <f t="shared" si="8"/>
        <v/>
      </c>
      <c r="BP11" s="108" t="str">
        <f t="shared" si="8"/>
        <v/>
      </c>
      <c r="BQ11" s="108" t="str">
        <f t="shared" si="8"/>
        <v/>
      </c>
      <c r="BR11" s="108" t="str">
        <f t="shared" si="8"/>
        <v/>
      </c>
      <c r="BS11" s="108" t="str">
        <f t="shared" si="9"/>
        <v/>
      </c>
      <c r="BT11" s="108" t="str">
        <f t="shared" si="9"/>
        <v/>
      </c>
      <c r="BU11" s="108" t="str">
        <f t="shared" si="9"/>
        <v/>
      </c>
      <c r="BV11" s="108" t="str">
        <f t="shared" si="9"/>
        <v/>
      </c>
      <c r="BW11" s="108" t="str">
        <f t="shared" si="9"/>
        <v/>
      </c>
      <c r="BX11" s="108" t="str">
        <f t="shared" si="9"/>
        <v/>
      </c>
      <c r="BY11" s="108" t="str">
        <f t="shared" si="9"/>
        <v/>
      </c>
      <c r="BZ11" s="108" t="str">
        <f t="shared" si="9"/>
        <v/>
      </c>
      <c r="CA11" s="108" t="str">
        <f t="shared" si="9"/>
        <v/>
      </c>
      <c r="CB11" s="108" t="str">
        <f t="shared" si="9"/>
        <v/>
      </c>
      <c r="CC11" s="108" t="str">
        <f t="shared" si="10"/>
        <v/>
      </c>
      <c r="CD11" s="108" t="str">
        <f t="shared" si="10"/>
        <v/>
      </c>
      <c r="CE11" s="108" t="str">
        <f t="shared" si="10"/>
        <v/>
      </c>
      <c r="CF11" s="108" t="str">
        <f t="shared" si="10"/>
        <v/>
      </c>
      <c r="CG11" s="108" t="str">
        <f t="shared" si="10"/>
        <v/>
      </c>
      <c r="CH11" s="108" t="str">
        <f t="shared" si="10"/>
        <v/>
      </c>
      <c r="CI11" s="108" t="str">
        <f t="shared" si="10"/>
        <v/>
      </c>
      <c r="CJ11" s="108" t="str">
        <f t="shared" si="10"/>
        <v/>
      </c>
      <c r="CK11" s="108" t="str">
        <f t="shared" si="10"/>
        <v/>
      </c>
      <c r="CL11" s="108" t="str">
        <f t="shared" si="10"/>
        <v/>
      </c>
      <c r="CM11" s="108" t="str">
        <f t="shared" si="11"/>
        <v/>
      </c>
      <c r="CN11" s="108" t="str">
        <f t="shared" si="11"/>
        <v/>
      </c>
      <c r="CO11" s="108" t="str">
        <f t="shared" si="11"/>
        <v/>
      </c>
      <c r="CP11" s="108" t="str">
        <f t="shared" si="11"/>
        <v/>
      </c>
      <c r="CQ11" s="108" t="str">
        <f t="shared" si="11"/>
        <v/>
      </c>
      <c r="CR11" s="109" t="str">
        <f t="shared" si="11"/>
        <v/>
      </c>
      <c r="CS11" s="108" t="str">
        <f t="shared" si="11"/>
        <v/>
      </c>
      <c r="CT11" s="108" t="str">
        <f t="shared" si="11"/>
        <v/>
      </c>
      <c r="CU11" s="108" t="str">
        <f t="shared" si="11"/>
        <v/>
      </c>
      <c r="CV11" s="108" t="str">
        <f t="shared" si="11"/>
        <v/>
      </c>
      <c r="CW11" s="108" t="str">
        <f t="shared" si="12"/>
        <v/>
      </c>
      <c r="CX11" s="108" t="str">
        <f t="shared" si="12"/>
        <v/>
      </c>
      <c r="CY11" s="108" t="str">
        <f t="shared" si="12"/>
        <v/>
      </c>
      <c r="CZ11" s="109" t="str">
        <f t="shared" si="12"/>
        <v/>
      </c>
      <c r="DA11" s="108" t="str">
        <f t="shared" si="12"/>
        <v/>
      </c>
      <c r="DB11" s="108" t="str">
        <f t="shared" si="12"/>
        <v/>
      </c>
      <c r="DC11" s="108" t="str">
        <f t="shared" si="12"/>
        <v/>
      </c>
      <c r="DD11" s="108" t="str">
        <f t="shared" si="12"/>
        <v/>
      </c>
      <c r="DE11" s="108" t="str">
        <f t="shared" si="12"/>
        <v/>
      </c>
      <c r="DF11" s="108" t="str">
        <f t="shared" si="12"/>
        <v/>
      </c>
      <c r="DG11" s="108" t="str">
        <f t="shared" si="13"/>
        <v/>
      </c>
      <c r="DH11" s="109" t="str">
        <f t="shared" si="13"/>
        <v/>
      </c>
      <c r="DI11" s="108" t="str">
        <f t="shared" si="13"/>
        <v/>
      </c>
      <c r="DJ11" s="108" t="str">
        <f t="shared" si="13"/>
        <v/>
      </c>
      <c r="DK11" s="108" t="str">
        <f t="shared" si="13"/>
        <v/>
      </c>
      <c r="DL11" s="108" t="str">
        <f t="shared" si="13"/>
        <v/>
      </c>
      <c r="DM11" s="108" t="str">
        <f t="shared" si="13"/>
        <v/>
      </c>
      <c r="DN11" s="108" t="str">
        <f t="shared" si="13"/>
        <v/>
      </c>
      <c r="DO11" s="109" t="str">
        <f t="shared" si="13"/>
        <v/>
      </c>
      <c r="DP11" s="108" t="str">
        <f t="shared" si="13"/>
        <v/>
      </c>
      <c r="DQ11" s="108" t="str">
        <f t="shared" si="14"/>
        <v/>
      </c>
      <c r="DR11" s="108" t="str">
        <f t="shared" si="14"/>
        <v/>
      </c>
      <c r="DS11" s="108" t="str">
        <f t="shared" si="14"/>
        <v/>
      </c>
      <c r="DT11" s="108" t="str">
        <f t="shared" si="14"/>
        <v/>
      </c>
      <c r="DU11" s="108" t="str">
        <f t="shared" si="14"/>
        <v/>
      </c>
      <c r="DV11" s="108" t="str">
        <f t="shared" si="14"/>
        <v/>
      </c>
      <c r="DW11" s="109" t="str">
        <f t="shared" si="14"/>
        <v/>
      </c>
      <c r="DX11" s="108" t="str">
        <f t="shared" si="14"/>
        <v/>
      </c>
      <c r="DY11" s="108" t="str">
        <f t="shared" si="14"/>
        <v/>
      </c>
      <c r="DZ11" s="108" t="str">
        <f t="shared" si="14"/>
        <v/>
      </c>
      <c r="EA11" s="108" t="str">
        <f t="shared" si="15"/>
        <v/>
      </c>
      <c r="EB11" s="108" t="str">
        <f t="shared" si="15"/>
        <v/>
      </c>
      <c r="EC11" s="108" t="str">
        <f t="shared" si="15"/>
        <v/>
      </c>
      <c r="ED11" s="109" t="str">
        <f t="shared" si="15"/>
        <v/>
      </c>
      <c r="EE11" s="108" t="str">
        <f t="shared" si="15"/>
        <v/>
      </c>
      <c r="EF11" s="108" t="str">
        <f t="shared" si="15"/>
        <v/>
      </c>
      <c r="EG11" s="108" t="str">
        <f t="shared" si="15"/>
        <v/>
      </c>
      <c r="EH11" s="108" t="str">
        <f t="shared" si="15"/>
        <v/>
      </c>
      <c r="EI11" s="108" t="str">
        <f t="shared" si="15"/>
        <v/>
      </c>
      <c r="EJ11" s="108" t="str">
        <f t="shared" si="15"/>
        <v/>
      </c>
      <c r="EK11" s="108" t="str">
        <f t="shared" si="16"/>
        <v/>
      </c>
      <c r="EL11" s="108" t="str">
        <f t="shared" si="16"/>
        <v/>
      </c>
      <c r="EM11" s="108" t="str">
        <f t="shared" si="16"/>
        <v/>
      </c>
      <c r="EN11" s="108" t="str">
        <f t="shared" si="16"/>
        <v/>
      </c>
      <c r="EO11" s="108" t="str">
        <f t="shared" si="16"/>
        <v/>
      </c>
      <c r="EP11" s="108" t="str">
        <f t="shared" si="16"/>
        <v/>
      </c>
      <c r="EQ11" s="108" t="str">
        <f t="shared" si="16"/>
        <v/>
      </c>
      <c r="ER11" s="108" t="str">
        <f t="shared" si="16"/>
        <v/>
      </c>
      <c r="ES11" s="109" t="str">
        <f t="shared" si="16"/>
        <v/>
      </c>
      <c r="ET11" s="108" t="str">
        <f t="shared" si="16"/>
        <v/>
      </c>
      <c r="EU11" s="108" t="str">
        <f t="shared" si="17"/>
        <v/>
      </c>
      <c r="EV11" s="108" t="str">
        <f t="shared" si="17"/>
        <v/>
      </c>
      <c r="EW11" s="108" t="str">
        <f t="shared" si="17"/>
        <v/>
      </c>
      <c r="EX11" s="108" t="str">
        <f t="shared" si="17"/>
        <v/>
      </c>
      <c r="EY11" s="108" t="str">
        <f t="shared" si="17"/>
        <v/>
      </c>
      <c r="EZ11" s="108" t="str">
        <f t="shared" si="17"/>
        <v/>
      </c>
      <c r="FA11" s="108" t="str">
        <f t="shared" si="17"/>
        <v/>
      </c>
      <c r="FB11" s="108" t="str">
        <f t="shared" si="17"/>
        <v/>
      </c>
      <c r="FC11" s="108" t="str">
        <f t="shared" si="17"/>
        <v/>
      </c>
      <c r="FD11" s="108" t="str">
        <f t="shared" si="17"/>
        <v/>
      </c>
      <c r="FE11" s="108" t="str">
        <f t="shared" si="18"/>
        <v/>
      </c>
      <c r="FF11" s="109" t="str">
        <f t="shared" si="18"/>
        <v/>
      </c>
      <c r="FG11" s="108" t="str">
        <f t="shared" si="18"/>
        <v/>
      </c>
      <c r="FH11" s="108" t="str">
        <f t="shared" si="18"/>
        <v/>
      </c>
      <c r="FI11" s="108" t="str">
        <f t="shared" si="18"/>
        <v/>
      </c>
      <c r="FJ11" s="108" t="str">
        <f t="shared" si="18"/>
        <v/>
      </c>
      <c r="FK11" s="108" t="str">
        <f t="shared" si="18"/>
        <v/>
      </c>
      <c r="FL11" s="108" t="str">
        <f t="shared" si="18"/>
        <v/>
      </c>
      <c r="FM11" s="108" t="str">
        <f t="shared" si="18"/>
        <v/>
      </c>
      <c r="FN11" s="108" t="str">
        <f t="shared" si="18"/>
        <v/>
      </c>
      <c r="FO11" s="108" t="str">
        <f t="shared" si="19"/>
        <v/>
      </c>
      <c r="FP11" s="108" t="str">
        <f t="shared" si="19"/>
        <v/>
      </c>
      <c r="FQ11" s="108" t="str">
        <f t="shared" si="19"/>
        <v/>
      </c>
      <c r="FR11" s="108" t="str">
        <f t="shared" si="19"/>
        <v/>
      </c>
      <c r="FS11" s="108" t="str">
        <f t="shared" si="19"/>
        <v/>
      </c>
      <c r="FT11" s="108" t="str">
        <f t="shared" si="19"/>
        <v/>
      </c>
      <c r="FU11" s="108" t="str">
        <f t="shared" si="19"/>
        <v/>
      </c>
      <c r="FV11" s="108" t="str">
        <f t="shared" si="19"/>
        <v/>
      </c>
      <c r="FW11" s="110" t="str">
        <f t="shared" si="19"/>
        <v/>
      </c>
    </row>
    <row r="12" spans="1:179" s="101" customFormat="1" ht="21" customHeight="1" x14ac:dyDescent="0.35">
      <c r="B12" s="27" t="e">
        <f>Portfolio_Daten!#REF!</f>
        <v>#REF!</v>
      </c>
      <c r="C12" s="27">
        <f>Portfolio_Daten!B10</f>
        <v>0</v>
      </c>
      <c r="D12" s="28">
        <f>Portfolio_Daten!E10</f>
        <v>0</v>
      </c>
      <c r="E12" s="31">
        <f>Portfolio_Daten!T10</f>
        <v>0</v>
      </c>
      <c r="F12" s="31">
        <f>Portfolio_Daten!U10</f>
        <v>0</v>
      </c>
      <c r="G12" s="107">
        <f>IF(F12="","",NETWORKDAYS(E12,F12,Parameter!$C$4:$C$51))</f>
        <v>0</v>
      </c>
      <c r="H12" s="29">
        <f>Portfolio_Daten!AG10</f>
        <v>0</v>
      </c>
      <c r="I12" s="33">
        <f>Portfolio_Daten!AI10</f>
        <v>0</v>
      </c>
      <c r="J12" s="106"/>
      <c r="K12" s="108" t="str">
        <f t="shared" si="3"/>
        <v/>
      </c>
      <c r="L12" s="108" t="str">
        <f t="shared" si="3"/>
        <v/>
      </c>
      <c r="M12" s="108" t="str">
        <f t="shared" si="3"/>
        <v/>
      </c>
      <c r="N12" s="108" t="str">
        <f t="shared" si="3"/>
        <v/>
      </c>
      <c r="O12" s="108" t="str">
        <f t="shared" si="3"/>
        <v/>
      </c>
      <c r="P12" s="108" t="str">
        <f t="shared" si="3"/>
        <v/>
      </c>
      <c r="Q12" s="108" t="str">
        <f t="shared" si="3"/>
        <v/>
      </c>
      <c r="R12" s="108" t="str">
        <f t="shared" si="3"/>
        <v/>
      </c>
      <c r="S12" s="108" t="str">
        <f t="shared" si="3"/>
        <v/>
      </c>
      <c r="T12" s="108" t="str">
        <f t="shared" si="3"/>
        <v/>
      </c>
      <c r="U12" s="108" t="str">
        <f t="shared" si="4"/>
        <v/>
      </c>
      <c r="V12" s="108" t="str">
        <f t="shared" si="4"/>
        <v/>
      </c>
      <c r="W12" s="108" t="str">
        <f t="shared" si="4"/>
        <v/>
      </c>
      <c r="X12" s="108" t="str">
        <f t="shared" si="4"/>
        <v/>
      </c>
      <c r="Y12" s="108" t="str">
        <f t="shared" si="4"/>
        <v/>
      </c>
      <c r="Z12" s="108" t="str">
        <f t="shared" si="4"/>
        <v/>
      </c>
      <c r="AA12" s="108" t="str">
        <f t="shared" si="4"/>
        <v/>
      </c>
      <c r="AB12" s="108" t="str">
        <f t="shared" si="4"/>
        <v/>
      </c>
      <c r="AC12" s="108" t="str">
        <f t="shared" si="4"/>
        <v/>
      </c>
      <c r="AD12" s="108" t="str">
        <f t="shared" si="4"/>
        <v/>
      </c>
      <c r="AE12" s="108" t="str">
        <f t="shared" si="5"/>
        <v/>
      </c>
      <c r="AF12" s="108" t="str">
        <f t="shared" si="5"/>
        <v/>
      </c>
      <c r="AG12" s="108" t="str">
        <f t="shared" si="5"/>
        <v/>
      </c>
      <c r="AH12" s="108" t="str">
        <f t="shared" si="5"/>
        <v/>
      </c>
      <c r="AI12" s="108" t="str">
        <f t="shared" si="5"/>
        <v/>
      </c>
      <c r="AJ12" s="108" t="str">
        <f t="shared" si="5"/>
        <v/>
      </c>
      <c r="AK12" s="108" t="str">
        <f t="shared" si="5"/>
        <v/>
      </c>
      <c r="AL12" s="108" t="str">
        <f t="shared" si="5"/>
        <v/>
      </c>
      <c r="AM12" s="108" t="str">
        <f t="shared" si="5"/>
        <v/>
      </c>
      <c r="AN12" s="108" t="str">
        <f t="shared" si="5"/>
        <v/>
      </c>
      <c r="AO12" s="108" t="str">
        <f t="shared" si="6"/>
        <v/>
      </c>
      <c r="AP12" s="108" t="str">
        <f t="shared" si="6"/>
        <v/>
      </c>
      <c r="AQ12" s="108" t="str">
        <f t="shared" si="6"/>
        <v/>
      </c>
      <c r="AR12" s="108" t="str">
        <f t="shared" si="6"/>
        <v/>
      </c>
      <c r="AS12" s="108" t="str">
        <f t="shared" si="6"/>
        <v/>
      </c>
      <c r="AT12" s="108" t="str">
        <f t="shared" si="6"/>
        <v/>
      </c>
      <c r="AU12" s="108" t="str">
        <f t="shared" si="6"/>
        <v/>
      </c>
      <c r="AV12" s="108" t="str">
        <f t="shared" si="6"/>
        <v/>
      </c>
      <c r="AW12" s="108" t="str">
        <f t="shared" si="6"/>
        <v/>
      </c>
      <c r="AX12" s="108" t="str">
        <f t="shared" si="6"/>
        <v/>
      </c>
      <c r="AY12" s="108" t="str">
        <f t="shared" si="7"/>
        <v/>
      </c>
      <c r="AZ12" s="108" t="str">
        <f t="shared" si="7"/>
        <v/>
      </c>
      <c r="BA12" s="108" t="str">
        <f t="shared" si="7"/>
        <v/>
      </c>
      <c r="BB12" s="108" t="str">
        <f t="shared" si="7"/>
        <v/>
      </c>
      <c r="BC12" s="108" t="str">
        <f t="shared" si="7"/>
        <v/>
      </c>
      <c r="BD12" s="108" t="str">
        <f t="shared" si="7"/>
        <v/>
      </c>
      <c r="BE12" s="108" t="str">
        <f t="shared" si="7"/>
        <v/>
      </c>
      <c r="BF12" s="108" t="str">
        <f t="shared" si="7"/>
        <v/>
      </c>
      <c r="BG12" s="108" t="str">
        <f t="shared" si="7"/>
        <v/>
      </c>
      <c r="BH12" s="108" t="str">
        <f t="shared" si="7"/>
        <v/>
      </c>
      <c r="BI12" s="108" t="str">
        <f t="shared" si="8"/>
        <v/>
      </c>
      <c r="BJ12" s="108" t="str">
        <f t="shared" si="8"/>
        <v/>
      </c>
      <c r="BK12" s="108" t="str">
        <f t="shared" si="8"/>
        <v/>
      </c>
      <c r="BL12" s="108" t="str">
        <f t="shared" si="8"/>
        <v/>
      </c>
      <c r="BM12" s="108" t="str">
        <f t="shared" si="8"/>
        <v/>
      </c>
      <c r="BN12" s="108" t="str">
        <f t="shared" si="8"/>
        <v/>
      </c>
      <c r="BO12" s="108" t="str">
        <f t="shared" si="8"/>
        <v/>
      </c>
      <c r="BP12" s="108" t="str">
        <f t="shared" si="8"/>
        <v/>
      </c>
      <c r="BQ12" s="108" t="str">
        <f t="shared" si="8"/>
        <v/>
      </c>
      <c r="BR12" s="108" t="str">
        <f t="shared" si="8"/>
        <v/>
      </c>
      <c r="BS12" s="108" t="str">
        <f t="shared" si="9"/>
        <v/>
      </c>
      <c r="BT12" s="108" t="str">
        <f t="shared" si="9"/>
        <v/>
      </c>
      <c r="BU12" s="108" t="str">
        <f t="shared" si="9"/>
        <v/>
      </c>
      <c r="BV12" s="108" t="str">
        <f t="shared" si="9"/>
        <v/>
      </c>
      <c r="BW12" s="108" t="str">
        <f t="shared" si="9"/>
        <v/>
      </c>
      <c r="BX12" s="108" t="str">
        <f t="shared" si="9"/>
        <v/>
      </c>
      <c r="BY12" s="108" t="str">
        <f t="shared" si="9"/>
        <v/>
      </c>
      <c r="BZ12" s="108" t="str">
        <f t="shared" si="9"/>
        <v/>
      </c>
      <c r="CA12" s="108" t="str">
        <f t="shared" si="9"/>
        <v/>
      </c>
      <c r="CB12" s="108" t="str">
        <f t="shared" si="9"/>
        <v/>
      </c>
      <c r="CC12" s="108" t="str">
        <f t="shared" si="10"/>
        <v/>
      </c>
      <c r="CD12" s="108" t="str">
        <f t="shared" si="10"/>
        <v/>
      </c>
      <c r="CE12" s="108" t="str">
        <f t="shared" si="10"/>
        <v/>
      </c>
      <c r="CF12" s="108" t="str">
        <f t="shared" si="10"/>
        <v/>
      </c>
      <c r="CG12" s="108" t="str">
        <f t="shared" si="10"/>
        <v/>
      </c>
      <c r="CH12" s="108" t="str">
        <f t="shared" si="10"/>
        <v/>
      </c>
      <c r="CI12" s="108" t="str">
        <f t="shared" si="10"/>
        <v/>
      </c>
      <c r="CJ12" s="108" t="str">
        <f t="shared" si="10"/>
        <v/>
      </c>
      <c r="CK12" s="108" t="str">
        <f t="shared" si="10"/>
        <v/>
      </c>
      <c r="CL12" s="108" t="str">
        <f t="shared" si="10"/>
        <v/>
      </c>
      <c r="CM12" s="108" t="str">
        <f t="shared" si="11"/>
        <v/>
      </c>
      <c r="CN12" s="108" t="str">
        <f t="shared" si="11"/>
        <v/>
      </c>
      <c r="CO12" s="108" t="str">
        <f t="shared" si="11"/>
        <v/>
      </c>
      <c r="CP12" s="108" t="str">
        <f t="shared" si="11"/>
        <v/>
      </c>
      <c r="CQ12" s="108" t="str">
        <f t="shared" si="11"/>
        <v/>
      </c>
      <c r="CR12" s="109" t="str">
        <f t="shared" si="11"/>
        <v/>
      </c>
      <c r="CS12" s="108" t="str">
        <f t="shared" si="11"/>
        <v/>
      </c>
      <c r="CT12" s="108" t="str">
        <f t="shared" si="11"/>
        <v/>
      </c>
      <c r="CU12" s="108" t="str">
        <f t="shared" si="11"/>
        <v/>
      </c>
      <c r="CV12" s="108" t="str">
        <f t="shared" si="11"/>
        <v/>
      </c>
      <c r="CW12" s="108" t="str">
        <f t="shared" si="12"/>
        <v/>
      </c>
      <c r="CX12" s="108" t="str">
        <f t="shared" si="12"/>
        <v/>
      </c>
      <c r="CY12" s="108" t="str">
        <f t="shared" si="12"/>
        <v/>
      </c>
      <c r="CZ12" s="109" t="str">
        <f t="shared" si="12"/>
        <v/>
      </c>
      <c r="DA12" s="108" t="str">
        <f t="shared" si="12"/>
        <v/>
      </c>
      <c r="DB12" s="108" t="str">
        <f t="shared" si="12"/>
        <v/>
      </c>
      <c r="DC12" s="108" t="str">
        <f t="shared" si="12"/>
        <v/>
      </c>
      <c r="DD12" s="108" t="str">
        <f t="shared" si="12"/>
        <v/>
      </c>
      <c r="DE12" s="108" t="str">
        <f t="shared" si="12"/>
        <v/>
      </c>
      <c r="DF12" s="108" t="str">
        <f t="shared" si="12"/>
        <v/>
      </c>
      <c r="DG12" s="108" t="str">
        <f t="shared" si="13"/>
        <v/>
      </c>
      <c r="DH12" s="109" t="str">
        <f t="shared" si="13"/>
        <v/>
      </c>
      <c r="DI12" s="108" t="str">
        <f t="shared" si="13"/>
        <v/>
      </c>
      <c r="DJ12" s="108" t="str">
        <f t="shared" si="13"/>
        <v/>
      </c>
      <c r="DK12" s="108" t="str">
        <f t="shared" si="13"/>
        <v/>
      </c>
      <c r="DL12" s="108" t="str">
        <f t="shared" si="13"/>
        <v/>
      </c>
      <c r="DM12" s="108" t="str">
        <f t="shared" si="13"/>
        <v/>
      </c>
      <c r="DN12" s="108" t="str">
        <f t="shared" si="13"/>
        <v/>
      </c>
      <c r="DO12" s="109" t="str">
        <f t="shared" si="13"/>
        <v/>
      </c>
      <c r="DP12" s="108" t="str">
        <f t="shared" si="13"/>
        <v/>
      </c>
      <c r="DQ12" s="108" t="str">
        <f t="shared" si="14"/>
        <v/>
      </c>
      <c r="DR12" s="108" t="str">
        <f t="shared" si="14"/>
        <v/>
      </c>
      <c r="DS12" s="108" t="str">
        <f t="shared" si="14"/>
        <v/>
      </c>
      <c r="DT12" s="108" t="str">
        <f t="shared" si="14"/>
        <v/>
      </c>
      <c r="DU12" s="108" t="str">
        <f t="shared" si="14"/>
        <v/>
      </c>
      <c r="DV12" s="108" t="str">
        <f t="shared" si="14"/>
        <v/>
      </c>
      <c r="DW12" s="109" t="str">
        <f t="shared" si="14"/>
        <v/>
      </c>
      <c r="DX12" s="108" t="str">
        <f t="shared" si="14"/>
        <v/>
      </c>
      <c r="DY12" s="108" t="str">
        <f t="shared" si="14"/>
        <v/>
      </c>
      <c r="DZ12" s="108" t="str">
        <f t="shared" si="14"/>
        <v/>
      </c>
      <c r="EA12" s="108" t="str">
        <f t="shared" si="15"/>
        <v/>
      </c>
      <c r="EB12" s="108" t="str">
        <f t="shared" si="15"/>
        <v/>
      </c>
      <c r="EC12" s="108" t="str">
        <f t="shared" si="15"/>
        <v/>
      </c>
      <c r="ED12" s="109" t="str">
        <f t="shared" si="15"/>
        <v/>
      </c>
      <c r="EE12" s="108" t="str">
        <f t="shared" si="15"/>
        <v/>
      </c>
      <c r="EF12" s="108" t="str">
        <f t="shared" si="15"/>
        <v/>
      </c>
      <c r="EG12" s="108" t="str">
        <f t="shared" si="15"/>
        <v/>
      </c>
      <c r="EH12" s="108" t="str">
        <f t="shared" si="15"/>
        <v/>
      </c>
      <c r="EI12" s="108" t="str">
        <f t="shared" si="15"/>
        <v/>
      </c>
      <c r="EJ12" s="108" t="str">
        <f t="shared" si="15"/>
        <v/>
      </c>
      <c r="EK12" s="108" t="str">
        <f t="shared" si="16"/>
        <v/>
      </c>
      <c r="EL12" s="108" t="str">
        <f t="shared" si="16"/>
        <v/>
      </c>
      <c r="EM12" s="108" t="str">
        <f t="shared" si="16"/>
        <v/>
      </c>
      <c r="EN12" s="108" t="str">
        <f t="shared" si="16"/>
        <v/>
      </c>
      <c r="EO12" s="108" t="str">
        <f t="shared" si="16"/>
        <v/>
      </c>
      <c r="EP12" s="108" t="str">
        <f t="shared" si="16"/>
        <v/>
      </c>
      <c r="EQ12" s="108" t="str">
        <f t="shared" si="16"/>
        <v/>
      </c>
      <c r="ER12" s="108" t="str">
        <f t="shared" si="16"/>
        <v/>
      </c>
      <c r="ES12" s="109" t="str">
        <f t="shared" si="16"/>
        <v/>
      </c>
      <c r="ET12" s="108" t="str">
        <f t="shared" si="16"/>
        <v/>
      </c>
      <c r="EU12" s="108" t="str">
        <f t="shared" si="17"/>
        <v/>
      </c>
      <c r="EV12" s="108" t="str">
        <f t="shared" si="17"/>
        <v/>
      </c>
      <c r="EW12" s="108" t="str">
        <f t="shared" si="17"/>
        <v/>
      </c>
      <c r="EX12" s="108" t="str">
        <f t="shared" si="17"/>
        <v/>
      </c>
      <c r="EY12" s="108" t="str">
        <f t="shared" si="17"/>
        <v/>
      </c>
      <c r="EZ12" s="108" t="str">
        <f t="shared" si="17"/>
        <v/>
      </c>
      <c r="FA12" s="108" t="str">
        <f t="shared" si="17"/>
        <v/>
      </c>
      <c r="FB12" s="108" t="str">
        <f t="shared" si="17"/>
        <v/>
      </c>
      <c r="FC12" s="108" t="str">
        <f t="shared" si="17"/>
        <v/>
      </c>
      <c r="FD12" s="108" t="str">
        <f t="shared" si="17"/>
        <v/>
      </c>
      <c r="FE12" s="108" t="str">
        <f t="shared" si="18"/>
        <v/>
      </c>
      <c r="FF12" s="109" t="str">
        <f t="shared" si="18"/>
        <v/>
      </c>
      <c r="FG12" s="108" t="str">
        <f t="shared" si="18"/>
        <v/>
      </c>
      <c r="FH12" s="108" t="str">
        <f t="shared" si="18"/>
        <v/>
      </c>
      <c r="FI12" s="108" t="str">
        <f t="shared" si="18"/>
        <v/>
      </c>
      <c r="FJ12" s="108" t="str">
        <f t="shared" si="18"/>
        <v/>
      </c>
      <c r="FK12" s="108" t="str">
        <f t="shared" si="18"/>
        <v/>
      </c>
      <c r="FL12" s="108" t="str">
        <f t="shared" si="18"/>
        <v/>
      </c>
      <c r="FM12" s="108" t="str">
        <f t="shared" si="18"/>
        <v/>
      </c>
      <c r="FN12" s="108" t="str">
        <f t="shared" si="18"/>
        <v/>
      </c>
      <c r="FO12" s="108" t="str">
        <f t="shared" si="19"/>
        <v/>
      </c>
      <c r="FP12" s="108" t="str">
        <f t="shared" si="19"/>
        <v/>
      </c>
      <c r="FQ12" s="108" t="str">
        <f t="shared" si="19"/>
        <v/>
      </c>
      <c r="FR12" s="108" t="str">
        <f t="shared" si="19"/>
        <v/>
      </c>
      <c r="FS12" s="108" t="str">
        <f t="shared" si="19"/>
        <v/>
      </c>
      <c r="FT12" s="108" t="str">
        <f t="shared" si="19"/>
        <v/>
      </c>
      <c r="FU12" s="108" t="str">
        <f t="shared" si="19"/>
        <v/>
      </c>
      <c r="FV12" s="108" t="str">
        <f t="shared" si="19"/>
        <v/>
      </c>
      <c r="FW12" s="110" t="str">
        <f t="shared" si="19"/>
        <v/>
      </c>
    </row>
    <row r="13" spans="1:179" s="101" customFormat="1" ht="21" customHeight="1" x14ac:dyDescent="0.35">
      <c r="B13" s="27" t="e">
        <f>Portfolio_Daten!#REF!</f>
        <v>#REF!</v>
      </c>
      <c r="C13" s="27">
        <f>Portfolio_Daten!B11</f>
        <v>0</v>
      </c>
      <c r="D13" s="28">
        <f>Portfolio_Daten!E11</f>
        <v>0</v>
      </c>
      <c r="E13" s="31">
        <f>Portfolio_Daten!T11</f>
        <v>0</v>
      </c>
      <c r="F13" s="31">
        <f>Portfolio_Daten!U11</f>
        <v>0</v>
      </c>
      <c r="G13" s="107">
        <f>IF(F13="","",NETWORKDAYS(E13,F13,Parameter!$C$4:$C$51))</f>
        <v>0</v>
      </c>
      <c r="H13" s="29">
        <f>Portfolio_Daten!AG11</f>
        <v>0</v>
      </c>
      <c r="I13" s="33">
        <f>Portfolio_Daten!AI11</f>
        <v>0</v>
      </c>
      <c r="J13" s="106"/>
      <c r="K13" s="108" t="str">
        <f t="shared" si="3"/>
        <v/>
      </c>
      <c r="L13" s="108" t="str">
        <f t="shared" si="3"/>
        <v/>
      </c>
      <c r="M13" s="108" t="str">
        <f t="shared" si="3"/>
        <v/>
      </c>
      <c r="N13" s="108" t="str">
        <f t="shared" si="3"/>
        <v/>
      </c>
      <c r="O13" s="108" t="str">
        <f t="shared" si="3"/>
        <v/>
      </c>
      <c r="P13" s="108" t="str">
        <f t="shared" si="3"/>
        <v/>
      </c>
      <c r="Q13" s="108" t="str">
        <f t="shared" si="3"/>
        <v/>
      </c>
      <c r="R13" s="108" t="str">
        <f t="shared" si="3"/>
        <v/>
      </c>
      <c r="S13" s="108" t="str">
        <f t="shared" si="3"/>
        <v/>
      </c>
      <c r="T13" s="108" t="str">
        <f t="shared" si="3"/>
        <v/>
      </c>
      <c r="U13" s="108" t="str">
        <f t="shared" si="4"/>
        <v/>
      </c>
      <c r="V13" s="108" t="str">
        <f t="shared" si="4"/>
        <v/>
      </c>
      <c r="W13" s="108" t="str">
        <f t="shared" si="4"/>
        <v/>
      </c>
      <c r="X13" s="108" t="str">
        <f t="shared" si="4"/>
        <v/>
      </c>
      <c r="Y13" s="108" t="str">
        <f t="shared" si="4"/>
        <v/>
      </c>
      <c r="Z13" s="108" t="str">
        <f t="shared" si="4"/>
        <v/>
      </c>
      <c r="AA13" s="108" t="str">
        <f t="shared" si="4"/>
        <v/>
      </c>
      <c r="AB13" s="108" t="str">
        <f t="shared" si="4"/>
        <v/>
      </c>
      <c r="AC13" s="108" t="str">
        <f t="shared" si="4"/>
        <v/>
      </c>
      <c r="AD13" s="108" t="str">
        <f t="shared" si="4"/>
        <v/>
      </c>
      <c r="AE13" s="108" t="str">
        <f t="shared" si="5"/>
        <v/>
      </c>
      <c r="AF13" s="108" t="str">
        <f t="shared" si="5"/>
        <v/>
      </c>
      <c r="AG13" s="108" t="str">
        <f t="shared" si="5"/>
        <v/>
      </c>
      <c r="AH13" s="108" t="str">
        <f t="shared" si="5"/>
        <v/>
      </c>
      <c r="AI13" s="108" t="str">
        <f t="shared" si="5"/>
        <v/>
      </c>
      <c r="AJ13" s="108" t="str">
        <f t="shared" si="5"/>
        <v/>
      </c>
      <c r="AK13" s="108" t="str">
        <f t="shared" si="5"/>
        <v/>
      </c>
      <c r="AL13" s="108" t="str">
        <f t="shared" si="5"/>
        <v/>
      </c>
      <c r="AM13" s="108" t="str">
        <f t="shared" si="5"/>
        <v/>
      </c>
      <c r="AN13" s="108" t="str">
        <f t="shared" si="5"/>
        <v/>
      </c>
      <c r="AO13" s="108" t="str">
        <f t="shared" si="6"/>
        <v/>
      </c>
      <c r="AP13" s="108" t="str">
        <f t="shared" si="6"/>
        <v/>
      </c>
      <c r="AQ13" s="108" t="str">
        <f t="shared" si="6"/>
        <v/>
      </c>
      <c r="AR13" s="108" t="str">
        <f t="shared" si="6"/>
        <v/>
      </c>
      <c r="AS13" s="108" t="str">
        <f t="shared" si="6"/>
        <v/>
      </c>
      <c r="AT13" s="108" t="str">
        <f t="shared" si="6"/>
        <v/>
      </c>
      <c r="AU13" s="108" t="str">
        <f t="shared" si="6"/>
        <v/>
      </c>
      <c r="AV13" s="108" t="str">
        <f t="shared" si="6"/>
        <v/>
      </c>
      <c r="AW13" s="108" t="str">
        <f t="shared" si="6"/>
        <v/>
      </c>
      <c r="AX13" s="108" t="str">
        <f t="shared" si="6"/>
        <v/>
      </c>
      <c r="AY13" s="108" t="str">
        <f t="shared" si="7"/>
        <v/>
      </c>
      <c r="AZ13" s="108" t="str">
        <f t="shared" si="7"/>
        <v/>
      </c>
      <c r="BA13" s="108" t="str">
        <f t="shared" si="7"/>
        <v/>
      </c>
      <c r="BB13" s="108" t="str">
        <f t="shared" si="7"/>
        <v/>
      </c>
      <c r="BC13" s="108" t="str">
        <f t="shared" si="7"/>
        <v/>
      </c>
      <c r="BD13" s="108" t="str">
        <f t="shared" si="7"/>
        <v/>
      </c>
      <c r="BE13" s="108" t="str">
        <f t="shared" si="7"/>
        <v/>
      </c>
      <c r="BF13" s="108" t="str">
        <f t="shared" si="7"/>
        <v/>
      </c>
      <c r="BG13" s="108" t="str">
        <f t="shared" si="7"/>
        <v/>
      </c>
      <c r="BH13" s="108" t="str">
        <f t="shared" si="7"/>
        <v/>
      </c>
      <c r="BI13" s="108" t="str">
        <f t="shared" si="8"/>
        <v/>
      </c>
      <c r="BJ13" s="108" t="str">
        <f t="shared" si="8"/>
        <v/>
      </c>
      <c r="BK13" s="108" t="str">
        <f t="shared" si="8"/>
        <v/>
      </c>
      <c r="BL13" s="108" t="str">
        <f t="shared" si="8"/>
        <v/>
      </c>
      <c r="BM13" s="108" t="str">
        <f t="shared" si="8"/>
        <v/>
      </c>
      <c r="BN13" s="108" t="str">
        <f t="shared" si="8"/>
        <v/>
      </c>
      <c r="BO13" s="108" t="str">
        <f t="shared" si="8"/>
        <v/>
      </c>
      <c r="BP13" s="108" t="str">
        <f t="shared" si="8"/>
        <v/>
      </c>
      <c r="BQ13" s="108" t="str">
        <f t="shared" si="8"/>
        <v/>
      </c>
      <c r="BR13" s="108" t="str">
        <f t="shared" si="8"/>
        <v/>
      </c>
      <c r="BS13" s="108" t="str">
        <f t="shared" si="9"/>
        <v/>
      </c>
      <c r="BT13" s="108" t="str">
        <f t="shared" si="9"/>
        <v/>
      </c>
      <c r="BU13" s="108" t="str">
        <f t="shared" si="9"/>
        <v/>
      </c>
      <c r="BV13" s="108" t="str">
        <f t="shared" si="9"/>
        <v/>
      </c>
      <c r="BW13" s="108" t="str">
        <f t="shared" si="9"/>
        <v/>
      </c>
      <c r="BX13" s="108" t="str">
        <f t="shared" si="9"/>
        <v/>
      </c>
      <c r="BY13" s="108" t="str">
        <f t="shared" si="9"/>
        <v/>
      </c>
      <c r="BZ13" s="108" t="str">
        <f t="shared" si="9"/>
        <v/>
      </c>
      <c r="CA13" s="108" t="str">
        <f t="shared" si="9"/>
        <v/>
      </c>
      <c r="CB13" s="108" t="str">
        <f t="shared" si="9"/>
        <v/>
      </c>
      <c r="CC13" s="108" t="str">
        <f t="shared" si="10"/>
        <v/>
      </c>
      <c r="CD13" s="108" t="str">
        <f t="shared" si="10"/>
        <v/>
      </c>
      <c r="CE13" s="108" t="str">
        <f t="shared" si="10"/>
        <v/>
      </c>
      <c r="CF13" s="108" t="str">
        <f t="shared" si="10"/>
        <v/>
      </c>
      <c r="CG13" s="108" t="str">
        <f t="shared" si="10"/>
        <v/>
      </c>
      <c r="CH13" s="108" t="str">
        <f t="shared" si="10"/>
        <v/>
      </c>
      <c r="CI13" s="108" t="str">
        <f t="shared" si="10"/>
        <v/>
      </c>
      <c r="CJ13" s="108" t="str">
        <f t="shared" si="10"/>
        <v/>
      </c>
      <c r="CK13" s="108" t="str">
        <f t="shared" si="10"/>
        <v/>
      </c>
      <c r="CL13" s="108" t="str">
        <f t="shared" si="10"/>
        <v/>
      </c>
      <c r="CM13" s="108" t="str">
        <f t="shared" si="11"/>
        <v/>
      </c>
      <c r="CN13" s="108" t="str">
        <f t="shared" si="11"/>
        <v/>
      </c>
      <c r="CO13" s="108" t="str">
        <f t="shared" si="11"/>
        <v/>
      </c>
      <c r="CP13" s="108" t="str">
        <f t="shared" si="11"/>
        <v/>
      </c>
      <c r="CQ13" s="108" t="str">
        <f t="shared" si="11"/>
        <v/>
      </c>
      <c r="CR13" s="109" t="str">
        <f t="shared" si="11"/>
        <v/>
      </c>
      <c r="CS13" s="108" t="str">
        <f t="shared" si="11"/>
        <v/>
      </c>
      <c r="CT13" s="108" t="str">
        <f t="shared" si="11"/>
        <v/>
      </c>
      <c r="CU13" s="108" t="str">
        <f t="shared" si="11"/>
        <v/>
      </c>
      <c r="CV13" s="108" t="str">
        <f t="shared" si="11"/>
        <v/>
      </c>
      <c r="CW13" s="108" t="str">
        <f t="shared" si="12"/>
        <v/>
      </c>
      <c r="CX13" s="108" t="str">
        <f t="shared" si="12"/>
        <v/>
      </c>
      <c r="CY13" s="108" t="str">
        <f t="shared" si="12"/>
        <v/>
      </c>
      <c r="CZ13" s="109" t="str">
        <f t="shared" si="12"/>
        <v/>
      </c>
      <c r="DA13" s="108" t="str">
        <f t="shared" si="12"/>
        <v/>
      </c>
      <c r="DB13" s="108" t="str">
        <f t="shared" si="12"/>
        <v/>
      </c>
      <c r="DC13" s="108" t="str">
        <f t="shared" si="12"/>
        <v/>
      </c>
      <c r="DD13" s="108" t="str">
        <f t="shared" si="12"/>
        <v/>
      </c>
      <c r="DE13" s="108" t="str">
        <f t="shared" si="12"/>
        <v/>
      </c>
      <c r="DF13" s="108" t="str">
        <f t="shared" si="12"/>
        <v/>
      </c>
      <c r="DG13" s="108" t="str">
        <f t="shared" si="13"/>
        <v/>
      </c>
      <c r="DH13" s="109" t="str">
        <f t="shared" si="13"/>
        <v/>
      </c>
      <c r="DI13" s="108" t="str">
        <f t="shared" si="13"/>
        <v/>
      </c>
      <c r="DJ13" s="108" t="str">
        <f t="shared" si="13"/>
        <v/>
      </c>
      <c r="DK13" s="108" t="str">
        <f t="shared" si="13"/>
        <v/>
      </c>
      <c r="DL13" s="108" t="str">
        <f t="shared" si="13"/>
        <v/>
      </c>
      <c r="DM13" s="108" t="str">
        <f t="shared" si="13"/>
        <v/>
      </c>
      <c r="DN13" s="108" t="str">
        <f t="shared" si="13"/>
        <v/>
      </c>
      <c r="DO13" s="109" t="str">
        <f t="shared" si="13"/>
        <v/>
      </c>
      <c r="DP13" s="108" t="str">
        <f t="shared" si="13"/>
        <v/>
      </c>
      <c r="DQ13" s="108" t="str">
        <f t="shared" si="14"/>
        <v/>
      </c>
      <c r="DR13" s="108" t="str">
        <f t="shared" si="14"/>
        <v/>
      </c>
      <c r="DS13" s="108" t="str">
        <f t="shared" si="14"/>
        <v/>
      </c>
      <c r="DT13" s="108" t="str">
        <f t="shared" si="14"/>
        <v/>
      </c>
      <c r="DU13" s="108" t="str">
        <f t="shared" si="14"/>
        <v/>
      </c>
      <c r="DV13" s="108" t="str">
        <f t="shared" si="14"/>
        <v/>
      </c>
      <c r="DW13" s="109" t="str">
        <f t="shared" si="14"/>
        <v/>
      </c>
      <c r="DX13" s="108" t="str">
        <f t="shared" si="14"/>
        <v/>
      </c>
      <c r="DY13" s="108" t="str">
        <f t="shared" si="14"/>
        <v/>
      </c>
      <c r="DZ13" s="108" t="str">
        <f t="shared" si="14"/>
        <v/>
      </c>
      <c r="EA13" s="108" t="str">
        <f t="shared" si="15"/>
        <v/>
      </c>
      <c r="EB13" s="108" t="str">
        <f t="shared" si="15"/>
        <v/>
      </c>
      <c r="EC13" s="108" t="str">
        <f t="shared" si="15"/>
        <v/>
      </c>
      <c r="ED13" s="109" t="str">
        <f t="shared" si="15"/>
        <v/>
      </c>
      <c r="EE13" s="108" t="str">
        <f t="shared" si="15"/>
        <v/>
      </c>
      <c r="EF13" s="108" t="str">
        <f t="shared" si="15"/>
        <v/>
      </c>
      <c r="EG13" s="108" t="str">
        <f t="shared" si="15"/>
        <v/>
      </c>
      <c r="EH13" s="108" t="str">
        <f t="shared" si="15"/>
        <v/>
      </c>
      <c r="EI13" s="108" t="str">
        <f t="shared" si="15"/>
        <v/>
      </c>
      <c r="EJ13" s="108" t="str">
        <f t="shared" si="15"/>
        <v/>
      </c>
      <c r="EK13" s="108" t="str">
        <f t="shared" si="16"/>
        <v/>
      </c>
      <c r="EL13" s="108" t="str">
        <f t="shared" si="16"/>
        <v/>
      </c>
      <c r="EM13" s="108" t="str">
        <f t="shared" si="16"/>
        <v/>
      </c>
      <c r="EN13" s="108" t="str">
        <f t="shared" si="16"/>
        <v/>
      </c>
      <c r="EO13" s="108" t="str">
        <f t="shared" si="16"/>
        <v/>
      </c>
      <c r="EP13" s="108" t="str">
        <f t="shared" si="16"/>
        <v/>
      </c>
      <c r="EQ13" s="108" t="str">
        <f t="shared" si="16"/>
        <v/>
      </c>
      <c r="ER13" s="108" t="str">
        <f t="shared" si="16"/>
        <v/>
      </c>
      <c r="ES13" s="109" t="str">
        <f t="shared" si="16"/>
        <v/>
      </c>
      <c r="ET13" s="108" t="str">
        <f t="shared" si="16"/>
        <v/>
      </c>
      <c r="EU13" s="108" t="str">
        <f t="shared" si="17"/>
        <v/>
      </c>
      <c r="EV13" s="108" t="str">
        <f t="shared" si="17"/>
        <v/>
      </c>
      <c r="EW13" s="108" t="str">
        <f t="shared" si="17"/>
        <v/>
      </c>
      <c r="EX13" s="108" t="str">
        <f t="shared" si="17"/>
        <v/>
      </c>
      <c r="EY13" s="108" t="str">
        <f t="shared" si="17"/>
        <v/>
      </c>
      <c r="EZ13" s="108" t="str">
        <f t="shared" si="17"/>
        <v/>
      </c>
      <c r="FA13" s="108" t="str">
        <f t="shared" si="17"/>
        <v/>
      </c>
      <c r="FB13" s="108" t="str">
        <f t="shared" si="17"/>
        <v/>
      </c>
      <c r="FC13" s="108" t="str">
        <f t="shared" si="17"/>
        <v/>
      </c>
      <c r="FD13" s="108" t="str">
        <f t="shared" si="17"/>
        <v/>
      </c>
      <c r="FE13" s="108" t="str">
        <f t="shared" si="18"/>
        <v/>
      </c>
      <c r="FF13" s="109" t="str">
        <f t="shared" si="18"/>
        <v/>
      </c>
      <c r="FG13" s="108" t="str">
        <f t="shared" si="18"/>
        <v/>
      </c>
      <c r="FH13" s="108" t="str">
        <f t="shared" si="18"/>
        <v/>
      </c>
      <c r="FI13" s="108" t="str">
        <f t="shared" si="18"/>
        <v/>
      </c>
      <c r="FJ13" s="108" t="str">
        <f t="shared" si="18"/>
        <v/>
      </c>
      <c r="FK13" s="108" t="str">
        <f t="shared" si="18"/>
        <v/>
      </c>
      <c r="FL13" s="108" t="str">
        <f t="shared" si="18"/>
        <v/>
      </c>
      <c r="FM13" s="108" t="str">
        <f t="shared" si="18"/>
        <v/>
      </c>
      <c r="FN13" s="108" t="str">
        <f t="shared" si="18"/>
        <v/>
      </c>
      <c r="FO13" s="108" t="str">
        <f t="shared" si="19"/>
        <v/>
      </c>
      <c r="FP13" s="108" t="str">
        <f t="shared" si="19"/>
        <v/>
      </c>
      <c r="FQ13" s="108" t="str">
        <f t="shared" si="19"/>
        <v/>
      </c>
      <c r="FR13" s="108" t="str">
        <f t="shared" si="19"/>
        <v/>
      </c>
      <c r="FS13" s="108" t="str">
        <f t="shared" si="19"/>
        <v/>
      </c>
      <c r="FT13" s="108" t="str">
        <f t="shared" si="19"/>
        <v/>
      </c>
      <c r="FU13" s="108" t="str">
        <f t="shared" si="19"/>
        <v/>
      </c>
      <c r="FV13" s="108" t="str">
        <f t="shared" si="19"/>
        <v/>
      </c>
      <c r="FW13" s="110" t="str">
        <f t="shared" si="19"/>
        <v/>
      </c>
    </row>
    <row r="14" spans="1:179" s="101" customFormat="1" ht="21" customHeight="1" x14ac:dyDescent="0.35">
      <c r="B14" s="27" t="e">
        <f>Portfolio_Daten!#REF!</f>
        <v>#REF!</v>
      </c>
      <c r="C14" s="27">
        <f>Portfolio_Daten!B12</f>
        <v>0</v>
      </c>
      <c r="D14" s="28">
        <f>Portfolio_Daten!E12</f>
        <v>0</v>
      </c>
      <c r="E14" s="31">
        <f>Portfolio_Daten!T12</f>
        <v>0</v>
      </c>
      <c r="F14" s="31">
        <f>Portfolio_Daten!U12</f>
        <v>0</v>
      </c>
      <c r="G14" s="107">
        <f>IF(F14="","",NETWORKDAYS(E14,F14,Parameter!$C$4:$C$51))</f>
        <v>0</v>
      </c>
      <c r="H14" s="29">
        <f>Portfolio_Daten!AG12</f>
        <v>0</v>
      </c>
      <c r="I14" s="33">
        <f>Portfolio_Daten!AI12</f>
        <v>0</v>
      </c>
      <c r="J14" s="106"/>
      <c r="K14" s="108" t="str">
        <f t="shared" si="3"/>
        <v/>
      </c>
      <c r="L14" s="108" t="str">
        <f t="shared" si="3"/>
        <v/>
      </c>
      <c r="M14" s="108" t="str">
        <f t="shared" si="3"/>
        <v/>
      </c>
      <c r="N14" s="108" t="str">
        <f t="shared" si="3"/>
        <v/>
      </c>
      <c r="O14" s="108" t="str">
        <f t="shared" si="3"/>
        <v/>
      </c>
      <c r="P14" s="108" t="str">
        <f t="shared" si="3"/>
        <v/>
      </c>
      <c r="Q14" s="108" t="str">
        <f t="shared" si="3"/>
        <v/>
      </c>
      <c r="R14" s="108" t="str">
        <f t="shared" si="3"/>
        <v/>
      </c>
      <c r="S14" s="108" t="str">
        <f t="shared" si="3"/>
        <v/>
      </c>
      <c r="T14" s="108" t="str">
        <f t="shared" si="3"/>
        <v/>
      </c>
      <c r="U14" s="108" t="str">
        <f t="shared" si="4"/>
        <v/>
      </c>
      <c r="V14" s="108" t="str">
        <f t="shared" si="4"/>
        <v/>
      </c>
      <c r="W14" s="108" t="str">
        <f t="shared" si="4"/>
        <v/>
      </c>
      <c r="X14" s="108" t="str">
        <f t="shared" si="4"/>
        <v/>
      </c>
      <c r="Y14" s="108" t="str">
        <f t="shared" si="4"/>
        <v/>
      </c>
      <c r="Z14" s="108" t="str">
        <f t="shared" si="4"/>
        <v/>
      </c>
      <c r="AA14" s="108" t="str">
        <f t="shared" si="4"/>
        <v/>
      </c>
      <c r="AB14" s="108" t="str">
        <f t="shared" si="4"/>
        <v/>
      </c>
      <c r="AC14" s="108" t="str">
        <f t="shared" si="4"/>
        <v/>
      </c>
      <c r="AD14" s="108" t="str">
        <f t="shared" si="4"/>
        <v/>
      </c>
      <c r="AE14" s="108" t="str">
        <f t="shared" si="5"/>
        <v/>
      </c>
      <c r="AF14" s="108" t="str">
        <f t="shared" si="5"/>
        <v/>
      </c>
      <c r="AG14" s="108" t="str">
        <f t="shared" si="5"/>
        <v/>
      </c>
      <c r="AH14" s="108" t="str">
        <f t="shared" si="5"/>
        <v/>
      </c>
      <c r="AI14" s="108" t="str">
        <f t="shared" si="5"/>
        <v/>
      </c>
      <c r="AJ14" s="108" t="str">
        <f t="shared" si="5"/>
        <v/>
      </c>
      <c r="AK14" s="108" t="str">
        <f t="shared" si="5"/>
        <v/>
      </c>
      <c r="AL14" s="108" t="str">
        <f t="shared" si="5"/>
        <v/>
      </c>
      <c r="AM14" s="108" t="str">
        <f t="shared" si="5"/>
        <v/>
      </c>
      <c r="AN14" s="108" t="str">
        <f t="shared" si="5"/>
        <v/>
      </c>
      <c r="AO14" s="108" t="str">
        <f t="shared" si="6"/>
        <v/>
      </c>
      <c r="AP14" s="108" t="str">
        <f t="shared" si="6"/>
        <v/>
      </c>
      <c r="AQ14" s="108" t="str">
        <f t="shared" si="6"/>
        <v/>
      </c>
      <c r="AR14" s="108" t="str">
        <f t="shared" si="6"/>
        <v/>
      </c>
      <c r="AS14" s="108" t="str">
        <f t="shared" si="6"/>
        <v/>
      </c>
      <c r="AT14" s="108" t="str">
        <f t="shared" si="6"/>
        <v/>
      </c>
      <c r="AU14" s="108" t="str">
        <f t="shared" si="6"/>
        <v/>
      </c>
      <c r="AV14" s="108" t="str">
        <f t="shared" si="6"/>
        <v/>
      </c>
      <c r="AW14" s="108" t="str">
        <f t="shared" si="6"/>
        <v/>
      </c>
      <c r="AX14" s="108" t="str">
        <f t="shared" si="6"/>
        <v/>
      </c>
      <c r="AY14" s="108" t="str">
        <f t="shared" si="7"/>
        <v/>
      </c>
      <c r="AZ14" s="108" t="str">
        <f t="shared" si="7"/>
        <v/>
      </c>
      <c r="BA14" s="108" t="str">
        <f t="shared" si="7"/>
        <v/>
      </c>
      <c r="BB14" s="108" t="str">
        <f t="shared" si="7"/>
        <v/>
      </c>
      <c r="BC14" s="108" t="str">
        <f t="shared" si="7"/>
        <v/>
      </c>
      <c r="BD14" s="108" t="str">
        <f t="shared" si="7"/>
        <v/>
      </c>
      <c r="BE14" s="108" t="str">
        <f t="shared" si="7"/>
        <v/>
      </c>
      <c r="BF14" s="108" t="str">
        <f t="shared" si="7"/>
        <v/>
      </c>
      <c r="BG14" s="108" t="str">
        <f t="shared" si="7"/>
        <v/>
      </c>
      <c r="BH14" s="108" t="str">
        <f t="shared" si="7"/>
        <v/>
      </c>
      <c r="BI14" s="108" t="str">
        <f t="shared" si="8"/>
        <v/>
      </c>
      <c r="BJ14" s="108" t="str">
        <f t="shared" si="8"/>
        <v/>
      </c>
      <c r="BK14" s="108" t="str">
        <f t="shared" si="8"/>
        <v/>
      </c>
      <c r="BL14" s="108" t="str">
        <f t="shared" si="8"/>
        <v/>
      </c>
      <c r="BM14" s="108" t="str">
        <f t="shared" si="8"/>
        <v/>
      </c>
      <c r="BN14" s="108" t="str">
        <f t="shared" si="8"/>
        <v/>
      </c>
      <c r="BO14" s="108" t="str">
        <f t="shared" si="8"/>
        <v/>
      </c>
      <c r="BP14" s="108" t="str">
        <f t="shared" si="8"/>
        <v/>
      </c>
      <c r="BQ14" s="108" t="str">
        <f t="shared" si="8"/>
        <v/>
      </c>
      <c r="BR14" s="108" t="str">
        <f t="shared" si="8"/>
        <v/>
      </c>
      <c r="BS14" s="108" t="str">
        <f t="shared" si="9"/>
        <v/>
      </c>
      <c r="BT14" s="108" t="str">
        <f t="shared" si="9"/>
        <v/>
      </c>
      <c r="BU14" s="108" t="str">
        <f t="shared" si="9"/>
        <v/>
      </c>
      <c r="BV14" s="108" t="str">
        <f t="shared" si="9"/>
        <v/>
      </c>
      <c r="BW14" s="108" t="str">
        <f t="shared" si="9"/>
        <v/>
      </c>
      <c r="BX14" s="108" t="str">
        <f t="shared" si="9"/>
        <v/>
      </c>
      <c r="BY14" s="108" t="str">
        <f t="shared" si="9"/>
        <v/>
      </c>
      <c r="BZ14" s="108" t="str">
        <f t="shared" si="9"/>
        <v/>
      </c>
      <c r="CA14" s="108" t="str">
        <f t="shared" si="9"/>
        <v/>
      </c>
      <c r="CB14" s="108" t="str">
        <f t="shared" si="9"/>
        <v/>
      </c>
      <c r="CC14" s="108" t="str">
        <f t="shared" si="10"/>
        <v/>
      </c>
      <c r="CD14" s="108" t="str">
        <f t="shared" si="10"/>
        <v/>
      </c>
      <c r="CE14" s="108" t="str">
        <f t="shared" si="10"/>
        <v/>
      </c>
      <c r="CF14" s="108" t="str">
        <f t="shared" si="10"/>
        <v/>
      </c>
      <c r="CG14" s="108" t="str">
        <f t="shared" si="10"/>
        <v/>
      </c>
      <c r="CH14" s="108" t="str">
        <f t="shared" si="10"/>
        <v/>
      </c>
      <c r="CI14" s="108" t="str">
        <f t="shared" si="10"/>
        <v/>
      </c>
      <c r="CJ14" s="108" t="str">
        <f t="shared" si="10"/>
        <v/>
      </c>
      <c r="CK14" s="108" t="str">
        <f t="shared" si="10"/>
        <v/>
      </c>
      <c r="CL14" s="108" t="str">
        <f t="shared" si="10"/>
        <v/>
      </c>
      <c r="CM14" s="108" t="str">
        <f t="shared" si="11"/>
        <v/>
      </c>
      <c r="CN14" s="108" t="str">
        <f t="shared" si="11"/>
        <v/>
      </c>
      <c r="CO14" s="108" t="str">
        <f t="shared" si="11"/>
        <v/>
      </c>
      <c r="CP14" s="108" t="str">
        <f t="shared" si="11"/>
        <v/>
      </c>
      <c r="CQ14" s="108" t="str">
        <f t="shared" si="11"/>
        <v/>
      </c>
      <c r="CR14" s="109" t="str">
        <f t="shared" si="11"/>
        <v/>
      </c>
      <c r="CS14" s="108" t="str">
        <f t="shared" si="11"/>
        <v/>
      </c>
      <c r="CT14" s="108" t="str">
        <f t="shared" si="11"/>
        <v/>
      </c>
      <c r="CU14" s="108" t="str">
        <f t="shared" si="11"/>
        <v/>
      </c>
      <c r="CV14" s="108" t="str">
        <f t="shared" si="11"/>
        <v/>
      </c>
      <c r="CW14" s="108" t="str">
        <f t="shared" si="12"/>
        <v/>
      </c>
      <c r="CX14" s="108" t="str">
        <f t="shared" si="12"/>
        <v/>
      </c>
      <c r="CY14" s="108" t="str">
        <f t="shared" si="12"/>
        <v/>
      </c>
      <c r="CZ14" s="109" t="str">
        <f t="shared" si="12"/>
        <v/>
      </c>
      <c r="DA14" s="108" t="str">
        <f t="shared" si="12"/>
        <v/>
      </c>
      <c r="DB14" s="108" t="str">
        <f t="shared" si="12"/>
        <v/>
      </c>
      <c r="DC14" s="108" t="str">
        <f t="shared" si="12"/>
        <v/>
      </c>
      <c r="DD14" s="108" t="str">
        <f t="shared" si="12"/>
        <v/>
      </c>
      <c r="DE14" s="108" t="str">
        <f t="shared" si="12"/>
        <v/>
      </c>
      <c r="DF14" s="108" t="str">
        <f t="shared" si="12"/>
        <v/>
      </c>
      <c r="DG14" s="108" t="str">
        <f t="shared" si="13"/>
        <v/>
      </c>
      <c r="DH14" s="109" t="str">
        <f t="shared" si="13"/>
        <v/>
      </c>
      <c r="DI14" s="108" t="str">
        <f t="shared" si="13"/>
        <v/>
      </c>
      <c r="DJ14" s="108" t="str">
        <f t="shared" si="13"/>
        <v/>
      </c>
      <c r="DK14" s="108" t="str">
        <f t="shared" si="13"/>
        <v/>
      </c>
      <c r="DL14" s="108" t="str">
        <f t="shared" si="13"/>
        <v/>
      </c>
      <c r="DM14" s="108" t="str">
        <f t="shared" si="13"/>
        <v/>
      </c>
      <c r="DN14" s="108" t="str">
        <f t="shared" si="13"/>
        <v/>
      </c>
      <c r="DO14" s="109" t="str">
        <f t="shared" si="13"/>
        <v/>
      </c>
      <c r="DP14" s="108" t="str">
        <f t="shared" si="13"/>
        <v/>
      </c>
      <c r="DQ14" s="108" t="str">
        <f t="shared" si="14"/>
        <v/>
      </c>
      <c r="DR14" s="108" t="str">
        <f t="shared" si="14"/>
        <v/>
      </c>
      <c r="DS14" s="108" t="str">
        <f t="shared" si="14"/>
        <v/>
      </c>
      <c r="DT14" s="108" t="str">
        <f t="shared" si="14"/>
        <v/>
      </c>
      <c r="DU14" s="108" t="str">
        <f t="shared" si="14"/>
        <v/>
      </c>
      <c r="DV14" s="108" t="str">
        <f t="shared" si="14"/>
        <v/>
      </c>
      <c r="DW14" s="109" t="str">
        <f t="shared" si="14"/>
        <v/>
      </c>
      <c r="DX14" s="108" t="str">
        <f t="shared" si="14"/>
        <v/>
      </c>
      <c r="DY14" s="108" t="str">
        <f t="shared" si="14"/>
        <v/>
      </c>
      <c r="DZ14" s="108" t="str">
        <f t="shared" si="14"/>
        <v/>
      </c>
      <c r="EA14" s="108" t="str">
        <f t="shared" si="15"/>
        <v/>
      </c>
      <c r="EB14" s="108" t="str">
        <f t="shared" si="15"/>
        <v/>
      </c>
      <c r="EC14" s="108" t="str">
        <f t="shared" si="15"/>
        <v/>
      </c>
      <c r="ED14" s="109" t="str">
        <f t="shared" si="15"/>
        <v/>
      </c>
      <c r="EE14" s="108" t="str">
        <f t="shared" si="15"/>
        <v/>
      </c>
      <c r="EF14" s="108" t="str">
        <f t="shared" si="15"/>
        <v/>
      </c>
      <c r="EG14" s="108" t="str">
        <f t="shared" si="15"/>
        <v/>
      </c>
      <c r="EH14" s="108" t="str">
        <f t="shared" si="15"/>
        <v/>
      </c>
      <c r="EI14" s="108" t="str">
        <f t="shared" si="15"/>
        <v/>
      </c>
      <c r="EJ14" s="108" t="str">
        <f t="shared" si="15"/>
        <v/>
      </c>
      <c r="EK14" s="108" t="str">
        <f t="shared" si="16"/>
        <v/>
      </c>
      <c r="EL14" s="108" t="str">
        <f t="shared" si="16"/>
        <v/>
      </c>
      <c r="EM14" s="108" t="str">
        <f t="shared" si="16"/>
        <v/>
      </c>
      <c r="EN14" s="108" t="str">
        <f t="shared" si="16"/>
        <v/>
      </c>
      <c r="EO14" s="108" t="str">
        <f t="shared" si="16"/>
        <v/>
      </c>
      <c r="EP14" s="108" t="str">
        <f t="shared" si="16"/>
        <v/>
      </c>
      <c r="EQ14" s="108" t="str">
        <f t="shared" si="16"/>
        <v/>
      </c>
      <c r="ER14" s="108" t="str">
        <f t="shared" si="16"/>
        <v/>
      </c>
      <c r="ES14" s="109" t="str">
        <f t="shared" si="16"/>
        <v/>
      </c>
      <c r="ET14" s="108" t="str">
        <f t="shared" si="16"/>
        <v/>
      </c>
      <c r="EU14" s="108" t="str">
        <f t="shared" si="17"/>
        <v/>
      </c>
      <c r="EV14" s="108" t="str">
        <f t="shared" si="17"/>
        <v/>
      </c>
      <c r="EW14" s="108" t="str">
        <f t="shared" si="17"/>
        <v/>
      </c>
      <c r="EX14" s="108" t="str">
        <f t="shared" si="17"/>
        <v/>
      </c>
      <c r="EY14" s="108" t="str">
        <f t="shared" si="17"/>
        <v/>
      </c>
      <c r="EZ14" s="108" t="str">
        <f t="shared" si="17"/>
        <v/>
      </c>
      <c r="FA14" s="108" t="str">
        <f t="shared" si="17"/>
        <v/>
      </c>
      <c r="FB14" s="108" t="str">
        <f t="shared" si="17"/>
        <v/>
      </c>
      <c r="FC14" s="108" t="str">
        <f t="shared" si="17"/>
        <v/>
      </c>
      <c r="FD14" s="108" t="str">
        <f t="shared" si="17"/>
        <v/>
      </c>
      <c r="FE14" s="108" t="str">
        <f t="shared" si="18"/>
        <v/>
      </c>
      <c r="FF14" s="109" t="str">
        <f t="shared" si="18"/>
        <v/>
      </c>
      <c r="FG14" s="108" t="str">
        <f t="shared" si="18"/>
        <v/>
      </c>
      <c r="FH14" s="108" t="str">
        <f t="shared" si="18"/>
        <v/>
      </c>
      <c r="FI14" s="108" t="str">
        <f t="shared" si="18"/>
        <v/>
      </c>
      <c r="FJ14" s="108" t="str">
        <f t="shared" si="18"/>
        <v/>
      </c>
      <c r="FK14" s="108" t="str">
        <f t="shared" si="18"/>
        <v/>
      </c>
      <c r="FL14" s="108" t="str">
        <f t="shared" si="18"/>
        <v/>
      </c>
      <c r="FM14" s="108" t="str">
        <f t="shared" si="18"/>
        <v/>
      </c>
      <c r="FN14" s="108" t="str">
        <f t="shared" si="18"/>
        <v/>
      </c>
      <c r="FO14" s="108" t="str">
        <f t="shared" si="19"/>
        <v/>
      </c>
      <c r="FP14" s="108" t="str">
        <f t="shared" si="19"/>
        <v/>
      </c>
      <c r="FQ14" s="108" t="str">
        <f t="shared" si="19"/>
        <v/>
      </c>
      <c r="FR14" s="108" t="str">
        <f t="shared" si="19"/>
        <v/>
      </c>
      <c r="FS14" s="108" t="str">
        <f t="shared" si="19"/>
        <v/>
      </c>
      <c r="FT14" s="108" t="str">
        <f t="shared" si="19"/>
        <v/>
      </c>
      <c r="FU14" s="108" t="str">
        <f t="shared" si="19"/>
        <v/>
      </c>
      <c r="FV14" s="108" t="str">
        <f t="shared" si="19"/>
        <v/>
      </c>
      <c r="FW14" s="110" t="str">
        <f t="shared" si="19"/>
        <v/>
      </c>
    </row>
    <row r="15" spans="1:179" s="101" customFormat="1" ht="21" customHeight="1" x14ac:dyDescent="0.35">
      <c r="B15" s="27" t="e">
        <f>Portfolio_Daten!#REF!</f>
        <v>#REF!</v>
      </c>
      <c r="C15" s="27">
        <f>Portfolio_Daten!B13</f>
        <v>0</v>
      </c>
      <c r="D15" s="28">
        <f>Portfolio_Daten!E13</f>
        <v>0</v>
      </c>
      <c r="E15" s="31">
        <f>Portfolio_Daten!T13</f>
        <v>0</v>
      </c>
      <c r="F15" s="31">
        <f>Portfolio_Daten!U13</f>
        <v>0</v>
      </c>
      <c r="G15" s="107">
        <f>IF(F15="","",NETWORKDAYS(E15,F15,Parameter!$C$4:$C$51))</f>
        <v>0</v>
      </c>
      <c r="H15" s="29">
        <f>Portfolio_Daten!AG13</f>
        <v>0</v>
      </c>
      <c r="I15" s="33">
        <f>Portfolio_Daten!AI13</f>
        <v>0</v>
      </c>
      <c r="J15" s="106"/>
      <c r="K15" s="108" t="str">
        <f t="shared" si="3"/>
        <v/>
      </c>
      <c r="L15" s="108" t="str">
        <f t="shared" si="3"/>
        <v/>
      </c>
      <c r="M15" s="108" t="str">
        <f t="shared" si="3"/>
        <v/>
      </c>
      <c r="N15" s="108" t="str">
        <f t="shared" si="3"/>
        <v/>
      </c>
      <c r="O15" s="108" t="str">
        <f t="shared" si="3"/>
        <v/>
      </c>
      <c r="P15" s="108" t="str">
        <f t="shared" si="3"/>
        <v/>
      </c>
      <c r="Q15" s="108" t="str">
        <f t="shared" si="3"/>
        <v/>
      </c>
      <c r="R15" s="108" t="str">
        <f t="shared" si="3"/>
        <v/>
      </c>
      <c r="S15" s="108" t="str">
        <f t="shared" si="3"/>
        <v/>
      </c>
      <c r="T15" s="108" t="str">
        <f t="shared" si="3"/>
        <v/>
      </c>
      <c r="U15" s="108" t="str">
        <f t="shared" si="4"/>
        <v/>
      </c>
      <c r="V15" s="108" t="str">
        <f t="shared" si="4"/>
        <v/>
      </c>
      <c r="W15" s="108" t="str">
        <f t="shared" si="4"/>
        <v/>
      </c>
      <c r="X15" s="108" t="str">
        <f t="shared" si="4"/>
        <v/>
      </c>
      <c r="Y15" s="108" t="str">
        <f t="shared" si="4"/>
        <v/>
      </c>
      <c r="Z15" s="108" t="str">
        <f t="shared" si="4"/>
        <v/>
      </c>
      <c r="AA15" s="108" t="str">
        <f t="shared" si="4"/>
        <v/>
      </c>
      <c r="AB15" s="108" t="str">
        <f t="shared" si="4"/>
        <v/>
      </c>
      <c r="AC15" s="108" t="str">
        <f t="shared" si="4"/>
        <v/>
      </c>
      <c r="AD15" s="108" t="str">
        <f t="shared" si="4"/>
        <v/>
      </c>
      <c r="AE15" s="108" t="str">
        <f t="shared" si="5"/>
        <v/>
      </c>
      <c r="AF15" s="108" t="str">
        <f t="shared" si="5"/>
        <v/>
      </c>
      <c r="AG15" s="108" t="str">
        <f t="shared" si="5"/>
        <v/>
      </c>
      <c r="AH15" s="108" t="str">
        <f t="shared" si="5"/>
        <v/>
      </c>
      <c r="AI15" s="108" t="str">
        <f t="shared" si="5"/>
        <v/>
      </c>
      <c r="AJ15" s="108" t="str">
        <f t="shared" si="5"/>
        <v/>
      </c>
      <c r="AK15" s="108" t="str">
        <f t="shared" si="5"/>
        <v/>
      </c>
      <c r="AL15" s="108" t="str">
        <f t="shared" si="5"/>
        <v/>
      </c>
      <c r="AM15" s="108" t="str">
        <f t="shared" si="5"/>
        <v/>
      </c>
      <c r="AN15" s="108" t="str">
        <f t="shared" si="5"/>
        <v/>
      </c>
      <c r="AO15" s="108" t="str">
        <f t="shared" si="6"/>
        <v/>
      </c>
      <c r="AP15" s="108" t="str">
        <f t="shared" si="6"/>
        <v/>
      </c>
      <c r="AQ15" s="108" t="str">
        <f t="shared" si="6"/>
        <v/>
      </c>
      <c r="AR15" s="108" t="str">
        <f t="shared" si="6"/>
        <v/>
      </c>
      <c r="AS15" s="108" t="str">
        <f t="shared" si="6"/>
        <v/>
      </c>
      <c r="AT15" s="108" t="str">
        <f t="shared" si="6"/>
        <v/>
      </c>
      <c r="AU15" s="108" t="str">
        <f t="shared" si="6"/>
        <v/>
      </c>
      <c r="AV15" s="108" t="str">
        <f t="shared" si="6"/>
        <v/>
      </c>
      <c r="AW15" s="108" t="str">
        <f t="shared" si="6"/>
        <v/>
      </c>
      <c r="AX15" s="108" t="str">
        <f t="shared" si="6"/>
        <v/>
      </c>
      <c r="AY15" s="108" t="str">
        <f t="shared" si="7"/>
        <v/>
      </c>
      <c r="AZ15" s="108" t="str">
        <f t="shared" si="7"/>
        <v/>
      </c>
      <c r="BA15" s="108" t="str">
        <f t="shared" si="7"/>
        <v/>
      </c>
      <c r="BB15" s="108" t="str">
        <f t="shared" si="7"/>
        <v/>
      </c>
      <c r="BC15" s="108" t="str">
        <f t="shared" si="7"/>
        <v/>
      </c>
      <c r="BD15" s="108" t="str">
        <f t="shared" si="7"/>
        <v/>
      </c>
      <c r="BE15" s="108" t="str">
        <f t="shared" si="7"/>
        <v/>
      </c>
      <c r="BF15" s="108" t="str">
        <f t="shared" si="7"/>
        <v/>
      </c>
      <c r="BG15" s="108" t="str">
        <f t="shared" si="7"/>
        <v/>
      </c>
      <c r="BH15" s="108" t="str">
        <f t="shared" si="7"/>
        <v/>
      </c>
      <c r="BI15" s="108" t="str">
        <f t="shared" si="8"/>
        <v/>
      </c>
      <c r="BJ15" s="108" t="str">
        <f t="shared" si="8"/>
        <v/>
      </c>
      <c r="BK15" s="108" t="str">
        <f t="shared" si="8"/>
        <v/>
      </c>
      <c r="BL15" s="108" t="str">
        <f t="shared" si="8"/>
        <v/>
      </c>
      <c r="BM15" s="108" t="str">
        <f t="shared" si="8"/>
        <v/>
      </c>
      <c r="BN15" s="108" t="str">
        <f t="shared" si="8"/>
        <v/>
      </c>
      <c r="BO15" s="108" t="str">
        <f t="shared" si="8"/>
        <v/>
      </c>
      <c r="BP15" s="108" t="str">
        <f t="shared" si="8"/>
        <v/>
      </c>
      <c r="BQ15" s="108" t="str">
        <f t="shared" si="8"/>
        <v/>
      </c>
      <c r="BR15" s="108" t="str">
        <f t="shared" si="8"/>
        <v/>
      </c>
      <c r="BS15" s="108" t="str">
        <f t="shared" si="9"/>
        <v/>
      </c>
      <c r="BT15" s="108" t="str">
        <f t="shared" si="9"/>
        <v/>
      </c>
      <c r="BU15" s="108" t="str">
        <f t="shared" si="9"/>
        <v/>
      </c>
      <c r="BV15" s="108" t="str">
        <f t="shared" si="9"/>
        <v/>
      </c>
      <c r="BW15" s="108" t="str">
        <f t="shared" si="9"/>
        <v/>
      </c>
      <c r="BX15" s="108" t="str">
        <f t="shared" si="9"/>
        <v/>
      </c>
      <c r="BY15" s="108" t="str">
        <f t="shared" si="9"/>
        <v/>
      </c>
      <c r="BZ15" s="108" t="str">
        <f t="shared" si="9"/>
        <v/>
      </c>
      <c r="CA15" s="108" t="str">
        <f t="shared" si="9"/>
        <v/>
      </c>
      <c r="CB15" s="108" t="str">
        <f t="shared" si="9"/>
        <v/>
      </c>
      <c r="CC15" s="108" t="str">
        <f t="shared" si="10"/>
        <v/>
      </c>
      <c r="CD15" s="108" t="str">
        <f t="shared" si="10"/>
        <v/>
      </c>
      <c r="CE15" s="108" t="str">
        <f t="shared" si="10"/>
        <v/>
      </c>
      <c r="CF15" s="108" t="str">
        <f t="shared" si="10"/>
        <v/>
      </c>
      <c r="CG15" s="108" t="str">
        <f t="shared" si="10"/>
        <v/>
      </c>
      <c r="CH15" s="108" t="str">
        <f t="shared" si="10"/>
        <v/>
      </c>
      <c r="CI15" s="108" t="str">
        <f t="shared" si="10"/>
        <v/>
      </c>
      <c r="CJ15" s="108" t="str">
        <f t="shared" si="10"/>
        <v/>
      </c>
      <c r="CK15" s="108" t="str">
        <f t="shared" si="10"/>
        <v/>
      </c>
      <c r="CL15" s="108" t="str">
        <f t="shared" si="10"/>
        <v/>
      </c>
      <c r="CM15" s="108" t="str">
        <f t="shared" si="11"/>
        <v/>
      </c>
      <c r="CN15" s="108" t="str">
        <f t="shared" si="11"/>
        <v/>
      </c>
      <c r="CO15" s="108" t="str">
        <f t="shared" si="11"/>
        <v/>
      </c>
      <c r="CP15" s="108" t="str">
        <f t="shared" si="11"/>
        <v/>
      </c>
      <c r="CQ15" s="108" t="str">
        <f t="shared" si="11"/>
        <v/>
      </c>
      <c r="CR15" s="109" t="str">
        <f t="shared" si="11"/>
        <v/>
      </c>
      <c r="CS15" s="108" t="str">
        <f t="shared" si="11"/>
        <v/>
      </c>
      <c r="CT15" s="108" t="str">
        <f t="shared" si="11"/>
        <v/>
      </c>
      <c r="CU15" s="108" t="str">
        <f t="shared" si="11"/>
        <v/>
      </c>
      <c r="CV15" s="108" t="str">
        <f t="shared" si="11"/>
        <v/>
      </c>
      <c r="CW15" s="108" t="str">
        <f t="shared" si="12"/>
        <v/>
      </c>
      <c r="CX15" s="108" t="str">
        <f t="shared" si="12"/>
        <v/>
      </c>
      <c r="CY15" s="108" t="str">
        <f t="shared" si="12"/>
        <v/>
      </c>
      <c r="CZ15" s="109" t="str">
        <f t="shared" si="12"/>
        <v/>
      </c>
      <c r="DA15" s="108" t="str">
        <f t="shared" si="12"/>
        <v/>
      </c>
      <c r="DB15" s="108" t="str">
        <f t="shared" si="12"/>
        <v/>
      </c>
      <c r="DC15" s="108" t="str">
        <f t="shared" si="12"/>
        <v/>
      </c>
      <c r="DD15" s="108" t="str">
        <f t="shared" si="12"/>
        <v/>
      </c>
      <c r="DE15" s="108" t="str">
        <f t="shared" si="12"/>
        <v/>
      </c>
      <c r="DF15" s="108" t="str">
        <f t="shared" si="12"/>
        <v/>
      </c>
      <c r="DG15" s="108" t="str">
        <f t="shared" si="13"/>
        <v/>
      </c>
      <c r="DH15" s="109" t="str">
        <f t="shared" si="13"/>
        <v/>
      </c>
      <c r="DI15" s="108" t="str">
        <f t="shared" si="13"/>
        <v/>
      </c>
      <c r="DJ15" s="108" t="str">
        <f t="shared" si="13"/>
        <v/>
      </c>
      <c r="DK15" s="108" t="str">
        <f t="shared" si="13"/>
        <v/>
      </c>
      <c r="DL15" s="108" t="str">
        <f t="shared" si="13"/>
        <v/>
      </c>
      <c r="DM15" s="108" t="str">
        <f t="shared" si="13"/>
        <v/>
      </c>
      <c r="DN15" s="108" t="str">
        <f t="shared" si="13"/>
        <v/>
      </c>
      <c r="DO15" s="109" t="str">
        <f t="shared" si="13"/>
        <v/>
      </c>
      <c r="DP15" s="108" t="str">
        <f t="shared" si="13"/>
        <v/>
      </c>
      <c r="DQ15" s="108" t="str">
        <f t="shared" si="14"/>
        <v/>
      </c>
      <c r="DR15" s="108" t="str">
        <f t="shared" si="14"/>
        <v/>
      </c>
      <c r="DS15" s="108" t="str">
        <f t="shared" si="14"/>
        <v/>
      </c>
      <c r="DT15" s="108" t="str">
        <f t="shared" si="14"/>
        <v/>
      </c>
      <c r="DU15" s="108" t="str">
        <f t="shared" si="14"/>
        <v/>
      </c>
      <c r="DV15" s="108" t="str">
        <f t="shared" si="14"/>
        <v/>
      </c>
      <c r="DW15" s="109" t="str">
        <f t="shared" si="14"/>
        <v/>
      </c>
      <c r="DX15" s="108" t="str">
        <f t="shared" si="14"/>
        <v/>
      </c>
      <c r="DY15" s="108" t="str">
        <f t="shared" si="14"/>
        <v/>
      </c>
      <c r="DZ15" s="108" t="str">
        <f t="shared" si="14"/>
        <v/>
      </c>
      <c r="EA15" s="108" t="str">
        <f t="shared" si="15"/>
        <v/>
      </c>
      <c r="EB15" s="108" t="str">
        <f t="shared" si="15"/>
        <v/>
      </c>
      <c r="EC15" s="108" t="str">
        <f t="shared" si="15"/>
        <v/>
      </c>
      <c r="ED15" s="109" t="str">
        <f t="shared" si="15"/>
        <v/>
      </c>
      <c r="EE15" s="108" t="str">
        <f t="shared" si="15"/>
        <v/>
      </c>
      <c r="EF15" s="108" t="str">
        <f t="shared" si="15"/>
        <v/>
      </c>
      <c r="EG15" s="108" t="str">
        <f t="shared" si="15"/>
        <v/>
      </c>
      <c r="EH15" s="108" t="str">
        <f t="shared" si="15"/>
        <v/>
      </c>
      <c r="EI15" s="108" t="str">
        <f t="shared" si="15"/>
        <v/>
      </c>
      <c r="EJ15" s="108" t="str">
        <f t="shared" si="15"/>
        <v/>
      </c>
      <c r="EK15" s="108" t="str">
        <f t="shared" si="16"/>
        <v/>
      </c>
      <c r="EL15" s="108" t="str">
        <f t="shared" si="16"/>
        <v/>
      </c>
      <c r="EM15" s="108" t="str">
        <f t="shared" si="16"/>
        <v/>
      </c>
      <c r="EN15" s="108" t="str">
        <f t="shared" si="16"/>
        <v/>
      </c>
      <c r="EO15" s="108" t="str">
        <f t="shared" si="16"/>
        <v/>
      </c>
      <c r="EP15" s="108" t="str">
        <f t="shared" si="16"/>
        <v/>
      </c>
      <c r="EQ15" s="108" t="str">
        <f t="shared" si="16"/>
        <v/>
      </c>
      <c r="ER15" s="108" t="str">
        <f t="shared" si="16"/>
        <v/>
      </c>
      <c r="ES15" s="109" t="str">
        <f t="shared" si="16"/>
        <v/>
      </c>
      <c r="ET15" s="108" t="str">
        <f t="shared" si="16"/>
        <v/>
      </c>
      <c r="EU15" s="108" t="str">
        <f t="shared" si="17"/>
        <v/>
      </c>
      <c r="EV15" s="108" t="str">
        <f t="shared" si="17"/>
        <v/>
      </c>
      <c r="EW15" s="108" t="str">
        <f t="shared" si="17"/>
        <v/>
      </c>
      <c r="EX15" s="108" t="str">
        <f t="shared" si="17"/>
        <v/>
      </c>
      <c r="EY15" s="108" t="str">
        <f t="shared" si="17"/>
        <v/>
      </c>
      <c r="EZ15" s="108" t="str">
        <f t="shared" si="17"/>
        <v/>
      </c>
      <c r="FA15" s="108" t="str">
        <f t="shared" si="17"/>
        <v/>
      </c>
      <c r="FB15" s="108" t="str">
        <f t="shared" si="17"/>
        <v/>
      </c>
      <c r="FC15" s="108" t="str">
        <f t="shared" si="17"/>
        <v/>
      </c>
      <c r="FD15" s="108" t="str">
        <f t="shared" si="17"/>
        <v/>
      </c>
      <c r="FE15" s="108" t="str">
        <f t="shared" si="18"/>
        <v/>
      </c>
      <c r="FF15" s="109" t="str">
        <f t="shared" si="18"/>
        <v/>
      </c>
      <c r="FG15" s="108" t="str">
        <f t="shared" si="18"/>
        <v/>
      </c>
      <c r="FH15" s="108" t="str">
        <f t="shared" si="18"/>
        <v/>
      </c>
      <c r="FI15" s="108" t="str">
        <f t="shared" si="18"/>
        <v/>
      </c>
      <c r="FJ15" s="108" t="str">
        <f t="shared" si="18"/>
        <v/>
      </c>
      <c r="FK15" s="108" t="str">
        <f t="shared" si="18"/>
        <v/>
      </c>
      <c r="FL15" s="108" t="str">
        <f t="shared" si="18"/>
        <v/>
      </c>
      <c r="FM15" s="108" t="str">
        <f t="shared" si="18"/>
        <v/>
      </c>
      <c r="FN15" s="108" t="str">
        <f t="shared" si="18"/>
        <v/>
      </c>
      <c r="FO15" s="108" t="str">
        <f t="shared" si="19"/>
        <v/>
      </c>
      <c r="FP15" s="108" t="str">
        <f t="shared" si="19"/>
        <v/>
      </c>
      <c r="FQ15" s="108" t="str">
        <f t="shared" si="19"/>
        <v/>
      </c>
      <c r="FR15" s="108" t="str">
        <f t="shared" si="19"/>
        <v/>
      </c>
      <c r="FS15" s="108" t="str">
        <f t="shared" si="19"/>
        <v/>
      </c>
      <c r="FT15" s="108" t="str">
        <f t="shared" si="19"/>
        <v/>
      </c>
      <c r="FU15" s="108" t="str">
        <f t="shared" si="19"/>
        <v/>
      </c>
      <c r="FV15" s="108" t="str">
        <f t="shared" si="19"/>
        <v/>
      </c>
      <c r="FW15" s="110" t="str">
        <f t="shared" si="19"/>
        <v/>
      </c>
    </row>
    <row r="16" spans="1:179" s="101" customFormat="1" ht="21" customHeight="1" x14ac:dyDescent="0.35">
      <c r="B16" s="27" t="e">
        <f>Portfolio_Daten!#REF!</f>
        <v>#REF!</v>
      </c>
      <c r="C16" s="27">
        <f>Portfolio_Daten!B14</f>
        <v>0</v>
      </c>
      <c r="D16" s="28">
        <f>Portfolio_Daten!E14</f>
        <v>0</v>
      </c>
      <c r="E16" s="31">
        <f>Portfolio_Daten!T14</f>
        <v>0</v>
      </c>
      <c r="F16" s="31">
        <f>Portfolio_Daten!U14</f>
        <v>0</v>
      </c>
      <c r="G16" s="107">
        <f>IF(F16="","",NETWORKDAYS(E16,F16,Parameter!$C$4:$C$51))</f>
        <v>0</v>
      </c>
      <c r="H16" s="29">
        <f>Portfolio_Daten!AG14</f>
        <v>0</v>
      </c>
      <c r="I16" s="33">
        <f>Portfolio_Daten!AI14</f>
        <v>0</v>
      </c>
      <c r="J16" s="106"/>
      <c r="K16" s="108" t="str">
        <f t="shared" si="3"/>
        <v/>
      </c>
      <c r="L16" s="108" t="str">
        <f t="shared" si="3"/>
        <v/>
      </c>
      <c r="M16" s="108" t="str">
        <f t="shared" si="3"/>
        <v/>
      </c>
      <c r="N16" s="108" t="str">
        <f t="shared" si="3"/>
        <v/>
      </c>
      <c r="O16" s="108" t="str">
        <f t="shared" si="3"/>
        <v/>
      </c>
      <c r="P16" s="108" t="str">
        <f t="shared" si="3"/>
        <v/>
      </c>
      <c r="Q16" s="108" t="str">
        <f t="shared" si="3"/>
        <v/>
      </c>
      <c r="R16" s="108" t="str">
        <f t="shared" si="3"/>
        <v/>
      </c>
      <c r="S16" s="108" t="str">
        <f t="shared" si="3"/>
        <v/>
      </c>
      <c r="T16" s="108" t="str">
        <f t="shared" si="3"/>
        <v/>
      </c>
      <c r="U16" s="108" t="str">
        <f t="shared" si="4"/>
        <v/>
      </c>
      <c r="V16" s="108" t="str">
        <f t="shared" si="4"/>
        <v/>
      </c>
      <c r="W16" s="108" t="str">
        <f t="shared" si="4"/>
        <v/>
      </c>
      <c r="X16" s="108" t="str">
        <f t="shared" si="4"/>
        <v/>
      </c>
      <c r="Y16" s="108" t="str">
        <f t="shared" si="4"/>
        <v/>
      </c>
      <c r="Z16" s="108" t="str">
        <f t="shared" si="4"/>
        <v/>
      </c>
      <c r="AA16" s="108" t="str">
        <f t="shared" si="4"/>
        <v/>
      </c>
      <c r="AB16" s="108" t="str">
        <f t="shared" si="4"/>
        <v/>
      </c>
      <c r="AC16" s="108" t="str">
        <f t="shared" si="4"/>
        <v/>
      </c>
      <c r="AD16" s="108" t="str">
        <f t="shared" si="4"/>
        <v/>
      </c>
      <c r="AE16" s="108" t="str">
        <f t="shared" si="5"/>
        <v/>
      </c>
      <c r="AF16" s="108" t="str">
        <f t="shared" si="5"/>
        <v/>
      </c>
      <c r="AG16" s="108" t="str">
        <f t="shared" si="5"/>
        <v/>
      </c>
      <c r="AH16" s="108" t="str">
        <f t="shared" si="5"/>
        <v/>
      </c>
      <c r="AI16" s="108" t="str">
        <f t="shared" si="5"/>
        <v/>
      </c>
      <c r="AJ16" s="108" t="str">
        <f t="shared" si="5"/>
        <v/>
      </c>
      <c r="AK16" s="108" t="str">
        <f t="shared" si="5"/>
        <v/>
      </c>
      <c r="AL16" s="108" t="str">
        <f t="shared" si="5"/>
        <v/>
      </c>
      <c r="AM16" s="108" t="str">
        <f t="shared" si="5"/>
        <v/>
      </c>
      <c r="AN16" s="108" t="str">
        <f t="shared" si="5"/>
        <v/>
      </c>
      <c r="AO16" s="108" t="str">
        <f t="shared" si="6"/>
        <v/>
      </c>
      <c r="AP16" s="108" t="str">
        <f t="shared" si="6"/>
        <v/>
      </c>
      <c r="AQ16" s="108" t="str">
        <f t="shared" si="6"/>
        <v/>
      </c>
      <c r="AR16" s="108" t="str">
        <f t="shared" si="6"/>
        <v/>
      </c>
      <c r="AS16" s="108" t="str">
        <f t="shared" si="6"/>
        <v/>
      </c>
      <c r="AT16" s="108" t="str">
        <f t="shared" si="6"/>
        <v/>
      </c>
      <c r="AU16" s="108" t="str">
        <f t="shared" si="6"/>
        <v/>
      </c>
      <c r="AV16" s="108" t="str">
        <f t="shared" si="6"/>
        <v/>
      </c>
      <c r="AW16" s="108" t="str">
        <f t="shared" si="6"/>
        <v/>
      </c>
      <c r="AX16" s="108" t="str">
        <f t="shared" si="6"/>
        <v/>
      </c>
      <c r="AY16" s="108" t="str">
        <f t="shared" si="7"/>
        <v/>
      </c>
      <c r="AZ16" s="108" t="str">
        <f t="shared" si="7"/>
        <v/>
      </c>
      <c r="BA16" s="108" t="str">
        <f t="shared" si="7"/>
        <v/>
      </c>
      <c r="BB16" s="108" t="str">
        <f t="shared" si="7"/>
        <v/>
      </c>
      <c r="BC16" s="108" t="str">
        <f t="shared" si="7"/>
        <v/>
      </c>
      <c r="BD16" s="108" t="str">
        <f t="shared" si="7"/>
        <v/>
      </c>
      <c r="BE16" s="108" t="str">
        <f t="shared" si="7"/>
        <v/>
      </c>
      <c r="BF16" s="108" t="str">
        <f t="shared" si="7"/>
        <v/>
      </c>
      <c r="BG16" s="108" t="str">
        <f t="shared" si="7"/>
        <v/>
      </c>
      <c r="BH16" s="108" t="str">
        <f t="shared" si="7"/>
        <v/>
      </c>
      <c r="BI16" s="108" t="str">
        <f t="shared" si="8"/>
        <v/>
      </c>
      <c r="BJ16" s="108" t="str">
        <f t="shared" si="8"/>
        <v/>
      </c>
      <c r="BK16" s="108" t="str">
        <f t="shared" si="8"/>
        <v/>
      </c>
      <c r="BL16" s="108" t="str">
        <f t="shared" si="8"/>
        <v/>
      </c>
      <c r="BM16" s="108" t="str">
        <f t="shared" si="8"/>
        <v/>
      </c>
      <c r="BN16" s="108" t="str">
        <f t="shared" si="8"/>
        <v/>
      </c>
      <c r="BO16" s="108" t="str">
        <f t="shared" si="8"/>
        <v/>
      </c>
      <c r="BP16" s="108" t="str">
        <f t="shared" si="8"/>
        <v/>
      </c>
      <c r="BQ16" s="108" t="str">
        <f t="shared" si="8"/>
        <v/>
      </c>
      <c r="BR16" s="108" t="str">
        <f t="shared" si="8"/>
        <v/>
      </c>
      <c r="BS16" s="108" t="str">
        <f t="shared" si="9"/>
        <v/>
      </c>
      <c r="BT16" s="108" t="str">
        <f t="shared" si="9"/>
        <v/>
      </c>
      <c r="BU16" s="108" t="str">
        <f t="shared" si="9"/>
        <v/>
      </c>
      <c r="BV16" s="108" t="str">
        <f t="shared" si="9"/>
        <v/>
      </c>
      <c r="BW16" s="108" t="str">
        <f t="shared" si="9"/>
        <v/>
      </c>
      <c r="BX16" s="108" t="str">
        <f t="shared" si="9"/>
        <v/>
      </c>
      <c r="BY16" s="108" t="str">
        <f t="shared" si="9"/>
        <v/>
      </c>
      <c r="BZ16" s="108" t="str">
        <f t="shared" si="9"/>
        <v/>
      </c>
      <c r="CA16" s="108" t="str">
        <f t="shared" si="9"/>
        <v/>
      </c>
      <c r="CB16" s="108" t="str">
        <f t="shared" si="9"/>
        <v/>
      </c>
      <c r="CC16" s="108" t="str">
        <f t="shared" si="10"/>
        <v/>
      </c>
      <c r="CD16" s="108" t="str">
        <f t="shared" si="10"/>
        <v/>
      </c>
      <c r="CE16" s="108" t="str">
        <f t="shared" si="10"/>
        <v/>
      </c>
      <c r="CF16" s="108" t="str">
        <f t="shared" si="10"/>
        <v/>
      </c>
      <c r="CG16" s="108" t="str">
        <f t="shared" si="10"/>
        <v/>
      </c>
      <c r="CH16" s="108" t="str">
        <f t="shared" si="10"/>
        <v/>
      </c>
      <c r="CI16" s="108" t="str">
        <f t="shared" si="10"/>
        <v/>
      </c>
      <c r="CJ16" s="108" t="str">
        <f t="shared" si="10"/>
        <v/>
      </c>
      <c r="CK16" s="108" t="str">
        <f t="shared" si="10"/>
        <v/>
      </c>
      <c r="CL16" s="108" t="str">
        <f t="shared" si="10"/>
        <v/>
      </c>
      <c r="CM16" s="108" t="str">
        <f t="shared" si="11"/>
        <v/>
      </c>
      <c r="CN16" s="108" t="str">
        <f t="shared" si="11"/>
        <v/>
      </c>
      <c r="CO16" s="108" t="str">
        <f t="shared" si="11"/>
        <v/>
      </c>
      <c r="CP16" s="108" t="str">
        <f t="shared" si="11"/>
        <v/>
      </c>
      <c r="CQ16" s="108" t="str">
        <f t="shared" si="11"/>
        <v/>
      </c>
      <c r="CR16" s="109" t="str">
        <f t="shared" si="11"/>
        <v/>
      </c>
      <c r="CS16" s="108" t="str">
        <f t="shared" si="11"/>
        <v/>
      </c>
      <c r="CT16" s="108" t="str">
        <f t="shared" si="11"/>
        <v/>
      </c>
      <c r="CU16" s="108" t="str">
        <f t="shared" si="11"/>
        <v/>
      </c>
      <c r="CV16" s="108" t="str">
        <f t="shared" si="11"/>
        <v/>
      </c>
      <c r="CW16" s="108" t="str">
        <f t="shared" si="12"/>
        <v/>
      </c>
      <c r="CX16" s="108" t="str">
        <f t="shared" si="12"/>
        <v/>
      </c>
      <c r="CY16" s="108" t="str">
        <f t="shared" si="12"/>
        <v/>
      </c>
      <c r="CZ16" s="109" t="str">
        <f t="shared" si="12"/>
        <v/>
      </c>
      <c r="DA16" s="108" t="str">
        <f t="shared" si="12"/>
        <v/>
      </c>
      <c r="DB16" s="108" t="str">
        <f t="shared" si="12"/>
        <v/>
      </c>
      <c r="DC16" s="108" t="str">
        <f t="shared" si="12"/>
        <v/>
      </c>
      <c r="DD16" s="108" t="str">
        <f t="shared" si="12"/>
        <v/>
      </c>
      <c r="DE16" s="108" t="str">
        <f t="shared" si="12"/>
        <v/>
      </c>
      <c r="DF16" s="108" t="str">
        <f t="shared" si="12"/>
        <v/>
      </c>
      <c r="DG16" s="108" t="str">
        <f t="shared" si="13"/>
        <v/>
      </c>
      <c r="DH16" s="109" t="str">
        <f t="shared" si="13"/>
        <v/>
      </c>
      <c r="DI16" s="108" t="str">
        <f t="shared" si="13"/>
        <v/>
      </c>
      <c r="DJ16" s="108" t="str">
        <f t="shared" si="13"/>
        <v/>
      </c>
      <c r="DK16" s="108" t="str">
        <f t="shared" si="13"/>
        <v/>
      </c>
      <c r="DL16" s="108" t="str">
        <f t="shared" si="13"/>
        <v/>
      </c>
      <c r="DM16" s="108" t="str">
        <f t="shared" si="13"/>
        <v/>
      </c>
      <c r="DN16" s="108" t="str">
        <f t="shared" si="13"/>
        <v/>
      </c>
      <c r="DO16" s="109" t="str">
        <f t="shared" si="13"/>
        <v/>
      </c>
      <c r="DP16" s="108" t="str">
        <f t="shared" si="13"/>
        <v/>
      </c>
      <c r="DQ16" s="108" t="str">
        <f t="shared" si="14"/>
        <v/>
      </c>
      <c r="DR16" s="108" t="str">
        <f t="shared" si="14"/>
        <v/>
      </c>
      <c r="DS16" s="108" t="str">
        <f t="shared" si="14"/>
        <v/>
      </c>
      <c r="DT16" s="108" t="str">
        <f t="shared" si="14"/>
        <v/>
      </c>
      <c r="DU16" s="108" t="str">
        <f t="shared" si="14"/>
        <v/>
      </c>
      <c r="DV16" s="108" t="str">
        <f t="shared" si="14"/>
        <v/>
      </c>
      <c r="DW16" s="109" t="str">
        <f t="shared" si="14"/>
        <v/>
      </c>
      <c r="DX16" s="108" t="str">
        <f t="shared" si="14"/>
        <v/>
      </c>
      <c r="DY16" s="108" t="str">
        <f t="shared" si="14"/>
        <v/>
      </c>
      <c r="DZ16" s="108" t="str">
        <f t="shared" si="14"/>
        <v/>
      </c>
      <c r="EA16" s="108" t="str">
        <f t="shared" si="15"/>
        <v/>
      </c>
      <c r="EB16" s="108" t="str">
        <f t="shared" si="15"/>
        <v/>
      </c>
      <c r="EC16" s="108" t="str">
        <f t="shared" si="15"/>
        <v/>
      </c>
      <c r="ED16" s="109" t="str">
        <f t="shared" si="15"/>
        <v/>
      </c>
      <c r="EE16" s="108" t="str">
        <f t="shared" si="15"/>
        <v/>
      </c>
      <c r="EF16" s="108" t="str">
        <f t="shared" si="15"/>
        <v/>
      </c>
      <c r="EG16" s="108" t="str">
        <f t="shared" si="15"/>
        <v/>
      </c>
      <c r="EH16" s="108" t="str">
        <f t="shared" si="15"/>
        <v/>
      </c>
      <c r="EI16" s="108" t="str">
        <f t="shared" si="15"/>
        <v/>
      </c>
      <c r="EJ16" s="108" t="str">
        <f t="shared" si="15"/>
        <v/>
      </c>
      <c r="EK16" s="108" t="str">
        <f t="shared" si="16"/>
        <v/>
      </c>
      <c r="EL16" s="108" t="str">
        <f t="shared" si="16"/>
        <v/>
      </c>
      <c r="EM16" s="108" t="str">
        <f t="shared" si="16"/>
        <v/>
      </c>
      <c r="EN16" s="108" t="str">
        <f t="shared" si="16"/>
        <v/>
      </c>
      <c r="EO16" s="108" t="str">
        <f t="shared" si="16"/>
        <v/>
      </c>
      <c r="EP16" s="108" t="str">
        <f t="shared" si="16"/>
        <v/>
      </c>
      <c r="EQ16" s="108" t="str">
        <f t="shared" si="16"/>
        <v/>
      </c>
      <c r="ER16" s="108" t="str">
        <f t="shared" si="16"/>
        <v/>
      </c>
      <c r="ES16" s="109" t="str">
        <f t="shared" si="16"/>
        <v/>
      </c>
      <c r="ET16" s="108" t="str">
        <f t="shared" si="16"/>
        <v/>
      </c>
      <c r="EU16" s="108" t="str">
        <f t="shared" si="17"/>
        <v/>
      </c>
      <c r="EV16" s="108" t="str">
        <f t="shared" si="17"/>
        <v/>
      </c>
      <c r="EW16" s="108" t="str">
        <f t="shared" si="17"/>
        <v/>
      </c>
      <c r="EX16" s="108" t="str">
        <f t="shared" si="17"/>
        <v/>
      </c>
      <c r="EY16" s="108" t="str">
        <f t="shared" si="17"/>
        <v/>
      </c>
      <c r="EZ16" s="108" t="str">
        <f t="shared" si="17"/>
        <v/>
      </c>
      <c r="FA16" s="108" t="str">
        <f t="shared" si="17"/>
        <v/>
      </c>
      <c r="FB16" s="108" t="str">
        <f t="shared" si="17"/>
        <v/>
      </c>
      <c r="FC16" s="108" t="str">
        <f t="shared" si="17"/>
        <v/>
      </c>
      <c r="FD16" s="108" t="str">
        <f t="shared" si="17"/>
        <v/>
      </c>
      <c r="FE16" s="108" t="str">
        <f t="shared" si="18"/>
        <v/>
      </c>
      <c r="FF16" s="109" t="str">
        <f t="shared" si="18"/>
        <v/>
      </c>
      <c r="FG16" s="108" t="str">
        <f t="shared" si="18"/>
        <v/>
      </c>
      <c r="FH16" s="108" t="str">
        <f t="shared" si="18"/>
        <v/>
      </c>
      <c r="FI16" s="108" t="str">
        <f t="shared" si="18"/>
        <v/>
      </c>
      <c r="FJ16" s="108" t="str">
        <f t="shared" si="18"/>
        <v/>
      </c>
      <c r="FK16" s="108" t="str">
        <f t="shared" si="18"/>
        <v/>
      </c>
      <c r="FL16" s="108" t="str">
        <f t="shared" si="18"/>
        <v/>
      </c>
      <c r="FM16" s="108" t="str">
        <f t="shared" si="18"/>
        <v/>
      </c>
      <c r="FN16" s="108" t="str">
        <f t="shared" si="18"/>
        <v/>
      </c>
      <c r="FO16" s="108" t="str">
        <f t="shared" si="19"/>
        <v/>
      </c>
      <c r="FP16" s="108" t="str">
        <f t="shared" si="19"/>
        <v/>
      </c>
      <c r="FQ16" s="108" t="str">
        <f t="shared" si="19"/>
        <v/>
      </c>
      <c r="FR16" s="108" t="str">
        <f t="shared" si="19"/>
        <v/>
      </c>
      <c r="FS16" s="108" t="str">
        <f t="shared" si="19"/>
        <v/>
      </c>
      <c r="FT16" s="108" t="str">
        <f t="shared" si="19"/>
        <v/>
      </c>
      <c r="FU16" s="108" t="str">
        <f t="shared" si="19"/>
        <v/>
      </c>
      <c r="FV16" s="108" t="str">
        <f t="shared" si="19"/>
        <v/>
      </c>
      <c r="FW16" s="110" t="str">
        <f t="shared" si="19"/>
        <v/>
      </c>
    </row>
    <row r="17" spans="2:179" s="101" customFormat="1" ht="21" customHeight="1" x14ac:dyDescent="0.35">
      <c r="B17" s="27" t="e">
        <f>Portfolio_Daten!#REF!</f>
        <v>#REF!</v>
      </c>
      <c r="C17" s="27">
        <f>Portfolio_Daten!B15</f>
        <v>0</v>
      </c>
      <c r="D17" s="28">
        <f>Portfolio_Daten!E15</f>
        <v>0</v>
      </c>
      <c r="E17" s="31">
        <f>Portfolio_Daten!T15</f>
        <v>0</v>
      </c>
      <c r="F17" s="31">
        <f>Portfolio_Daten!U15</f>
        <v>0</v>
      </c>
      <c r="G17" s="107">
        <f>IF(F17="","",NETWORKDAYS(E17,F17,Parameter!$C$4:$C$51))</f>
        <v>0</v>
      </c>
      <c r="H17" s="29">
        <f>Portfolio_Daten!AG15</f>
        <v>0</v>
      </c>
      <c r="I17" s="33">
        <f>Portfolio_Daten!AI15</f>
        <v>0</v>
      </c>
      <c r="J17" s="106"/>
      <c r="K17" s="108" t="str">
        <f t="shared" ref="K17:T26" si="20">IF(K$5=($F17-WEEKDAY($F17,2)+1),"u","")</f>
        <v/>
      </c>
      <c r="L17" s="108" t="str">
        <f t="shared" si="20"/>
        <v/>
      </c>
      <c r="M17" s="108" t="str">
        <f t="shared" si="20"/>
        <v/>
      </c>
      <c r="N17" s="108" t="str">
        <f t="shared" si="20"/>
        <v/>
      </c>
      <c r="O17" s="108" t="str">
        <f t="shared" si="20"/>
        <v/>
      </c>
      <c r="P17" s="108" t="str">
        <f t="shared" si="20"/>
        <v/>
      </c>
      <c r="Q17" s="108" t="str">
        <f t="shared" si="20"/>
        <v/>
      </c>
      <c r="R17" s="108" t="str">
        <f t="shared" si="20"/>
        <v/>
      </c>
      <c r="S17" s="108" t="str">
        <f t="shared" si="20"/>
        <v/>
      </c>
      <c r="T17" s="108" t="str">
        <f t="shared" si="20"/>
        <v/>
      </c>
      <c r="U17" s="108" t="str">
        <f t="shared" ref="U17:AD26" si="21">IF(U$5=($F17-WEEKDAY($F17,2)+1),"u","")</f>
        <v/>
      </c>
      <c r="V17" s="108" t="str">
        <f t="shared" si="21"/>
        <v/>
      </c>
      <c r="W17" s="108" t="str">
        <f t="shared" si="21"/>
        <v/>
      </c>
      <c r="X17" s="108" t="str">
        <f t="shared" si="21"/>
        <v/>
      </c>
      <c r="Y17" s="108" t="str">
        <f t="shared" si="21"/>
        <v/>
      </c>
      <c r="Z17" s="108" t="str">
        <f t="shared" si="21"/>
        <v/>
      </c>
      <c r="AA17" s="108" t="str">
        <f t="shared" si="21"/>
        <v/>
      </c>
      <c r="AB17" s="108" t="str">
        <f t="shared" si="21"/>
        <v/>
      </c>
      <c r="AC17" s="108" t="str">
        <f t="shared" si="21"/>
        <v/>
      </c>
      <c r="AD17" s="108" t="str">
        <f t="shared" si="21"/>
        <v/>
      </c>
      <c r="AE17" s="108" t="str">
        <f t="shared" ref="AE17:AN26" si="22">IF(AE$5=($F17-WEEKDAY($F17,2)+1),"u","")</f>
        <v/>
      </c>
      <c r="AF17" s="108" t="str">
        <f t="shared" si="22"/>
        <v/>
      </c>
      <c r="AG17" s="108" t="str">
        <f t="shared" si="22"/>
        <v/>
      </c>
      <c r="AH17" s="108" t="str">
        <f t="shared" si="22"/>
        <v/>
      </c>
      <c r="AI17" s="108" t="str">
        <f t="shared" si="22"/>
        <v/>
      </c>
      <c r="AJ17" s="108" t="str">
        <f t="shared" si="22"/>
        <v/>
      </c>
      <c r="AK17" s="108" t="str">
        <f t="shared" si="22"/>
        <v/>
      </c>
      <c r="AL17" s="108" t="str">
        <f t="shared" si="22"/>
        <v/>
      </c>
      <c r="AM17" s="108" t="str">
        <f t="shared" si="22"/>
        <v/>
      </c>
      <c r="AN17" s="108" t="str">
        <f t="shared" si="22"/>
        <v/>
      </c>
      <c r="AO17" s="108" t="str">
        <f t="shared" ref="AO17:AX26" si="23">IF(AO$5=($F17-WEEKDAY($F17,2)+1),"u","")</f>
        <v/>
      </c>
      <c r="AP17" s="108" t="str">
        <f t="shared" si="23"/>
        <v/>
      </c>
      <c r="AQ17" s="108" t="str">
        <f t="shared" si="23"/>
        <v/>
      </c>
      <c r="AR17" s="108" t="str">
        <f t="shared" si="23"/>
        <v/>
      </c>
      <c r="AS17" s="108" t="str">
        <f t="shared" si="23"/>
        <v/>
      </c>
      <c r="AT17" s="108" t="str">
        <f t="shared" si="23"/>
        <v/>
      </c>
      <c r="AU17" s="108" t="str">
        <f t="shared" si="23"/>
        <v/>
      </c>
      <c r="AV17" s="108" t="str">
        <f t="shared" si="23"/>
        <v/>
      </c>
      <c r="AW17" s="108" t="str">
        <f t="shared" si="23"/>
        <v/>
      </c>
      <c r="AX17" s="108" t="str">
        <f t="shared" si="23"/>
        <v/>
      </c>
      <c r="AY17" s="108" t="str">
        <f t="shared" ref="AY17:BH26" si="24">IF(AY$5=($F17-WEEKDAY($F17,2)+1),"u","")</f>
        <v/>
      </c>
      <c r="AZ17" s="108" t="str">
        <f t="shared" si="24"/>
        <v/>
      </c>
      <c r="BA17" s="108" t="str">
        <f t="shared" si="24"/>
        <v/>
      </c>
      <c r="BB17" s="108" t="str">
        <f t="shared" si="24"/>
        <v/>
      </c>
      <c r="BC17" s="108" t="str">
        <f t="shared" si="24"/>
        <v/>
      </c>
      <c r="BD17" s="108" t="str">
        <f t="shared" si="24"/>
        <v/>
      </c>
      <c r="BE17" s="108" t="str">
        <f t="shared" si="24"/>
        <v/>
      </c>
      <c r="BF17" s="108" t="str">
        <f t="shared" si="24"/>
        <v/>
      </c>
      <c r="BG17" s="108" t="str">
        <f t="shared" si="24"/>
        <v/>
      </c>
      <c r="BH17" s="108" t="str">
        <f t="shared" si="24"/>
        <v/>
      </c>
      <c r="BI17" s="108" t="str">
        <f t="shared" ref="BI17:BR26" si="25">IF(BI$5=($F17-WEEKDAY($F17,2)+1),"u","")</f>
        <v/>
      </c>
      <c r="BJ17" s="108" t="str">
        <f t="shared" si="25"/>
        <v/>
      </c>
      <c r="BK17" s="108" t="str">
        <f t="shared" si="25"/>
        <v/>
      </c>
      <c r="BL17" s="108" t="str">
        <f t="shared" si="25"/>
        <v/>
      </c>
      <c r="BM17" s="108" t="str">
        <f t="shared" si="25"/>
        <v/>
      </c>
      <c r="BN17" s="108" t="str">
        <f t="shared" si="25"/>
        <v/>
      </c>
      <c r="BO17" s="108" t="str">
        <f t="shared" si="25"/>
        <v/>
      </c>
      <c r="BP17" s="108" t="str">
        <f t="shared" si="25"/>
        <v/>
      </c>
      <c r="BQ17" s="108" t="str">
        <f t="shared" si="25"/>
        <v/>
      </c>
      <c r="BR17" s="108" t="str">
        <f t="shared" si="25"/>
        <v/>
      </c>
      <c r="BS17" s="108" t="str">
        <f t="shared" ref="BS17:CB26" si="26">IF(BS$5=($F17-WEEKDAY($F17,2)+1),"u","")</f>
        <v/>
      </c>
      <c r="BT17" s="108" t="str">
        <f t="shared" si="26"/>
        <v/>
      </c>
      <c r="BU17" s="108" t="str">
        <f t="shared" si="26"/>
        <v/>
      </c>
      <c r="BV17" s="108" t="str">
        <f t="shared" si="26"/>
        <v/>
      </c>
      <c r="BW17" s="108" t="str">
        <f t="shared" si="26"/>
        <v/>
      </c>
      <c r="BX17" s="108" t="str">
        <f t="shared" si="26"/>
        <v/>
      </c>
      <c r="BY17" s="108" t="str">
        <f t="shared" si="26"/>
        <v/>
      </c>
      <c r="BZ17" s="108" t="str">
        <f t="shared" si="26"/>
        <v/>
      </c>
      <c r="CA17" s="108" t="str">
        <f t="shared" si="26"/>
        <v/>
      </c>
      <c r="CB17" s="108" t="str">
        <f t="shared" si="26"/>
        <v/>
      </c>
      <c r="CC17" s="108" t="str">
        <f t="shared" ref="CC17:CL26" si="27">IF(CC$5=($F17-WEEKDAY($F17,2)+1),"u","")</f>
        <v/>
      </c>
      <c r="CD17" s="108" t="str">
        <f t="shared" si="27"/>
        <v/>
      </c>
      <c r="CE17" s="108" t="str">
        <f t="shared" si="27"/>
        <v/>
      </c>
      <c r="CF17" s="108" t="str">
        <f t="shared" si="27"/>
        <v/>
      </c>
      <c r="CG17" s="108" t="str">
        <f t="shared" si="27"/>
        <v/>
      </c>
      <c r="CH17" s="108" t="str">
        <f t="shared" si="27"/>
        <v/>
      </c>
      <c r="CI17" s="108" t="str">
        <f t="shared" si="27"/>
        <v/>
      </c>
      <c r="CJ17" s="108" t="str">
        <f t="shared" si="27"/>
        <v/>
      </c>
      <c r="CK17" s="108" t="str">
        <f t="shared" si="27"/>
        <v/>
      </c>
      <c r="CL17" s="108" t="str">
        <f t="shared" si="27"/>
        <v/>
      </c>
      <c r="CM17" s="108" t="str">
        <f t="shared" ref="CM17:CV26" si="28">IF(CM$5=($F17-WEEKDAY($F17,2)+1),"u","")</f>
        <v/>
      </c>
      <c r="CN17" s="108" t="str">
        <f t="shared" si="28"/>
        <v/>
      </c>
      <c r="CO17" s="108" t="str">
        <f t="shared" si="28"/>
        <v/>
      </c>
      <c r="CP17" s="108" t="str">
        <f t="shared" si="28"/>
        <v/>
      </c>
      <c r="CQ17" s="108" t="str">
        <f t="shared" si="28"/>
        <v/>
      </c>
      <c r="CR17" s="109" t="str">
        <f t="shared" si="28"/>
        <v/>
      </c>
      <c r="CS17" s="108" t="str">
        <f t="shared" si="28"/>
        <v/>
      </c>
      <c r="CT17" s="108" t="str">
        <f t="shared" si="28"/>
        <v/>
      </c>
      <c r="CU17" s="108" t="str">
        <f t="shared" si="28"/>
        <v/>
      </c>
      <c r="CV17" s="108" t="str">
        <f t="shared" si="28"/>
        <v/>
      </c>
      <c r="CW17" s="108" t="str">
        <f t="shared" ref="CW17:DF26" si="29">IF(CW$5=($F17-WEEKDAY($F17,2)+1),"u","")</f>
        <v/>
      </c>
      <c r="CX17" s="108" t="str">
        <f t="shared" si="29"/>
        <v/>
      </c>
      <c r="CY17" s="108" t="str">
        <f t="shared" si="29"/>
        <v/>
      </c>
      <c r="CZ17" s="109" t="str">
        <f t="shared" si="29"/>
        <v/>
      </c>
      <c r="DA17" s="108" t="str">
        <f t="shared" si="29"/>
        <v/>
      </c>
      <c r="DB17" s="108" t="str">
        <f t="shared" si="29"/>
        <v/>
      </c>
      <c r="DC17" s="108" t="str">
        <f t="shared" si="29"/>
        <v/>
      </c>
      <c r="DD17" s="108" t="str">
        <f t="shared" si="29"/>
        <v/>
      </c>
      <c r="DE17" s="108" t="str">
        <f t="shared" si="29"/>
        <v/>
      </c>
      <c r="DF17" s="108" t="str">
        <f t="shared" si="29"/>
        <v/>
      </c>
      <c r="DG17" s="108" t="str">
        <f t="shared" ref="DG17:DP26" si="30">IF(DG$5=($F17-WEEKDAY($F17,2)+1),"u","")</f>
        <v/>
      </c>
      <c r="DH17" s="109" t="str">
        <f t="shared" si="30"/>
        <v/>
      </c>
      <c r="DI17" s="108" t="str">
        <f t="shared" si="30"/>
        <v/>
      </c>
      <c r="DJ17" s="108" t="str">
        <f t="shared" si="30"/>
        <v/>
      </c>
      <c r="DK17" s="108" t="str">
        <f t="shared" si="30"/>
        <v/>
      </c>
      <c r="DL17" s="108" t="str">
        <f t="shared" si="30"/>
        <v/>
      </c>
      <c r="DM17" s="108" t="str">
        <f t="shared" si="30"/>
        <v/>
      </c>
      <c r="DN17" s="108" t="str">
        <f t="shared" si="30"/>
        <v/>
      </c>
      <c r="DO17" s="109" t="str">
        <f t="shared" si="30"/>
        <v/>
      </c>
      <c r="DP17" s="108" t="str">
        <f t="shared" si="30"/>
        <v/>
      </c>
      <c r="DQ17" s="108" t="str">
        <f t="shared" ref="DQ17:DZ26" si="31">IF(DQ$5=($F17-WEEKDAY($F17,2)+1),"u","")</f>
        <v/>
      </c>
      <c r="DR17" s="108" t="str">
        <f t="shared" si="31"/>
        <v/>
      </c>
      <c r="DS17" s="108" t="str">
        <f t="shared" si="31"/>
        <v/>
      </c>
      <c r="DT17" s="108" t="str">
        <f t="shared" si="31"/>
        <v/>
      </c>
      <c r="DU17" s="108" t="str">
        <f t="shared" si="31"/>
        <v/>
      </c>
      <c r="DV17" s="108" t="str">
        <f t="shared" si="31"/>
        <v/>
      </c>
      <c r="DW17" s="109" t="str">
        <f t="shared" si="31"/>
        <v/>
      </c>
      <c r="DX17" s="108" t="str">
        <f t="shared" si="31"/>
        <v/>
      </c>
      <c r="DY17" s="108" t="str">
        <f t="shared" si="31"/>
        <v/>
      </c>
      <c r="DZ17" s="108" t="str">
        <f t="shared" si="31"/>
        <v/>
      </c>
      <c r="EA17" s="108" t="str">
        <f t="shared" ref="EA17:EJ26" si="32">IF(EA$5=($F17-WEEKDAY($F17,2)+1),"u","")</f>
        <v/>
      </c>
      <c r="EB17" s="108" t="str">
        <f t="shared" si="32"/>
        <v/>
      </c>
      <c r="EC17" s="108" t="str">
        <f t="shared" si="32"/>
        <v/>
      </c>
      <c r="ED17" s="109" t="str">
        <f t="shared" si="32"/>
        <v/>
      </c>
      <c r="EE17" s="108" t="str">
        <f t="shared" si="32"/>
        <v/>
      </c>
      <c r="EF17" s="108" t="str">
        <f t="shared" si="32"/>
        <v/>
      </c>
      <c r="EG17" s="108" t="str">
        <f t="shared" si="32"/>
        <v/>
      </c>
      <c r="EH17" s="108" t="str">
        <f t="shared" si="32"/>
        <v/>
      </c>
      <c r="EI17" s="108" t="str">
        <f t="shared" si="32"/>
        <v/>
      </c>
      <c r="EJ17" s="108" t="str">
        <f t="shared" si="32"/>
        <v/>
      </c>
      <c r="EK17" s="108" t="str">
        <f t="shared" ref="EK17:ET26" si="33">IF(EK$5=($F17-WEEKDAY($F17,2)+1),"u","")</f>
        <v/>
      </c>
      <c r="EL17" s="108" t="str">
        <f t="shared" si="33"/>
        <v/>
      </c>
      <c r="EM17" s="108" t="str">
        <f t="shared" si="33"/>
        <v/>
      </c>
      <c r="EN17" s="108" t="str">
        <f t="shared" si="33"/>
        <v/>
      </c>
      <c r="EO17" s="108" t="str">
        <f t="shared" si="33"/>
        <v/>
      </c>
      <c r="EP17" s="108" t="str">
        <f t="shared" si="33"/>
        <v/>
      </c>
      <c r="EQ17" s="108" t="str">
        <f t="shared" si="33"/>
        <v/>
      </c>
      <c r="ER17" s="108" t="str">
        <f t="shared" si="33"/>
        <v/>
      </c>
      <c r="ES17" s="109" t="str">
        <f t="shared" si="33"/>
        <v/>
      </c>
      <c r="ET17" s="108" t="str">
        <f t="shared" si="33"/>
        <v/>
      </c>
      <c r="EU17" s="108" t="str">
        <f t="shared" ref="EU17:FD26" si="34">IF(EU$5=($F17-WEEKDAY($F17,2)+1),"u","")</f>
        <v/>
      </c>
      <c r="EV17" s="108" t="str">
        <f t="shared" si="34"/>
        <v/>
      </c>
      <c r="EW17" s="108" t="str">
        <f t="shared" si="34"/>
        <v/>
      </c>
      <c r="EX17" s="108" t="str">
        <f t="shared" si="34"/>
        <v/>
      </c>
      <c r="EY17" s="108" t="str">
        <f t="shared" si="34"/>
        <v/>
      </c>
      <c r="EZ17" s="108" t="str">
        <f t="shared" si="34"/>
        <v/>
      </c>
      <c r="FA17" s="108" t="str">
        <f t="shared" si="34"/>
        <v/>
      </c>
      <c r="FB17" s="108" t="str">
        <f t="shared" si="34"/>
        <v/>
      </c>
      <c r="FC17" s="108" t="str">
        <f t="shared" si="34"/>
        <v/>
      </c>
      <c r="FD17" s="108" t="str">
        <f t="shared" si="34"/>
        <v/>
      </c>
      <c r="FE17" s="108" t="str">
        <f t="shared" ref="FE17:FN26" si="35">IF(FE$5=($F17-WEEKDAY($F17,2)+1),"u","")</f>
        <v/>
      </c>
      <c r="FF17" s="109" t="str">
        <f t="shared" si="35"/>
        <v/>
      </c>
      <c r="FG17" s="108" t="str">
        <f t="shared" si="35"/>
        <v/>
      </c>
      <c r="FH17" s="108" t="str">
        <f t="shared" si="35"/>
        <v/>
      </c>
      <c r="FI17" s="108" t="str">
        <f t="shared" si="35"/>
        <v/>
      </c>
      <c r="FJ17" s="108" t="str">
        <f t="shared" si="35"/>
        <v/>
      </c>
      <c r="FK17" s="108" t="str">
        <f t="shared" si="35"/>
        <v/>
      </c>
      <c r="FL17" s="108" t="str">
        <f t="shared" si="35"/>
        <v/>
      </c>
      <c r="FM17" s="108" t="str">
        <f t="shared" si="35"/>
        <v/>
      </c>
      <c r="FN17" s="108" t="str">
        <f t="shared" si="35"/>
        <v/>
      </c>
      <c r="FO17" s="108" t="str">
        <f t="shared" ref="FO17:FW26" si="36">IF(FO$5=($F17-WEEKDAY($F17,2)+1),"u","")</f>
        <v/>
      </c>
      <c r="FP17" s="108" t="str">
        <f t="shared" si="36"/>
        <v/>
      </c>
      <c r="FQ17" s="108" t="str">
        <f t="shared" si="36"/>
        <v/>
      </c>
      <c r="FR17" s="108" t="str">
        <f t="shared" si="36"/>
        <v/>
      </c>
      <c r="FS17" s="108" t="str">
        <f t="shared" si="36"/>
        <v/>
      </c>
      <c r="FT17" s="108" t="str">
        <f t="shared" si="36"/>
        <v/>
      </c>
      <c r="FU17" s="108" t="str">
        <f t="shared" si="36"/>
        <v/>
      </c>
      <c r="FV17" s="108" t="str">
        <f t="shared" si="36"/>
        <v/>
      </c>
      <c r="FW17" s="110" t="str">
        <f t="shared" si="36"/>
        <v/>
      </c>
    </row>
    <row r="18" spans="2:179" s="101" customFormat="1" ht="21" customHeight="1" x14ac:dyDescent="0.35">
      <c r="B18" s="27" t="e">
        <f>Portfolio_Daten!#REF!</f>
        <v>#REF!</v>
      </c>
      <c r="C18" s="27">
        <f>Portfolio_Daten!B16</f>
        <v>0</v>
      </c>
      <c r="D18" s="28">
        <f>Portfolio_Daten!E16</f>
        <v>0</v>
      </c>
      <c r="E18" s="31">
        <f>Portfolio_Daten!T16</f>
        <v>0</v>
      </c>
      <c r="F18" s="31">
        <f>Portfolio_Daten!U16</f>
        <v>0</v>
      </c>
      <c r="G18" s="107">
        <f>IF(F18="","",NETWORKDAYS(E18,F18,Parameter!$C$4:$C$51))</f>
        <v>0</v>
      </c>
      <c r="H18" s="29">
        <f>Portfolio_Daten!AG16</f>
        <v>0</v>
      </c>
      <c r="I18" s="33">
        <f>Portfolio_Daten!AI16</f>
        <v>0</v>
      </c>
      <c r="J18" s="106"/>
      <c r="K18" s="108" t="str">
        <f t="shared" si="20"/>
        <v/>
      </c>
      <c r="L18" s="108" t="str">
        <f t="shared" si="20"/>
        <v/>
      </c>
      <c r="M18" s="108" t="str">
        <f t="shared" si="20"/>
        <v/>
      </c>
      <c r="N18" s="108" t="str">
        <f t="shared" si="20"/>
        <v/>
      </c>
      <c r="O18" s="108" t="str">
        <f t="shared" si="20"/>
        <v/>
      </c>
      <c r="P18" s="108" t="str">
        <f t="shared" si="20"/>
        <v/>
      </c>
      <c r="Q18" s="108" t="str">
        <f t="shared" si="20"/>
        <v/>
      </c>
      <c r="R18" s="108" t="str">
        <f t="shared" si="20"/>
        <v/>
      </c>
      <c r="S18" s="108" t="str">
        <f t="shared" si="20"/>
        <v/>
      </c>
      <c r="T18" s="108" t="str">
        <f t="shared" si="20"/>
        <v/>
      </c>
      <c r="U18" s="108" t="str">
        <f t="shared" si="21"/>
        <v/>
      </c>
      <c r="V18" s="108" t="str">
        <f t="shared" si="21"/>
        <v/>
      </c>
      <c r="W18" s="108" t="str">
        <f t="shared" si="21"/>
        <v/>
      </c>
      <c r="X18" s="108" t="str">
        <f t="shared" si="21"/>
        <v/>
      </c>
      <c r="Y18" s="108" t="str">
        <f t="shared" si="21"/>
        <v/>
      </c>
      <c r="Z18" s="108" t="str">
        <f t="shared" si="21"/>
        <v/>
      </c>
      <c r="AA18" s="108" t="str">
        <f t="shared" si="21"/>
        <v/>
      </c>
      <c r="AB18" s="108" t="str">
        <f t="shared" si="21"/>
        <v/>
      </c>
      <c r="AC18" s="108" t="str">
        <f t="shared" si="21"/>
        <v/>
      </c>
      <c r="AD18" s="108" t="str">
        <f t="shared" si="21"/>
        <v/>
      </c>
      <c r="AE18" s="108" t="str">
        <f t="shared" si="22"/>
        <v/>
      </c>
      <c r="AF18" s="108" t="str">
        <f t="shared" si="22"/>
        <v/>
      </c>
      <c r="AG18" s="108" t="str">
        <f t="shared" si="22"/>
        <v/>
      </c>
      <c r="AH18" s="108" t="str">
        <f t="shared" si="22"/>
        <v/>
      </c>
      <c r="AI18" s="108" t="str">
        <f t="shared" si="22"/>
        <v/>
      </c>
      <c r="AJ18" s="108" t="str">
        <f t="shared" si="22"/>
        <v/>
      </c>
      <c r="AK18" s="108" t="str">
        <f t="shared" si="22"/>
        <v/>
      </c>
      <c r="AL18" s="108" t="str">
        <f t="shared" si="22"/>
        <v/>
      </c>
      <c r="AM18" s="108" t="str">
        <f t="shared" si="22"/>
        <v/>
      </c>
      <c r="AN18" s="108" t="str">
        <f t="shared" si="22"/>
        <v/>
      </c>
      <c r="AO18" s="108" t="str">
        <f t="shared" si="23"/>
        <v/>
      </c>
      <c r="AP18" s="108" t="str">
        <f t="shared" si="23"/>
        <v/>
      </c>
      <c r="AQ18" s="108" t="str">
        <f t="shared" si="23"/>
        <v/>
      </c>
      <c r="AR18" s="108" t="str">
        <f t="shared" si="23"/>
        <v/>
      </c>
      <c r="AS18" s="108" t="str">
        <f t="shared" si="23"/>
        <v/>
      </c>
      <c r="AT18" s="108" t="str">
        <f t="shared" si="23"/>
        <v/>
      </c>
      <c r="AU18" s="108" t="str">
        <f t="shared" si="23"/>
        <v/>
      </c>
      <c r="AV18" s="108" t="str">
        <f t="shared" si="23"/>
        <v/>
      </c>
      <c r="AW18" s="108" t="str">
        <f t="shared" si="23"/>
        <v/>
      </c>
      <c r="AX18" s="108" t="str">
        <f t="shared" si="23"/>
        <v/>
      </c>
      <c r="AY18" s="108" t="str">
        <f t="shared" si="24"/>
        <v/>
      </c>
      <c r="AZ18" s="108" t="str">
        <f t="shared" si="24"/>
        <v/>
      </c>
      <c r="BA18" s="108" t="str">
        <f t="shared" si="24"/>
        <v/>
      </c>
      <c r="BB18" s="108" t="str">
        <f t="shared" si="24"/>
        <v/>
      </c>
      <c r="BC18" s="108" t="str">
        <f t="shared" si="24"/>
        <v/>
      </c>
      <c r="BD18" s="108" t="str">
        <f t="shared" si="24"/>
        <v/>
      </c>
      <c r="BE18" s="108" t="str">
        <f t="shared" si="24"/>
        <v/>
      </c>
      <c r="BF18" s="108" t="str">
        <f t="shared" si="24"/>
        <v/>
      </c>
      <c r="BG18" s="108" t="str">
        <f t="shared" si="24"/>
        <v/>
      </c>
      <c r="BH18" s="108" t="str">
        <f t="shared" si="24"/>
        <v/>
      </c>
      <c r="BI18" s="108" t="str">
        <f t="shared" si="25"/>
        <v/>
      </c>
      <c r="BJ18" s="108" t="str">
        <f t="shared" si="25"/>
        <v/>
      </c>
      <c r="BK18" s="108" t="str">
        <f t="shared" si="25"/>
        <v/>
      </c>
      <c r="BL18" s="108" t="str">
        <f t="shared" si="25"/>
        <v/>
      </c>
      <c r="BM18" s="108" t="str">
        <f t="shared" si="25"/>
        <v/>
      </c>
      <c r="BN18" s="108" t="str">
        <f t="shared" si="25"/>
        <v/>
      </c>
      <c r="BO18" s="108" t="str">
        <f t="shared" si="25"/>
        <v/>
      </c>
      <c r="BP18" s="108" t="str">
        <f t="shared" si="25"/>
        <v/>
      </c>
      <c r="BQ18" s="108" t="str">
        <f t="shared" si="25"/>
        <v/>
      </c>
      <c r="BR18" s="108" t="str">
        <f t="shared" si="25"/>
        <v/>
      </c>
      <c r="BS18" s="108" t="str">
        <f t="shared" si="26"/>
        <v/>
      </c>
      <c r="BT18" s="108" t="str">
        <f t="shared" si="26"/>
        <v/>
      </c>
      <c r="BU18" s="108" t="str">
        <f t="shared" si="26"/>
        <v/>
      </c>
      <c r="BV18" s="108" t="str">
        <f t="shared" si="26"/>
        <v/>
      </c>
      <c r="BW18" s="108" t="str">
        <f t="shared" si="26"/>
        <v/>
      </c>
      <c r="BX18" s="108" t="str">
        <f t="shared" si="26"/>
        <v/>
      </c>
      <c r="BY18" s="108" t="str">
        <f t="shared" si="26"/>
        <v/>
      </c>
      <c r="BZ18" s="108" t="str">
        <f t="shared" si="26"/>
        <v/>
      </c>
      <c r="CA18" s="108" t="str">
        <f t="shared" si="26"/>
        <v/>
      </c>
      <c r="CB18" s="108" t="str">
        <f t="shared" si="26"/>
        <v/>
      </c>
      <c r="CC18" s="108" t="str">
        <f t="shared" si="27"/>
        <v/>
      </c>
      <c r="CD18" s="108" t="str">
        <f t="shared" si="27"/>
        <v/>
      </c>
      <c r="CE18" s="108" t="str">
        <f t="shared" si="27"/>
        <v/>
      </c>
      <c r="CF18" s="108" t="str">
        <f t="shared" si="27"/>
        <v/>
      </c>
      <c r="CG18" s="108" t="str">
        <f t="shared" si="27"/>
        <v/>
      </c>
      <c r="CH18" s="108" t="str">
        <f t="shared" si="27"/>
        <v/>
      </c>
      <c r="CI18" s="108" t="str">
        <f t="shared" si="27"/>
        <v/>
      </c>
      <c r="CJ18" s="108" t="str">
        <f t="shared" si="27"/>
        <v/>
      </c>
      <c r="CK18" s="108" t="str">
        <f t="shared" si="27"/>
        <v/>
      </c>
      <c r="CL18" s="108" t="str">
        <f t="shared" si="27"/>
        <v/>
      </c>
      <c r="CM18" s="108" t="str">
        <f t="shared" si="28"/>
        <v/>
      </c>
      <c r="CN18" s="108" t="str">
        <f t="shared" si="28"/>
        <v/>
      </c>
      <c r="CO18" s="108" t="str">
        <f t="shared" si="28"/>
        <v/>
      </c>
      <c r="CP18" s="108" t="str">
        <f t="shared" si="28"/>
        <v/>
      </c>
      <c r="CQ18" s="108" t="str">
        <f t="shared" si="28"/>
        <v/>
      </c>
      <c r="CR18" s="109" t="str">
        <f t="shared" si="28"/>
        <v/>
      </c>
      <c r="CS18" s="108" t="str">
        <f t="shared" si="28"/>
        <v/>
      </c>
      <c r="CT18" s="108" t="str">
        <f t="shared" si="28"/>
        <v/>
      </c>
      <c r="CU18" s="108" t="str">
        <f t="shared" si="28"/>
        <v/>
      </c>
      <c r="CV18" s="108" t="str">
        <f t="shared" si="28"/>
        <v/>
      </c>
      <c r="CW18" s="108" t="str">
        <f t="shared" si="29"/>
        <v/>
      </c>
      <c r="CX18" s="108" t="str">
        <f t="shared" si="29"/>
        <v/>
      </c>
      <c r="CY18" s="108" t="str">
        <f t="shared" si="29"/>
        <v/>
      </c>
      <c r="CZ18" s="109" t="str">
        <f t="shared" si="29"/>
        <v/>
      </c>
      <c r="DA18" s="108" t="str">
        <f t="shared" si="29"/>
        <v/>
      </c>
      <c r="DB18" s="108" t="str">
        <f t="shared" si="29"/>
        <v/>
      </c>
      <c r="DC18" s="108" t="str">
        <f t="shared" si="29"/>
        <v/>
      </c>
      <c r="DD18" s="108" t="str">
        <f t="shared" si="29"/>
        <v/>
      </c>
      <c r="DE18" s="108" t="str">
        <f t="shared" si="29"/>
        <v/>
      </c>
      <c r="DF18" s="108" t="str">
        <f t="shared" si="29"/>
        <v/>
      </c>
      <c r="DG18" s="108" t="str">
        <f t="shared" si="30"/>
        <v/>
      </c>
      <c r="DH18" s="109" t="str">
        <f t="shared" si="30"/>
        <v/>
      </c>
      <c r="DI18" s="108" t="str">
        <f t="shared" si="30"/>
        <v/>
      </c>
      <c r="DJ18" s="108" t="str">
        <f t="shared" si="30"/>
        <v/>
      </c>
      <c r="DK18" s="108" t="str">
        <f t="shared" si="30"/>
        <v/>
      </c>
      <c r="DL18" s="108" t="str">
        <f t="shared" si="30"/>
        <v/>
      </c>
      <c r="DM18" s="108" t="str">
        <f t="shared" si="30"/>
        <v/>
      </c>
      <c r="DN18" s="108" t="str">
        <f t="shared" si="30"/>
        <v/>
      </c>
      <c r="DO18" s="109" t="str">
        <f t="shared" si="30"/>
        <v/>
      </c>
      <c r="DP18" s="108" t="str">
        <f t="shared" si="30"/>
        <v/>
      </c>
      <c r="DQ18" s="108" t="str">
        <f t="shared" si="31"/>
        <v/>
      </c>
      <c r="DR18" s="108" t="str">
        <f t="shared" si="31"/>
        <v/>
      </c>
      <c r="DS18" s="108" t="str">
        <f t="shared" si="31"/>
        <v/>
      </c>
      <c r="DT18" s="108" t="str">
        <f t="shared" si="31"/>
        <v/>
      </c>
      <c r="DU18" s="108" t="str">
        <f t="shared" si="31"/>
        <v/>
      </c>
      <c r="DV18" s="108" t="str">
        <f t="shared" si="31"/>
        <v/>
      </c>
      <c r="DW18" s="109" t="str">
        <f t="shared" si="31"/>
        <v/>
      </c>
      <c r="DX18" s="108" t="str">
        <f t="shared" si="31"/>
        <v/>
      </c>
      <c r="DY18" s="108" t="str">
        <f t="shared" si="31"/>
        <v/>
      </c>
      <c r="DZ18" s="108" t="str">
        <f t="shared" si="31"/>
        <v/>
      </c>
      <c r="EA18" s="108" t="str">
        <f t="shared" si="32"/>
        <v/>
      </c>
      <c r="EB18" s="108" t="str">
        <f t="shared" si="32"/>
        <v/>
      </c>
      <c r="EC18" s="108" t="str">
        <f t="shared" si="32"/>
        <v/>
      </c>
      <c r="ED18" s="109" t="str">
        <f t="shared" si="32"/>
        <v/>
      </c>
      <c r="EE18" s="108" t="str">
        <f t="shared" si="32"/>
        <v/>
      </c>
      <c r="EF18" s="108" t="str">
        <f t="shared" si="32"/>
        <v/>
      </c>
      <c r="EG18" s="108" t="str">
        <f t="shared" si="32"/>
        <v/>
      </c>
      <c r="EH18" s="108" t="str">
        <f t="shared" si="32"/>
        <v/>
      </c>
      <c r="EI18" s="108" t="str">
        <f t="shared" si="32"/>
        <v/>
      </c>
      <c r="EJ18" s="108" t="str">
        <f t="shared" si="32"/>
        <v/>
      </c>
      <c r="EK18" s="108" t="str">
        <f t="shared" si="33"/>
        <v/>
      </c>
      <c r="EL18" s="108" t="str">
        <f t="shared" si="33"/>
        <v/>
      </c>
      <c r="EM18" s="108" t="str">
        <f t="shared" si="33"/>
        <v/>
      </c>
      <c r="EN18" s="108" t="str">
        <f t="shared" si="33"/>
        <v/>
      </c>
      <c r="EO18" s="108" t="str">
        <f t="shared" si="33"/>
        <v/>
      </c>
      <c r="EP18" s="108" t="str">
        <f t="shared" si="33"/>
        <v/>
      </c>
      <c r="EQ18" s="108" t="str">
        <f t="shared" si="33"/>
        <v/>
      </c>
      <c r="ER18" s="108" t="str">
        <f t="shared" si="33"/>
        <v/>
      </c>
      <c r="ES18" s="109" t="str">
        <f t="shared" si="33"/>
        <v/>
      </c>
      <c r="ET18" s="108" t="str">
        <f t="shared" si="33"/>
        <v/>
      </c>
      <c r="EU18" s="108" t="str">
        <f t="shared" si="34"/>
        <v/>
      </c>
      <c r="EV18" s="108" t="str">
        <f t="shared" si="34"/>
        <v/>
      </c>
      <c r="EW18" s="108" t="str">
        <f t="shared" si="34"/>
        <v/>
      </c>
      <c r="EX18" s="108" t="str">
        <f t="shared" si="34"/>
        <v/>
      </c>
      <c r="EY18" s="108" t="str">
        <f t="shared" si="34"/>
        <v/>
      </c>
      <c r="EZ18" s="108" t="str">
        <f t="shared" si="34"/>
        <v/>
      </c>
      <c r="FA18" s="108" t="str">
        <f t="shared" si="34"/>
        <v/>
      </c>
      <c r="FB18" s="108" t="str">
        <f t="shared" si="34"/>
        <v/>
      </c>
      <c r="FC18" s="108" t="str">
        <f t="shared" si="34"/>
        <v/>
      </c>
      <c r="FD18" s="108" t="str">
        <f t="shared" si="34"/>
        <v/>
      </c>
      <c r="FE18" s="108" t="str">
        <f t="shared" si="35"/>
        <v/>
      </c>
      <c r="FF18" s="109" t="str">
        <f t="shared" si="35"/>
        <v/>
      </c>
      <c r="FG18" s="108" t="str">
        <f t="shared" si="35"/>
        <v/>
      </c>
      <c r="FH18" s="108" t="str">
        <f t="shared" si="35"/>
        <v/>
      </c>
      <c r="FI18" s="108" t="str">
        <f t="shared" si="35"/>
        <v/>
      </c>
      <c r="FJ18" s="108" t="str">
        <f t="shared" si="35"/>
        <v/>
      </c>
      <c r="FK18" s="108" t="str">
        <f t="shared" si="35"/>
        <v/>
      </c>
      <c r="FL18" s="108" t="str">
        <f t="shared" si="35"/>
        <v/>
      </c>
      <c r="FM18" s="108" t="str">
        <f t="shared" si="35"/>
        <v/>
      </c>
      <c r="FN18" s="108" t="str">
        <f t="shared" si="35"/>
        <v/>
      </c>
      <c r="FO18" s="108" t="str">
        <f t="shared" si="36"/>
        <v/>
      </c>
      <c r="FP18" s="108" t="str">
        <f t="shared" si="36"/>
        <v/>
      </c>
      <c r="FQ18" s="108" t="str">
        <f t="shared" si="36"/>
        <v/>
      </c>
      <c r="FR18" s="108" t="str">
        <f t="shared" si="36"/>
        <v/>
      </c>
      <c r="FS18" s="108" t="str">
        <f t="shared" si="36"/>
        <v/>
      </c>
      <c r="FT18" s="108" t="str">
        <f t="shared" si="36"/>
        <v/>
      </c>
      <c r="FU18" s="108" t="str">
        <f t="shared" si="36"/>
        <v/>
      </c>
      <c r="FV18" s="108" t="str">
        <f t="shared" si="36"/>
        <v/>
      </c>
      <c r="FW18" s="110" t="str">
        <f t="shared" si="36"/>
        <v/>
      </c>
    </row>
    <row r="19" spans="2:179" s="101" customFormat="1" ht="21" customHeight="1" x14ac:dyDescent="0.35">
      <c r="B19" s="27" t="e">
        <f>Portfolio_Daten!#REF!</f>
        <v>#REF!</v>
      </c>
      <c r="C19" s="27">
        <f>Portfolio_Daten!B17</f>
        <v>0</v>
      </c>
      <c r="D19" s="28">
        <f>Portfolio_Daten!E17</f>
        <v>0</v>
      </c>
      <c r="E19" s="31">
        <f>Portfolio_Daten!T17</f>
        <v>0</v>
      </c>
      <c r="F19" s="31">
        <f>Portfolio_Daten!U17</f>
        <v>0</v>
      </c>
      <c r="G19" s="107">
        <f>IF(F19="","",NETWORKDAYS(E19,F19,Parameter!$C$4:$C$51))</f>
        <v>0</v>
      </c>
      <c r="H19" s="29">
        <f>Portfolio_Daten!AG17</f>
        <v>0</v>
      </c>
      <c r="I19" s="33">
        <f>Portfolio_Daten!AI17</f>
        <v>0</v>
      </c>
      <c r="J19" s="106"/>
      <c r="K19" s="108" t="str">
        <f t="shared" si="20"/>
        <v/>
      </c>
      <c r="L19" s="108" t="str">
        <f t="shared" si="20"/>
        <v/>
      </c>
      <c r="M19" s="108" t="str">
        <f t="shared" si="20"/>
        <v/>
      </c>
      <c r="N19" s="108" t="str">
        <f t="shared" si="20"/>
        <v/>
      </c>
      <c r="O19" s="108" t="str">
        <f t="shared" si="20"/>
        <v/>
      </c>
      <c r="P19" s="108" t="str">
        <f t="shared" si="20"/>
        <v/>
      </c>
      <c r="Q19" s="108" t="str">
        <f t="shared" si="20"/>
        <v/>
      </c>
      <c r="R19" s="108" t="str">
        <f t="shared" si="20"/>
        <v/>
      </c>
      <c r="S19" s="108" t="str">
        <f t="shared" si="20"/>
        <v/>
      </c>
      <c r="T19" s="108" t="str">
        <f t="shared" si="20"/>
        <v/>
      </c>
      <c r="U19" s="108" t="str">
        <f t="shared" si="21"/>
        <v/>
      </c>
      <c r="V19" s="108" t="str">
        <f t="shared" si="21"/>
        <v/>
      </c>
      <c r="W19" s="108" t="str">
        <f t="shared" si="21"/>
        <v/>
      </c>
      <c r="X19" s="108" t="str">
        <f t="shared" si="21"/>
        <v/>
      </c>
      <c r="Y19" s="108" t="str">
        <f t="shared" si="21"/>
        <v/>
      </c>
      <c r="Z19" s="108" t="str">
        <f t="shared" si="21"/>
        <v/>
      </c>
      <c r="AA19" s="108" t="str">
        <f t="shared" si="21"/>
        <v/>
      </c>
      <c r="AB19" s="108" t="str">
        <f t="shared" si="21"/>
        <v/>
      </c>
      <c r="AC19" s="108" t="str">
        <f t="shared" si="21"/>
        <v/>
      </c>
      <c r="AD19" s="108" t="str">
        <f t="shared" si="21"/>
        <v/>
      </c>
      <c r="AE19" s="108" t="str">
        <f t="shared" si="22"/>
        <v/>
      </c>
      <c r="AF19" s="108" t="str">
        <f t="shared" si="22"/>
        <v/>
      </c>
      <c r="AG19" s="108" t="str">
        <f t="shared" si="22"/>
        <v/>
      </c>
      <c r="AH19" s="108" t="str">
        <f t="shared" si="22"/>
        <v/>
      </c>
      <c r="AI19" s="108" t="str">
        <f t="shared" si="22"/>
        <v/>
      </c>
      <c r="AJ19" s="108" t="str">
        <f t="shared" si="22"/>
        <v/>
      </c>
      <c r="AK19" s="108" t="str">
        <f t="shared" si="22"/>
        <v/>
      </c>
      <c r="AL19" s="108" t="str">
        <f t="shared" si="22"/>
        <v/>
      </c>
      <c r="AM19" s="108" t="str">
        <f t="shared" si="22"/>
        <v/>
      </c>
      <c r="AN19" s="108" t="str">
        <f t="shared" si="22"/>
        <v/>
      </c>
      <c r="AO19" s="108" t="str">
        <f t="shared" si="23"/>
        <v/>
      </c>
      <c r="AP19" s="108" t="str">
        <f t="shared" si="23"/>
        <v/>
      </c>
      <c r="AQ19" s="108" t="str">
        <f t="shared" si="23"/>
        <v/>
      </c>
      <c r="AR19" s="108" t="str">
        <f t="shared" si="23"/>
        <v/>
      </c>
      <c r="AS19" s="108" t="str">
        <f t="shared" si="23"/>
        <v/>
      </c>
      <c r="AT19" s="108" t="str">
        <f t="shared" si="23"/>
        <v/>
      </c>
      <c r="AU19" s="108" t="str">
        <f t="shared" si="23"/>
        <v/>
      </c>
      <c r="AV19" s="108" t="str">
        <f t="shared" si="23"/>
        <v/>
      </c>
      <c r="AW19" s="108" t="str">
        <f t="shared" si="23"/>
        <v/>
      </c>
      <c r="AX19" s="108" t="str">
        <f t="shared" si="23"/>
        <v/>
      </c>
      <c r="AY19" s="108" t="str">
        <f t="shared" si="24"/>
        <v/>
      </c>
      <c r="AZ19" s="108" t="str">
        <f t="shared" si="24"/>
        <v/>
      </c>
      <c r="BA19" s="108" t="str">
        <f t="shared" si="24"/>
        <v/>
      </c>
      <c r="BB19" s="108" t="str">
        <f t="shared" si="24"/>
        <v/>
      </c>
      <c r="BC19" s="108" t="str">
        <f t="shared" si="24"/>
        <v/>
      </c>
      <c r="BD19" s="108" t="str">
        <f t="shared" si="24"/>
        <v/>
      </c>
      <c r="BE19" s="108" t="str">
        <f t="shared" si="24"/>
        <v/>
      </c>
      <c r="BF19" s="108" t="str">
        <f t="shared" si="24"/>
        <v/>
      </c>
      <c r="BG19" s="108" t="str">
        <f t="shared" si="24"/>
        <v/>
      </c>
      <c r="BH19" s="108" t="str">
        <f t="shared" si="24"/>
        <v/>
      </c>
      <c r="BI19" s="108" t="str">
        <f t="shared" si="25"/>
        <v/>
      </c>
      <c r="BJ19" s="108" t="str">
        <f t="shared" si="25"/>
        <v/>
      </c>
      <c r="BK19" s="108" t="str">
        <f t="shared" si="25"/>
        <v/>
      </c>
      <c r="BL19" s="108" t="str">
        <f t="shared" si="25"/>
        <v/>
      </c>
      <c r="BM19" s="108" t="str">
        <f t="shared" si="25"/>
        <v/>
      </c>
      <c r="BN19" s="108" t="str">
        <f t="shared" si="25"/>
        <v/>
      </c>
      <c r="BO19" s="108" t="str">
        <f t="shared" si="25"/>
        <v/>
      </c>
      <c r="BP19" s="108" t="str">
        <f t="shared" si="25"/>
        <v/>
      </c>
      <c r="BQ19" s="108" t="str">
        <f t="shared" si="25"/>
        <v/>
      </c>
      <c r="BR19" s="108" t="str">
        <f t="shared" si="25"/>
        <v/>
      </c>
      <c r="BS19" s="108" t="str">
        <f t="shared" si="26"/>
        <v/>
      </c>
      <c r="BT19" s="108" t="str">
        <f t="shared" si="26"/>
        <v/>
      </c>
      <c r="BU19" s="108" t="str">
        <f t="shared" si="26"/>
        <v/>
      </c>
      <c r="BV19" s="108" t="str">
        <f t="shared" si="26"/>
        <v/>
      </c>
      <c r="BW19" s="108" t="str">
        <f t="shared" si="26"/>
        <v/>
      </c>
      <c r="BX19" s="108" t="str">
        <f t="shared" si="26"/>
        <v/>
      </c>
      <c r="BY19" s="108" t="str">
        <f t="shared" si="26"/>
        <v/>
      </c>
      <c r="BZ19" s="108" t="str">
        <f t="shared" si="26"/>
        <v/>
      </c>
      <c r="CA19" s="108" t="str">
        <f t="shared" si="26"/>
        <v/>
      </c>
      <c r="CB19" s="108" t="str">
        <f t="shared" si="26"/>
        <v/>
      </c>
      <c r="CC19" s="108" t="str">
        <f t="shared" si="27"/>
        <v/>
      </c>
      <c r="CD19" s="108" t="str">
        <f t="shared" si="27"/>
        <v/>
      </c>
      <c r="CE19" s="108" t="str">
        <f t="shared" si="27"/>
        <v/>
      </c>
      <c r="CF19" s="108" t="str">
        <f t="shared" si="27"/>
        <v/>
      </c>
      <c r="CG19" s="108" t="str">
        <f t="shared" si="27"/>
        <v/>
      </c>
      <c r="CH19" s="108" t="str">
        <f t="shared" si="27"/>
        <v/>
      </c>
      <c r="CI19" s="108" t="str">
        <f t="shared" si="27"/>
        <v/>
      </c>
      <c r="CJ19" s="108" t="str">
        <f t="shared" si="27"/>
        <v/>
      </c>
      <c r="CK19" s="108" t="str">
        <f t="shared" si="27"/>
        <v/>
      </c>
      <c r="CL19" s="108" t="str">
        <f t="shared" si="27"/>
        <v/>
      </c>
      <c r="CM19" s="108" t="str">
        <f t="shared" si="28"/>
        <v/>
      </c>
      <c r="CN19" s="108" t="str">
        <f t="shared" si="28"/>
        <v/>
      </c>
      <c r="CO19" s="108" t="str">
        <f t="shared" si="28"/>
        <v/>
      </c>
      <c r="CP19" s="108" t="str">
        <f t="shared" si="28"/>
        <v/>
      </c>
      <c r="CQ19" s="108" t="str">
        <f t="shared" si="28"/>
        <v/>
      </c>
      <c r="CR19" s="109" t="str">
        <f t="shared" si="28"/>
        <v/>
      </c>
      <c r="CS19" s="108" t="str">
        <f t="shared" si="28"/>
        <v/>
      </c>
      <c r="CT19" s="108" t="str">
        <f t="shared" si="28"/>
        <v/>
      </c>
      <c r="CU19" s="108" t="str">
        <f t="shared" si="28"/>
        <v/>
      </c>
      <c r="CV19" s="108" t="str">
        <f t="shared" si="28"/>
        <v/>
      </c>
      <c r="CW19" s="108" t="str">
        <f t="shared" si="29"/>
        <v/>
      </c>
      <c r="CX19" s="108" t="str">
        <f t="shared" si="29"/>
        <v/>
      </c>
      <c r="CY19" s="108" t="str">
        <f t="shared" si="29"/>
        <v/>
      </c>
      <c r="CZ19" s="109" t="str">
        <f t="shared" si="29"/>
        <v/>
      </c>
      <c r="DA19" s="108" t="str">
        <f t="shared" si="29"/>
        <v/>
      </c>
      <c r="DB19" s="108" t="str">
        <f t="shared" si="29"/>
        <v/>
      </c>
      <c r="DC19" s="108" t="str">
        <f t="shared" si="29"/>
        <v/>
      </c>
      <c r="DD19" s="108" t="str">
        <f t="shared" si="29"/>
        <v/>
      </c>
      <c r="DE19" s="108" t="str">
        <f t="shared" si="29"/>
        <v/>
      </c>
      <c r="DF19" s="108" t="str">
        <f t="shared" si="29"/>
        <v/>
      </c>
      <c r="DG19" s="108" t="str">
        <f t="shared" si="30"/>
        <v/>
      </c>
      <c r="DH19" s="109" t="str">
        <f t="shared" si="30"/>
        <v/>
      </c>
      <c r="DI19" s="108" t="str">
        <f t="shared" si="30"/>
        <v/>
      </c>
      <c r="DJ19" s="108" t="str">
        <f t="shared" si="30"/>
        <v/>
      </c>
      <c r="DK19" s="108" t="str">
        <f t="shared" si="30"/>
        <v/>
      </c>
      <c r="DL19" s="108" t="str">
        <f t="shared" si="30"/>
        <v/>
      </c>
      <c r="DM19" s="108" t="str">
        <f t="shared" si="30"/>
        <v/>
      </c>
      <c r="DN19" s="108" t="str">
        <f t="shared" si="30"/>
        <v/>
      </c>
      <c r="DO19" s="109" t="str">
        <f t="shared" si="30"/>
        <v/>
      </c>
      <c r="DP19" s="108" t="str">
        <f t="shared" si="30"/>
        <v/>
      </c>
      <c r="DQ19" s="108" t="str">
        <f t="shared" si="31"/>
        <v/>
      </c>
      <c r="DR19" s="108" t="str">
        <f t="shared" si="31"/>
        <v/>
      </c>
      <c r="DS19" s="108" t="str">
        <f t="shared" si="31"/>
        <v/>
      </c>
      <c r="DT19" s="108" t="str">
        <f t="shared" si="31"/>
        <v/>
      </c>
      <c r="DU19" s="108" t="str">
        <f t="shared" si="31"/>
        <v/>
      </c>
      <c r="DV19" s="108" t="str">
        <f t="shared" si="31"/>
        <v/>
      </c>
      <c r="DW19" s="109" t="str">
        <f t="shared" si="31"/>
        <v/>
      </c>
      <c r="DX19" s="108" t="str">
        <f t="shared" si="31"/>
        <v/>
      </c>
      <c r="DY19" s="108" t="str">
        <f t="shared" si="31"/>
        <v/>
      </c>
      <c r="DZ19" s="108" t="str">
        <f t="shared" si="31"/>
        <v/>
      </c>
      <c r="EA19" s="108" t="str">
        <f t="shared" si="32"/>
        <v/>
      </c>
      <c r="EB19" s="108" t="str">
        <f t="shared" si="32"/>
        <v/>
      </c>
      <c r="EC19" s="108" t="str">
        <f t="shared" si="32"/>
        <v/>
      </c>
      <c r="ED19" s="109" t="str">
        <f t="shared" si="32"/>
        <v/>
      </c>
      <c r="EE19" s="108" t="str">
        <f t="shared" si="32"/>
        <v/>
      </c>
      <c r="EF19" s="108" t="str">
        <f t="shared" si="32"/>
        <v/>
      </c>
      <c r="EG19" s="108" t="str">
        <f t="shared" si="32"/>
        <v/>
      </c>
      <c r="EH19" s="108" t="str">
        <f t="shared" si="32"/>
        <v/>
      </c>
      <c r="EI19" s="108" t="str">
        <f t="shared" si="32"/>
        <v/>
      </c>
      <c r="EJ19" s="108" t="str">
        <f t="shared" si="32"/>
        <v/>
      </c>
      <c r="EK19" s="108" t="str">
        <f t="shared" si="33"/>
        <v/>
      </c>
      <c r="EL19" s="108" t="str">
        <f t="shared" si="33"/>
        <v/>
      </c>
      <c r="EM19" s="108" t="str">
        <f t="shared" si="33"/>
        <v/>
      </c>
      <c r="EN19" s="108" t="str">
        <f t="shared" si="33"/>
        <v/>
      </c>
      <c r="EO19" s="108" t="str">
        <f t="shared" si="33"/>
        <v/>
      </c>
      <c r="EP19" s="108" t="str">
        <f t="shared" si="33"/>
        <v/>
      </c>
      <c r="EQ19" s="108" t="str">
        <f t="shared" si="33"/>
        <v/>
      </c>
      <c r="ER19" s="108" t="str">
        <f t="shared" si="33"/>
        <v/>
      </c>
      <c r="ES19" s="109" t="str">
        <f t="shared" si="33"/>
        <v/>
      </c>
      <c r="ET19" s="108" t="str">
        <f t="shared" si="33"/>
        <v/>
      </c>
      <c r="EU19" s="108" t="str">
        <f t="shared" si="34"/>
        <v/>
      </c>
      <c r="EV19" s="108" t="str">
        <f t="shared" si="34"/>
        <v/>
      </c>
      <c r="EW19" s="108" t="str">
        <f t="shared" si="34"/>
        <v/>
      </c>
      <c r="EX19" s="108" t="str">
        <f t="shared" si="34"/>
        <v/>
      </c>
      <c r="EY19" s="108" t="str">
        <f t="shared" si="34"/>
        <v/>
      </c>
      <c r="EZ19" s="108" t="str">
        <f t="shared" si="34"/>
        <v/>
      </c>
      <c r="FA19" s="108" t="str">
        <f t="shared" si="34"/>
        <v/>
      </c>
      <c r="FB19" s="108" t="str">
        <f t="shared" si="34"/>
        <v/>
      </c>
      <c r="FC19" s="108" t="str">
        <f t="shared" si="34"/>
        <v/>
      </c>
      <c r="FD19" s="108" t="str">
        <f t="shared" si="34"/>
        <v/>
      </c>
      <c r="FE19" s="108" t="str">
        <f t="shared" si="35"/>
        <v/>
      </c>
      <c r="FF19" s="109" t="str">
        <f t="shared" si="35"/>
        <v/>
      </c>
      <c r="FG19" s="108" t="str">
        <f t="shared" si="35"/>
        <v/>
      </c>
      <c r="FH19" s="108" t="str">
        <f t="shared" si="35"/>
        <v/>
      </c>
      <c r="FI19" s="108" t="str">
        <f t="shared" si="35"/>
        <v/>
      </c>
      <c r="FJ19" s="108" t="str">
        <f t="shared" si="35"/>
        <v/>
      </c>
      <c r="FK19" s="108" t="str">
        <f t="shared" si="35"/>
        <v/>
      </c>
      <c r="FL19" s="108" t="str">
        <f t="shared" si="35"/>
        <v/>
      </c>
      <c r="FM19" s="108" t="str">
        <f t="shared" si="35"/>
        <v/>
      </c>
      <c r="FN19" s="108" t="str">
        <f t="shared" si="35"/>
        <v/>
      </c>
      <c r="FO19" s="108" t="str">
        <f t="shared" si="36"/>
        <v/>
      </c>
      <c r="FP19" s="108" t="str">
        <f t="shared" si="36"/>
        <v/>
      </c>
      <c r="FQ19" s="108" t="str">
        <f t="shared" si="36"/>
        <v/>
      </c>
      <c r="FR19" s="108" t="str">
        <f t="shared" si="36"/>
        <v/>
      </c>
      <c r="FS19" s="108" t="str">
        <f t="shared" si="36"/>
        <v/>
      </c>
      <c r="FT19" s="108" t="str">
        <f t="shared" si="36"/>
        <v/>
      </c>
      <c r="FU19" s="108" t="str">
        <f t="shared" si="36"/>
        <v/>
      </c>
      <c r="FV19" s="108" t="str">
        <f t="shared" si="36"/>
        <v/>
      </c>
      <c r="FW19" s="110" t="str">
        <f t="shared" si="36"/>
        <v/>
      </c>
    </row>
    <row r="20" spans="2:179" s="101" customFormat="1" ht="21" customHeight="1" x14ac:dyDescent="0.35">
      <c r="B20" s="27" t="e">
        <f>Portfolio_Daten!#REF!</f>
        <v>#REF!</v>
      </c>
      <c r="C20" s="27">
        <f>Portfolio_Daten!B19</f>
        <v>0</v>
      </c>
      <c r="D20" s="28">
        <f>Portfolio_Daten!E19</f>
        <v>0</v>
      </c>
      <c r="E20" s="31">
        <f>Portfolio_Daten!T19</f>
        <v>0</v>
      </c>
      <c r="F20" s="31">
        <f>Portfolio_Daten!U19</f>
        <v>0</v>
      </c>
      <c r="G20" s="107">
        <f>IF(F20="","",NETWORKDAYS(E20,F20,Parameter!$C$4:$C$51))</f>
        <v>0</v>
      </c>
      <c r="H20" s="29">
        <f>Portfolio_Daten!AG19</f>
        <v>0</v>
      </c>
      <c r="I20" s="33">
        <f>Portfolio_Daten!AI19</f>
        <v>0</v>
      </c>
      <c r="J20" s="106"/>
      <c r="K20" s="108" t="str">
        <f t="shared" si="20"/>
        <v/>
      </c>
      <c r="L20" s="108" t="str">
        <f t="shared" si="20"/>
        <v/>
      </c>
      <c r="M20" s="108" t="str">
        <f t="shared" si="20"/>
        <v/>
      </c>
      <c r="N20" s="108" t="str">
        <f t="shared" si="20"/>
        <v/>
      </c>
      <c r="O20" s="108" t="str">
        <f t="shared" si="20"/>
        <v/>
      </c>
      <c r="P20" s="108" t="str">
        <f t="shared" si="20"/>
        <v/>
      </c>
      <c r="Q20" s="108" t="str">
        <f t="shared" si="20"/>
        <v/>
      </c>
      <c r="R20" s="108" t="str">
        <f t="shared" si="20"/>
        <v/>
      </c>
      <c r="S20" s="108" t="str">
        <f t="shared" si="20"/>
        <v/>
      </c>
      <c r="T20" s="108" t="str">
        <f t="shared" si="20"/>
        <v/>
      </c>
      <c r="U20" s="108" t="str">
        <f t="shared" si="21"/>
        <v/>
      </c>
      <c r="V20" s="108" t="str">
        <f t="shared" si="21"/>
        <v/>
      </c>
      <c r="W20" s="108" t="str">
        <f t="shared" si="21"/>
        <v/>
      </c>
      <c r="X20" s="108" t="str">
        <f t="shared" si="21"/>
        <v/>
      </c>
      <c r="Y20" s="108" t="str">
        <f t="shared" si="21"/>
        <v/>
      </c>
      <c r="Z20" s="108" t="str">
        <f t="shared" si="21"/>
        <v/>
      </c>
      <c r="AA20" s="108" t="str">
        <f t="shared" si="21"/>
        <v/>
      </c>
      <c r="AB20" s="108" t="str">
        <f t="shared" si="21"/>
        <v/>
      </c>
      <c r="AC20" s="108" t="str">
        <f t="shared" si="21"/>
        <v/>
      </c>
      <c r="AD20" s="108" t="str">
        <f t="shared" si="21"/>
        <v/>
      </c>
      <c r="AE20" s="108" t="str">
        <f t="shared" si="22"/>
        <v/>
      </c>
      <c r="AF20" s="108" t="str">
        <f t="shared" si="22"/>
        <v/>
      </c>
      <c r="AG20" s="108" t="str">
        <f t="shared" si="22"/>
        <v/>
      </c>
      <c r="AH20" s="108" t="str">
        <f t="shared" si="22"/>
        <v/>
      </c>
      <c r="AI20" s="108" t="str">
        <f t="shared" si="22"/>
        <v/>
      </c>
      <c r="AJ20" s="108" t="str">
        <f t="shared" si="22"/>
        <v/>
      </c>
      <c r="AK20" s="108" t="str">
        <f t="shared" si="22"/>
        <v/>
      </c>
      <c r="AL20" s="108" t="str">
        <f t="shared" si="22"/>
        <v/>
      </c>
      <c r="AM20" s="108" t="str">
        <f t="shared" si="22"/>
        <v/>
      </c>
      <c r="AN20" s="108" t="str">
        <f t="shared" si="22"/>
        <v/>
      </c>
      <c r="AO20" s="108" t="str">
        <f t="shared" si="23"/>
        <v/>
      </c>
      <c r="AP20" s="108" t="str">
        <f t="shared" si="23"/>
        <v/>
      </c>
      <c r="AQ20" s="108" t="str">
        <f t="shared" si="23"/>
        <v/>
      </c>
      <c r="AR20" s="108" t="str">
        <f t="shared" si="23"/>
        <v/>
      </c>
      <c r="AS20" s="108" t="str">
        <f t="shared" si="23"/>
        <v/>
      </c>
      <c r="AT20" s="108" t="str">
        <f t="shared" si="23"/>
        <v/>
      </c>
      <c r="AU20" s="108" t="str">
        <f t="shared" si="23"/>
        <v/>
      </c>
      <c r="AV20" s="108" t="str">
        <f t="shared" si="23"/>
        <v/>
      </c>
      <c r="AW20" s="108" t="str">
        <f t="shared" si="23"/>
        <v/>
      </c>
      <c r="AX20" s="108" t="str">
        <f t="shared" si="23"/>
        <v/>
      </c>
      <c r="AY20" s="108" t="str">
        <f t="shared" si="24"/>
        <v/>
      </c>
      <c r="AZ20" s="108" t="str">
        <f t="shared" si="24"/>
        <v/>
      </c>
      <c r="BA20" s="108" t="str">
        <f t="shared" si="24"/>
        <v/>
      </c>
      <c r="BB20" s="108" t="str">
        <f t="shared" si="24"/>
        <v/>
      </c>
      <c r="BC20" s="108" t="str">
        <f t="shared" si="24"/>
        <v/>
      </c>
      <c r="BD20" s="108" t="str">
        <f t="shared" si="24"/>
        <v/>
      </c>
      <c r="BE20" s="108" t="str">
        <f t="shared" si="24"/>
        <v/>
      </c>
      <c r="BF20" s="108" t="str">
        <f t="shared" si="24"/>
        <v/>
      </c>
      <c r="BG20" s="108" t="str">
        <f t="shared" si="24"/>
        <v/>
      </c>
      <c r="BH20" s="108" t="str">
        <f t="shared" si="24"/>
        <v/>
      </c>
      <c r="BI20" s="108" t="str">
        <f t="shared" si="25"/>
        <v/>
      </c>
      <c r="BJ20" s="108" t="str">
        <f t="shared" si="25"/>
        <v/>
      </c>
      <c r="BK20" s="108" t="str">
        <f t="shared" si="25"/>
        <v/>
      </c>
      <c r="BL20" s="108" t="str">
        <f t="shared" si="25"/>
        <v/>
      </c>
      <c r="BM20" s="108" t="str">
        <f t="shared" si="25"/>
        <v/>
      </c>
      <c r="BN20" s="108" t="str">
        <f t="shared" si="25"/>
        <v/>
      </c>
      <c r="BO20" s="108" t="str">
        <f t="shared" si="25"/>
        <v/>
      </c>
      <c r="BP20" s="108" t="str">
        <f t="shared" si="25"/>
        <v/>
      </c>
      <c r="BQ20" s="108" t="str">
        <f t="shared" si="25"/>
        <v/>
      </c>
      <c r="BR20" s="108" t="str">
        <f t="shared" si="25"/>
        <v/>
      </c>
      <c r="BS20" s="108" t="str">
        <f t="shared" si="26"/>
        <v/>
      </c>
      <c r="BT20" s="108" t="str">
        <f t="shared" si="26"/>
        <v/>
      </c>
      <c r="BU20" s="108" t="str">
        <f t="shared" si="26"/>
        <v/>
      </c>
      <c r="BV20" s="108" t="str">
        <f t="shared" si="26"/>
        <v/>
      </c>
      <c r="BW20" s="108" t="str">
        <f t="shared" si="26"/>
        <v/>
      </c>
      <c r="BX20" s="108" t="str">
        <f t="shared" si="26"/>
        <v/>
      </c>
      <c r="BY20" s="108" t="str">
        <f t="shared" si="26"/>
        <v/>
      </c>
      <c r="BZ20" s="108" t="str">
        <f t="shared" si="26"/>
        <v/>
      </c>
      <c r="CA20" s="108" t="str">
        <f t="shared" si="26"/>
        <v/>
      </c>
      <c r="CB20" s="108" t="str">
        <f t="shared" si="26"/>
        <v/>
      </c>
      <c r="CC20" s="108" t="str">
        <f t="shared" si="27"/>
        <v/>
      </c>
      <c r="CD20" s="108" t="str">
        <f t="shared" si="27"/>
        <v/>
      </c>
      <c r="CE20" s="108" t="str">
        <f t="shared" si="27"/>
        <v/>
      </c>
      <c r="CF20" s="108" t="str">
        <f t="shared" si="27"/>
        <v/>
      </c>
      <c r="CG20" s="108" t="str">
        <f t="shared" si="27"/>
        <v/>
      </c>
      <c r="CH20" s="108" t="str">
        <f t="shared" si="27"/>
        <v/>
      </c>
      <c r="CI20" s="108" t="str">
        <f t="shared" si="27"/>
        <v/>
      </c>
      <c r="CJ20" s="108" t="str">
        <f t="shared" si="27"/>
        <v/>
      </c>
      <c r="CK20" s="108" t="str">
        <f t="shared" si="27"/>
        <v/>
      </c>
      <c r="CL20" s="108" t="str">
        <f t="shared" si="27"/>
        <v/>
      </c>
      <c r="CM20" s="108" t="str">
        <f t="shared" si="28"/>
        <v/>
      </c>
      <c r="CN20" s="108" t="str">
        <f t="shared" si="28"/>
        <v/>
      </c>
      <c r="CO20" s="108" t="str">
        <f t="shared" si="28"/>
        <v/>
      </c>
      <c r="CP20" s="108" t="str">
        <f t="shared" si="28"/>
        <v/>
      </c>
      <c r="CQ20" s="108" t="str">
        <f t="shared" si="28"/>
        <v/>
      </c>
      <c r="CR20" s="109" t="str">
        <f t="shared" si="28"/>
        <v/>
      </c>
      <c r="CS20" s="108" t="str">
        <f t="shared" si="28"/>
        <v/>
      </c>
      <c r="CT20" s="108" t="str">
        <f t="shared" si="28"/>
        <v/>
      </c>
      <c r="CU20" s="108" t="str">
        <f t="shared" si="28"/>
        <v/>
      </c>
      <c r="CV20" s="108" t="str">
        <f t="shared" si="28"/>
        <v/>
      </c>
      <c r="CW20" s="108" t="str">
        <f t="shared" si="29"/>
        <v/>
      </c>
      <c r="CX20" s="108" t="str">
        <f t="shared" si="29"/>
        <v/>
      </c>
      <c r="CY20" s="108" t="str">
        <f t="shared" si="29"/>
        <v/>
      </c>
      <c r="CZ20" s="109" t="str">
        <f t="shared" si="29"/>
        <v/>
      </c>
      <c r="DA20" s="108" t="str">
        <f t="shared" si="29"/>
        <v/>
      </c>
      <c r="DB20" s="108" t="str">
        <f t="shared" si="29"/>
        <v/>
      </c>
      <c r="DC20" s="108" t="str">
        <f t="shared" si="29"/>
        <v/>
      </c>
      <c r="DD20" s="108" t="str">
        <f t="shared" si="29"/>
        <v/>
      </c>
      <c r="DE20" s="108" t="str">
        <f t="shared" si="29"/>
        <v/>
      </c>
      <c r="DF20" s="108" t="str">
        <f t="shared" si="29"/>
        <v/>
      </c>
      <c r="DG20" s="108" t="str">
        <f t="shared" si="30"/>
        <v/>
      </c>
      <c r="DH20" s="109" t="str">
        <f t="shared" si="30"/>
        <v/>
      </c>
      <c r="DI20" s="108" t="str">
        <f t="shared" si="30"/>
        <v/>
      </c>
      <c r="DJ20" s="108" t="str">
        <f t="shared" si="30"/>
        <v/>
      </c>
      <c r="DK20" s="108" t="str">
        <f t="shared" si="30"/>
        <v/>
      </c>
      <c r="DL20" s="108" t="str">
        <f t="shared" si="30"/>
        <v/>
      </c>
      <c r="DM20" s="108" t="str">
        <f t="shared" si="30"/>
        <v/>
      </c>
      <c r="DN20" s="108" t="str">
        <f t="shared" si="30"/>
        <v/>
      </c>
      <c r="DO20" s="109" t="str">
        <f t="shared" si="30"/>
        <v/>
      </c>
      <c r="DP20" s="108" t="str">
        <f t="shared" si="30"/>
        <v/>
      </c>
      <c r="DQ20" s="108" t="str">
        <f t="shared" si="31"/>
        <v/>
      </c>
      <c r="DR20" s="108" t="str">
        <f t="shared" si="31"/>
        <v/>
      </c>
      <c r="DS20" s="108" t="str">
        <f t="shared" si="31"/>
        <v/>
      </c>
      <c r="DT20" s="108" t="str">
        <f t="shared" si="31"/>
        <v/>
      </c>
      <c r="DU20" s="108" t="str">
        <f t="shared" si="31"/>
        <v/>
      </c>
      <c r="DV20" s="108" t="str">
        <f t="shared" si="31"/>
        <v/>
      </c>
      <c r="DW20" s="109" t="str">
        <f t="shared" si="31"/>
        <v/>
      </c>
      <c r="DX20" s="108" t="str">
        <f t="shared" si="31"/>
        <v/>
      </c>
      <c r="DY20" s="108" t="str">
        <f t="shared" si="31"/>
        <v/>
      </c>
      <c r="DZ20" s="108" t="str">
        <f t="shared" si="31"/>
        <v/>
      </c>
      <c r="EA20" s="108" t="str">
        <f t="shared" si="32"/>
        <v/>
      </c>
      <c r="EB20" s="108" t="str">
        <f t="shared" si="32"/>
        <v/>
      </c>
      <c r="EC20" s="108" t="str">
        <f t="shared" si="32"/>
        <v/>
      </c>
      <c r="ED20" s="109" t="str">
        <f t="shared" si="32"/>
        <v/>
      </c>
      <c r="EE20" s="108" t="str">
        <f t="shared" si="32"/>
        <v/>
      </c>
      <c r="EF20" s="108" t="str">
        <f t="shared" si="32"/>
        <v/>
      </c>
      <c r="EG20" s="108" t="str">
        <f t="shared" si="32"/>
        <v/>
      </c>
      <c r="EH20" s="108" t="str">
        <f t="shared" si="32"/>
        <v/>
      </c>
      <c r="EI20" s="108" t="str">
        <f t="shared" si="32"/>
        <v/>
      </c>
      <c r="EJ20" s="108" t="str">
        <f t="shared" si="32"/>
        <v/>
      </c>
      <c r="EK20" s="108" t="str">
        <f t="shared" si="33"/>
        <v/>
      </c>
      <c r="EL20" s="108" t="str">
        <f t="shared" si="33"/>
        <v/>
      </c>
      <c r="EM20" s="108" t="str">
        <f t="shared" si="33"/>
        <v/>
      </c>
      <c r="EN20" s="108" t="str">
        <f t="shared" si="33"/>
        <v/>
      </c>
      <c r="EO20" s="108" t="str">
        <f t="shared" si="33"/>
        <v/>
      </c>
      <c r="EP20" s="108" t="str">
        <f t="shared" si="33"/>
        <v/>
      </c>
      <c r="EQ20" s="108" t="str">
        <f t="shared" si="33"/>
        <v/>
      </c>
      <c r="ER20" s="108" t="str">
        <f t="shared" si="33"/>
        <v/>
      </c>
      <c r="ES20" s="109" t="str">
        <f t="shared" si="33"/>
        <v/>
      </c>
      <c r="ET20" s="108" t="str">
        <f t="shared" si="33"/>
        <v/>
      </c>
      <c r="EU20" s="108" t="str">
        <f t="shared" si="34"/>
        <v/>
      </c>
      <c r="EV20" s="108" t="str">
        <f t="shared" si="34"/>
        <v/>
      </c>
      <c r="EW20" s="108" t="str">
        <f t="shared" si="34"/>
        <v/>
      </c>
      <c r="EX20" s="108" t="str">
        <f t="shared" si="34"/>
        <v/>
      </c>
      <c r="EY20" s="108" t="str">
        <f t="shared" si="34"/>
        <v/>
      </c>
      <c r="EZ20" s="108" t="str">
        <f t="shared" si="34"/>
        <v/>
      </c>
      <c r="FA20" s="108" t="str">
        <f t="shared" si="34"/>
        <v/>
      </c>
      <c r="FB20" s="108" t="str">
        <f t="shared" si="34"/>
        <v/>
      </c>
      <c r="FC20" s="108" t="str">
        <f t="shared" si="34"/>
        <v/>
      </c>
      <c r="FD20" s="108" t="str">
        <f t="shared" si="34"/>
        <v/>
      </c>
      <c r="FE20" s="108" t="str">
        <f t="shared" si="35"/>
        <v/>
      </c>
      <c r="FF20" s="109" t="str">
        <f t="shared" si="35"/>
        <v/>
      </c>
      <c r="FG20" s="108" t="str">
        <f t="shared" si="35"/>
        <v/>
      </c>
      <c r="FH20" s="108" t="str">
        <f t="shared" si="35"/>
        <v/>
      </c>
      <c r="FI20" s="108" t="str">
        <f t="shared" si="35"/>
        <v/>
      </c>
      <c r="FJ20" s="108" t="str">
        <f t="shared" si="35"/>
        <v/>
      </c>
      <c r="FK20" s="108" t="str">
        <f t="shared" si="35"/>
        <v/>
      </c>
      <c r="FL20" s="108" t="str">
        <f t="shared" si="35"/>
        <v/>
      </c>
      <c r="FM20" s="108" t="str">
        <f t="shared" si="35"/>
        <v/>
      </c>
      <c r="FN20" s="108" t="str">
        <f t="shared" si="35"/>
        <v/>
      </c>
      <c r="FO20" s="108" t="str">
        <f t="shared" si="36"/>
        <v/>
      </c>
      <c r="FP20" s="108" t="str">
        <f t="shared" si="36"/>
        <v/>
      </c>
      <c r="FQ20" s="108" t="str">
        <f t="shared" si="36"/>
        <v/>
      </c>
      <c r="FR20" s="108" t="str">
        <f t="shared" si="36"/>
        <v/>
      </c>
      <c r="FS20" s="108" t="str">
        <f t="shared" si="36"/>
        <v/>
      </c>
      <c r="FT20" s="108" t="str">
        <f t="shared" si="36"/>
        <v/>
      </c>
      <c r="FU20" s="108" t="str">
        <f t="shared" si="36"/>
        <v/>
      </c>
      <c r="FV20" s="108" t="str">
        <f t="shared" si="36"/>
        <v/>
      </c>
      <c r="FW20" s="110" t="str">
        <f t="shared" si="36"/>
        <v/>
      </c>
    </row>
    <row r="21" spans="2:179" s="101" customFormat="1" ht="21" customHeight="1" x14ac:dyDescent="0.35">
      <c r="B21" s="27" t="e">
        <f>Portfolio_Daten!#REF!</f>
        <v>#REF!</v>
      </c>
      <c r="C21" s="27">
        <f>Portfolio_Daten!B20</f>
        <v>0</v>
      </c>
      <c r="D21" s="28">
        <f>Portfolio_Daten!E20</f>
        <v>0</v>
      </c>
      <c r="E21" s="31">
        <f>Portfolio_Daten!T20</f>
        <v>0</v>
      </c>
      <c r="F21" s="31">
        <f>Portfolio_Daten!U20</f>
        <v>0</v>
      </c>
      <c r="G21" s="107">
        <f>IF(F21="","",NETWORKDAYS(E21,F21,Parameter!$C$4:$C$51))</f>
        <v>0</v>
      </c>
      <c r="H21" s="29">
        <f>Portfolio_Daten!AG20</f>
        <v>0</v>
      </c>
      <c r="I21" s="33">
        <f>Portfolio_Daten!AI20</f>
        <v>0</v>
      </c>
      <c r="J21" s="106"/>
      <c r="K21" s="108" t="str">
        <f t="shared" si="20"/>
        <v/>
      </c>
      <c r="L21" s="108" t="str">
        <f t="shared" si="20"/>
        <v/>
      </c>
      <c r="M21" s="108" t="str">
        <f t="shared" si="20"/>
        <v/>
      </c>
      <c r="N21" s="108" t="str">
        <f t="shared" si="20"/>
        <v/>
      </c>
      <c r="O21" s="108" t="str">
        <f t="shared" si="20"/>
        <v/>
      </c>
      <c r="P21" s="108" t="str">
        <f t="shared" si="20"/>
        <v/>
      </c>
      <c r="Q21" s="108" t="str">
        <f t="shared" si="20"/>
        <v/>
      </c>
      <c r="R21" s="108" t="str">
        <f t="shared" si="20"/>
        <v/>
      </c>
      <c r="S21" s="108" t="str">
        <f t="shared" si="20"/>
        <v/>
      </c>
      <c r="T21" s="108" t="str">
        <f t="shared" si="20"/>
        <v/>
      </c>
      <c r="U21" s="108" t="str">
        <f t="shared" si="21"/>
        <v/>
      </c>
      <c r="V21" s="108" t="str">
        <f t="shared" si="21"/>
        <v/>
      </c>
      <c r="W21" s="108" t="str">
        <f t="shared" si="21"/>
        <v/>
      </c>
      <c r="X21" s="108" t="str">
        <f t="shared" si="21"/>
        <v/>
      </c>
      <c r="Y21" s="108" t="str">
        <f t="shared" si="21"/>
        <v/>
      </c>
      <c r="Z21" s="108" t="str">
        <f t="shared" si="21"/>
        <v/>
      </c>
      <c r="AA21" s="108" t="str">
        <f t="shared" si="21"/>
        <v/>
      </c>
      <c r="AB21" s="108" t="str">
        <f t="shared" si="21"/>
        <v/>
      </c>
      <c r="AC21" s="108" t="str">
        <f t="shared" si="21"/>
        <v/>
      </c>
      <c r="AD21" s="108" t="str">
        <f t="shared" si="21"/>
        <v/>
      </c>
      <c r="AE21" s="108" t="str">
        <f t="shared" si="22"/>
        <v/>
      </c>
      <c r="AF21" s="108" t="str">
        <f t="shared" si="22"/>
        <v/>
      </c>
      <c r="AG21" s="108" t="str">
        <f t="shared" si="22"/>
        <v/>
      </c>
      <c r="AH21" s="108" t="str">
        <f t="shared" si="22"/>
        <v/>
      </c>
      <c r="AI21" s="108" t="str">
        <f t="shared" si="22"/>
        <v/>
      </c>
      <c r="AJ21" s="108" t="str">
        <f t="shared" si="22"/>
        <v/>
      </c>
      <c r="AK21" s="108" t="str">
        <f t="shared" si="22"/>
        <v/>
      </c>
      <c r="AL21" s="108" t="str">
        <f t="shared" si="22"/>
        <v/>
      </c>
      <c r="AM21" s="108" t="str">
        <f t="shared" si="22"/>
        <v/>
      </c>
      <c r="AN21" s="108" t="str">
        <f t="shared" si="22"/>
        <v/>
      </c>
      <c r="AO21" s="108" t="str">
        <f t="shared" si="23"/>
        <v/>
      </c>
      <c r="AP21" s="108" t="str">
        <f t="shared" si="23"/>
        <v/>
      </c>
      <c r="AQ21" s="108" t="str">
        <f t="shared" si="23"/>
        <v/>
      </c>
      <c r="AR21" s="108" t="str">
        <f t="shared" si="23"/>
        <v/>
      </c>
      <c r="AS21" s="108" t="str">
        <f t="shared" si="23"/>
        <v/>
      </c>
      <c r="AT21" s="108" t="str">
        <f t="shared" si="23"/>
        <v/>
      </c>
      <c r="AU21" s="108" t="str">
        <f t="shared" si="23"/>
        <v/>
      </c>
      <c r="AV21" s="108" t="str">
        <f t="shared" si="23"/>
        <v/>
      </c>
      <c r="AW21" s="108" t="str">
        <f t="shared" si="23"/>
        <v/>
      </c>
      <c r="AX21" s="108" t="str">
        <f t="shared" si="23"/>
        <v/>
      </c>
      <c r="AY21" s="108" t="str">
        <f t="shared" si="24"/>
        <v/>
      </c>
      <c r="AZ21" s="108" t="str">
        <f t="shared" si="24"/>
        <v/>
      </c>
      <c r="BA21" s="108" t="str">
        <f t="shared" si="24"/>
        <v/>
      </c>
      <c r="BB21" s="108" t="str">
        <f t="shared" si="24"/>
        <v/>
      </c>
      <c r="BC21" s="108" t="str">
        <f t="shared" si="24"/>
        <v/>
      </c>
      <c r="BD21" s="108" t="str">
        <f t="shared" si="24"/>
        <v/>
      </c>
      <c r="BE21" s="108" t="str">
        <f t="shared" si="24"/>
        <v/>
      </c>
      <c r="BF21" s="108" t="str">
        <f t="shared" si="24"/>
        <v/>
      </c>
      <c r="BG21" s="108" t="str">
        <f t="shared" si="24"/>
        <v/>
      </c>
      <c r="BH21" s="108" t="str">
        <f t="shared" si="24"/>
        <v/>
      </c>
      <c r="BI21" s="108" t="str">
        <f t="shared" si="25"/>
        <v/>
      </c>
      <c r="BJ21" s="108" t="str">
        <f t="shared" si="25"/>
        <v/>
      </c>
      <c r="BK21" s="108" t="str">
        <f t="shared" si="25"/>
        <v/>
      </c>
      <c r="BL21" s="108" t="str">
        <f t="shared" si="25"/>
        <v/>
      </c>
      <c r="BM21" s="108" t="str">
        <f t="shared" si="25"/>
        <v/>
      </c>
      <c r="BN21" s="108" t="str">
        <f t="shared" si="25"/>
        <v/>
      </c>
      <c r="BO21" s="108" t="str">
        <f t="shared" si="25"/>
        <v/>
      </c>
      <c r="BP21" s="108" t="str">
        <f t="shared" si="25"/>
        <v/>
      </c>
      <c r="BQ21" s="108" t="str">
        <f t="shared" si="25"/>
        <v/>
      </c>
      <c r="BR21" s="108" t="str">
        <f t="shared" si="25"/>
        <v/>
      </c>
      <c r="BS21" s="108" t="str">
        <f t="shared" si="26"/>
        <v/>
      </c>
      <c r="BT21" s="108" t="str">
        <f t="shared" si="26"/>
        <v/>
      </c>
      <c r="BU21" s="108" t="str">
        <f t="shared" si="26"/>
        <v/>
      </c>
      <c r="BV21" s="108" t="str">
        <f t="shared" si="26"/>
        <v/>
      </c>
      <c r="BW21" s="108" t="str">
        <f t="shared" si="26"/>
        <v/>
      </c>
      <c r="BX21" s="108" t="str">
        <f t="shared" si="26"/>
        <v/>
      </c>
      <c r="BY21" s="108" t="str">
        <f t="shared" si="26"/>
        <v/>
      </c>
      <c r="BZ21" s="108" t="str">
        <f t="shared" si="26"/>
        <v/>
      </c>
      <c r="CA21" s="108" t="str">
        <f t="shared" si="26"/>
        <v/>
      </c>
      <c r="CB21" s="108" t="str">
        <f t="shared" si="26"/>
        <v/>
      </c>
      <c r="CC21" s="108" t="str">
        <f t="shared" si="27"/>
        <v/>
      </c>
      <c r="CD21" s="108" t="str">
        <f t="shared" si="27"/>
        <v/>
      </c>
      <c r="CE21" s="108" t="str">
        <f t="shared" si="27"/>
        <v/>
      </c>
      <c r="CF21" s="108" t="str">
        <f t="shared" si="27"/>
        <v/>
      </c>
      <c r="CG21" s="108" t="str">
        <f t="shared" si="27"/>
        <v/>
      </c>
      <c r="CH21" s="108" t="str">
        <f t="shared" si="27"/>
        <v/>
      </c>
      <c r="CI21" s="108" t="str">
        <f t="shared" si="27"/>
        <v/>
      </c>
      <c r="CJ21" s="108" t="str">
        <f t="shared" si="27"/>
        <v/>
      </c>
      <c r="CK21" s="108" t="str">
        <f t="shared" si="27"/>
        <v/>
      </c>
      <c r="CL21" s="108" t="str">
        <f t="shared" si="27"/>
        <v/>
      </c>
      <c r="CM21" s="108" t="str">
        <f t="shared" si="28"/>
        <v/>
      </c>
      <c r="CN21" s="108" t="str">
        <f t="shared" si="28"/>
        <v/>
      </c>
      <c r="CO21" s="108" t="str">
        <f t="shared" si="28"/>
        <v/>
      </c>
      <c r="CP21" s="108" t="str">
        <f t="shared" si="28"/>
        <v/>
      </c>
      <c r="CQ21" s="108" t="str">
        <f t="shared" si="28"/>
        <v/>
      </c>
      <c r="CR21" s="109" t="str">
        <f t="shared" si="28"/>
        <v/>
      </c>
      <c r="CS21" s="108" t="str">
        <f t="shared" si="28"/>
        <v/>
      </c>
      <c r="CT21" s="108" t="str">
        <f t="shared" si="28"/>
        <v/>
      </c>
      <c r="CU21" s="108" t="str">
        <f t="shared" si="28"/>
        <v/>
      </c>
      <c r="CV21" s="108" t="str">
        <f t="shared" si="28"/>
        <v/>
      </c>
      <c r="CW21" s="108" t="str">
        <f t="shared" si="29"/>
        <v/>
      </c>
      <c r="CX21" s="108" t="str">
        <f t="shared" si="29"/>
        <v/>
      </c>
      <c r="CY21" s="108" t="str">
        <f t="shared" si="29"/>
        <v/>
      </c>
      <c r="CZ21" s="109" t="str">
        <f t="shared" si="29"/>
        <v/>
      </c>
      <c r="DA21" s="108" t="str">
        <f t="shared" si="29"/>
        <v/>
      </c>
      <c r="DB21" s="108" t="str">
        <f t="shared" si="29"/>
        <v/>
      </c>
      <c r="DC21" s="108" t="str">
        <f t="shared" si="29"/>
        <v/>
      </c>
      <c r="DD21" s="108" t="str">
        <f t="shared" si="29"/>
        <v/>
      </c>
      <c r="DE21" s="108" t="str">
        <f t="shared" si="29"/>
        <v/>
      </c>
      <c r="DF21" s="108" t="str">
        <f t="shared" si="29"/>
        <v/>
      </c>
      <c r="DG21" s="108" t="str">
        <f t="shared" si="30"/>
        <v/>
      </c>
      <c r="DH21" s="109" t="str">
        <f t="shared" si="30"/>
        <v/>
      </c>
      <c r="DI21" s="108" t="str">
        <f t="shared" si="30"/>
        <v/>
      </c>
      <c r="DJ21" s="108" t="str">
        <f t="shared" si="30"/>
        <v/>
      </c>
      <c r="DK21" s="108" t="str">
        <f t="shared" si="30"/>
        <v/>
      </c>
      <c r="DL21" s="108" t="str">
        <f t="shared" si="30"/>
        <v/>
      </c>
      <c r="DM21" s="108" t="str">
        <f t="shared" si="30"/>
        <v/>
      </c>
      <c r="DN21" s="108" t="str">
        <f t="shared" si="30"/>
        <v/>
      </c>
      <c r="DO21" s="109" t="str">
        <f t="shared" si="30"/>
        <v/>
      </c>
      <c r="DP21" s="108" t="str">
        <f t="shared" si="30"/>
        <v/>
      </c>
      <c r="DQ21" s="108" t="str">
        <f t="shared" si="31"/>
        <v/>
      </c>
      <c r="DR21" s="108" t="str">
        <f t="shared" si="31"/>
        <v/>
      </c>
      <c r="DS21" s="108" t="str">
        <f t="shared" si="31"/>
        <v/>
      </c>
      <c r="DT21" s="108" t="str">
        <f t="shared" si="31"/>
        <v/>
      </c>
      <c r="DU21" s="108" t="str">
        <f t="shared" si="31"/>
        <v/>
      </c>
      <c r="DV21" s="108" t="str">
        <f t="shared" si="31"/>
        <v/>
      </c>
      <c r="DW21" s="109" t="str">
        <f t="shared" si="31"/>
        <v/>
      </c>
      <c r="DX21" s="108" t="str">
        <f t="shared" si="31"/>
        <v/>
      </c>
      <c r="DY21" s="108" t="str">
        <f t="shared" si="31"/>
        <v/>
      </c>
      <c r="DZ21" s="108" t="str">
        <f t="shared" si="31"/>
        <v/>
      </c>
      <c r="EA21" s="108" t="str">
        <f t="shared" si="32"/>
        <v/>
      </c>
      <c r="EB21" s="108" t="str">
        <f t="shared" si="32"/>
        <v/>
      </c>
      <c r="EC21" s="108" t="str">
        <f t="shared" si="32"/>
        <v/>
      </c>
      <c r="ED21" s="109" t="str">
        <f t="shared" si="32"/>
        <v/>
      </c>
      <c r="EE21" s="108" t="str">
        <f t="shared" si="32"/>
        <v/>
      </c>
      <c r="EF21" s="108" t="str">
        <f t="shared" si="32"/>
        <v/>
      </c>
      <c r="EG21" s="108" t="str">
        <f t="shared" si="32"/>
        <v/>
      </c>
      <c r="EH21" s="108" t="str">
        <f t="shared" si="32"/>
        <v/>
      </c>
      <c r="EI21" s="108" t="str">
        <f t="shared" si="32"/>
        <v/>
      </c>
      <c r="EJ21" s="108" t="str">
        <f t="shared" si="32"/>
        <v/>
      </c>
      <c r="EK21" s="108" t="str">
        <f t="shared" si="33"/>
        <v/>
      </c>
      <c r="EL21" s="108" t="str">
        <f t="shared" si="33"/>
        <v/>
      </c>
      <c r="EM21" s="108" t="str">
        <f t="shared" si="33"/>
        <v/>
      </c>
      <c r="EN21" s="108" t="str">
        <f t="shared" si="33"/>
        <v/>
      </c>
      <c r="EO21" s="108" t="str">
        <f t="shared" si="33"/>
        <v/>
      </c>
      <c r="EP21" s="108" t="str">
        <f t="shared" si="33"/>
        <v/>
      </c>
      <c r="EQ21" s="108" t="str">
        <f t="shared" si="33"/>
        <v/>
      </c>
      <c r="ER21" s="108" t="str">
        <f t="shared" si="33"/>
        <v/>
      </c>
      <c r="ES21" s="109" t="str">
        <f t="shared" si="33"/>
        <v/>
      </c>
      <c r="ET21" s="108" t="str">
        <f t="shared" si="33"/>
        <v/>
      </c>
      <c r="EU21" s="108" t="str">
        <f t="shared" si="34"/>
        <v/>
      </c>
      <c r="EV21" s="108" t="str">
        <f t="shared" si="34"/>
        <v/>
      </c>
      <c r="EW21" s="108" t="str">
        <f t="shared" si="34"/>
        <v/>
      </c>
      <c r="EX21" s="108" t="str">
        <f t="shared" si="34"/>
        <v/>
      </c>
      <c r="EY21" s="108" t="str">
        <f t="shared" si="34"/>
        <v/>
      </c>
      <c r="EZ21" s="108" t="str">
        <f t="shared" si="34"/>
        <v/>
      </c>
      <c r="FA21" s="108" t="str">
        <f t="shared" si="34"/>
        <v/>
      </c>
      <c r="FB21" s="108" t="str">
        <f t="shared" si="34"/>
        <v/>
      </c>
      <c r="FC21" s="108" t="str">
        <f t="shared" si="34"/>
        <v/>
      </c>
      <c r="FD21" s="108" t="str">
        <f t="shared" si="34"/>
        <v/>
      </c>
      <c r="FE21" s="108" t="str">
        <f t="shared" si="35"/>
        <v/>
      </c>
      <c r="FF21" s="109" t="str">
        <f t="shared" si="35"/>
        <v/>
      </c>
      <c r="FG21" s="108" t="str">
        <f t="shared" si="35"/>
        <v/>
      </c>
      <c r="FH21" s="108" t="str">
        <f t="shared" si="35"/>
        <v/>
      </c>
      <c r="FI21" s="108" t="str">
        <f t="shared" si="35"/>
        <v/>
      </c>
      <c r="FJ21" s="108" t="str">
        <f t="shared" si="35"/>
        <v/>
      </c>
      <c r="FK21" s="108" t="str">
        <f t="shared" si="35"/>
        <v/>
      </c>
      <c r="FL21" s="108" t="str">
        <f t="shared" si="35"/>
        <v/>
      </c>
      <c r="FM21" s="108" t="str">
        <f t="shared" si="35"/>
        <v/>
      </c>
      <c r="FN21" s="108" t="str">
        <f t="shared" si="35"/>
        <v/>
      </c>
      <c r="FO21" s="108" t="str">
        <f t="shared" si="36"/>
        <v/>
      </c>
      <c r="FP21" s="108" t="str">
        <f t="shared" si="36"/>
        <v/>
      </c>
      <c r="FQ21" s="108" t="str">
        <f t="shared" si="36"/>
        <v/>
      </c>
      <c r="FR21" s="108" t="str">
        <f t="shared" si="36"/>
        <v/>
      </c>
      <c r="FS21" s="108" t="str">
        <f t="shared" si="36"/>
        <v/>
      </c>
      <c r="FT21" s="108" t="str">
        <f t="shared" si="36"/>
        <v/>
      </c>
      <c r="FU21" s="108" t="str">
        <f t="shared" si="36"/>
        <v/>
      </c>
      <c r="FV21" s="108" t="str">
        <f t="shared" si="36"/>
        <v/>
      </c>
      <c r="FW21" s="110" t="str">
        <f t="shared" si="36"/>
        <v/>
      </c>
    </row>
    <row r="22" spans="2:179" s="101" customFormat="1" ht="21" customHeight="1" x14ac:dyDescent="0.35">
      <c r="B22" s="27" t="e">
        <f>Portfolio_Daten!#REF!</f>
        <v>#REF!</v>
      </c>
      <c r="C22" s="27">
        <f>Portfolio_Daten!B21</f>
        <v>0</v>
      </c>
      <c r="D22" s="28">
        <f>Portfolio_Daten!E21</f>
        <v>0</v>
      </c>
      <c r="E22" s="31">
        <f>Portfolio_Daten!T21</f>
        <v>0</v>
      </c>
      <c r="F22" s="31">
        <f>Portfolio_Daten!U21</f>
        <v>0</v>
      </c>
      <c r="G22" s="107">
        <f>IF(F22="","",NETWORKDAYS(E22,F22,Parameter!$C$4:$C$51))</f>
        <v>0</v>
      </c>
      <c r="H22" s="29">
        <f>Portfolio_Daten!AG21</f>
        <v>0</v>
      </c>
      <c r="I22" s="33">
        <f>Portfolio_Daten!AI21</f>
        <v>0</v>
      </c>
      <c r="J22" s="106"/>
      <c r="K22" s="108" t="str">
        <f t="shared" si="20"/>
        <v/>
      </c>
      <c r="L22" s="108" t="str">
        <f t="shared" si="20"/>
        <v/>
      </c>
      <c r="M22" s="108" t="str">
        <f t="shared" si="20"/>
        <v/>
      </c>
      <c r="N22" s="108" t="str">
        <f t="shared" si="20"/>
        <v/>
      </c>
      <c r="O22" s="108" t="str">
        <f t="shared" si="20"/>
        <v/>
      </c>
      <c r="P22" s="108" t="str">
        <f t="shared" si="20"/>
        <v/>
      </c>
      <c r="Q22" s="108" t="str">
        <f t="shared" si="20"/>
        <v/>
      </c>
      <c r="R22" s="108" t="str">
        <f t="shared" si="20"/>
        <v/>
      </c>
      <c r="S22" s="108" t="str">
        <f t="shared" si="20"/>
        <v/>
      </c>
      <c r="T22" s="108" t="str">
        <f t="shared" si="20"/>
        <v/>
      </c>
      <c r="U22" s="108" t="str">
        <f t="shared" si="21"/>
        <v/>
      </c>
      <c r="V22" s="108" t="str">
        <f t="shared" si="21"/>
        <v/>
      </c>
      <c r="W22" s="108" t="str">
        <f t="shared" si="21"/>
        <v/>
      </c>
      <c r="X22" s="108" t="str">
        <f t="shared" si="21"/>
        <v/>
      </c>
      <c r="Y22" s="108" t="str">
        <f t="shared" si="21"/>
        <v/>
      </c>
      <c r="Z22" s="108" t="str">
        <f t="shared" si="21"/>
        <v/>
      </c>
      <c r="AA22" s="108" t="str">
        <f t="shared" si="21"/>
        <v/>
      </c>
      <c r="AB22" s="108" t="str">
        <f t="shared" si="21"/>
        <v/>
      </c>
      <c r="AC22" s="108" t="str">
        <f t="shared" si="21"/>
        <v/>
      </c>
      <c r="AD22" s="108" t="str">
        <f t="shared" si="21"/>
        <v/>
      </c>
      <c r="AE22" s="108" t="str">
        <f t="shared" si="22"/>
        <v/>
      </c>
      <c r="AF22" s="108" t="str">
        <f t="shared" si="22"/>
        <v/>
      </c>
      <c r="AG22" s="108" t="str">
        <f t="shared" si="22"/>
        <v/>
      </c>
      <c r="AH22" s="108" t="str">
        <f t="shared" si="22"/>
        <v/>
      </c>
      <c r="AI22" s="108" t="str">
        <f t="shared" si="22"/>
        <v/>
      </c>
      <c r="AJ22" s="108" t="str">
        <f t="shared" si="22"/>
        <v/>
      </c>
      <c r="AK22" s="108" t="str">
        <f t="shared" si="22"/>
        <v/>
      </c>
      <c r="AL22" s="108" t="str">
        <f t="shared" si="22"/>
        <v/>
      </c>
      <c r="AM22" s="108" t="str">
        <f t="shared" si="22"/>
        <v/>
      </c>
      <c r="AN22" s="108" t="str">
        <f t="shared" si="22"/>
        <v/>
      </c>
      <c r="AO22" s="108" t="str">
        <f t="shared" si="23"/>
        <v/>
      </c>
      <c r="AP22" s="108" t="str">
        <f t="shared" si="23"/>
        <v/>
      </c>
      <c r="AQ22" s="108" t="str">
        <f t="shared" si="23"/>
        <v/>
      </c>
      <c r="AR22" s="108" t="str">
        <f t="shared" si="23"/>
        <v/>
      </c>
      <c r="AS22" s="108" t="str">
        <f t="shared" si="23"/>
        <v/>
      </c>
      <c r="AT22" s="108" t="str">
        <f t="shared" si="23"/>
        <v/>
      </c>
      <c r="AU22" s="108" t="str">
        <f t="shared" si="23"/>
        <v/>
      </c>
      <c r="AV22" s="108" t="str">
        <f t="shared" si="23"/>
        <v/>
      </c>
      <c r="AW22" s="108" t="str">
        <f t="shared" si="23"/>
        <v/>
      </c>
      <c r="AX22" s="108" t="str">
        <f t="shared" si="23"/>
        <v/>
      </c>
      <c r="AY22" s="108" t="str">
        <f t="shared" si="24"/>
        <v/>
      </c>
      <c r="AZ22" s="108" t="str">
        <f t="shared" si="24"/>
        <v/>
      </c>
      <c r="BA22" s="108" t="str">
        <f t="shared" si="24"/>
        <v/>
      </c>
      <c r="BB22" s="108" t="str">
        <f t="shared" si="24"/>
        <v/>
      </c>
      <c r="BC22" s="108" t="str">
        <f t="shared" si="24"/>
        <v/>
      </c>
      <c r="BD22" s="108" t="str">
        <f t="shared" si="24"/>
        <v/>
      </c>
      <c r="BE22" s="108" t="str">
        <f t="shared" si="24"/>
        <v/>
      </c>
      <c r="BF22" s="108" t="str">
        <f t="shared" si="24"/>
        <v/>
      </c>
      <c r="BG22" s="108" t="str">
        <f t="shared" si="24"/>
        <v/>
      </c>
      <c r="BH22" s="108" t="str">
        <f t="shared" si="24"/>
        <v/>
      </c>
      <c r="BI22" s="108" t="str">
        <f t="shared" si="25"/>
        <v/>
      </c>
      <c r="BJ22" s="108" t="str">
        <f t="shared" si="25"/>
        <v/>
      </c>
      <c r="BK22" s="108" t="str">
        <f t="shared" si="25"/>
        <v/>
      </c>
      <c r="BL22" s="108" t="str">
        <f t="shared" si="25"/>
        <v/>
      </c>
      <c r="BM22" s="108" t="str">
        <f t="shared" si="25"/>
        <v/>
      </c>
      <c r="BN22" s="108" t="str">
        <f t="shared" si="25"/>
        <v/>
      </c>
      <c r="BO22" s="108" t="str">
        <f t="shared" si="25"/>
        <v/>
      </c>
      <c r="BP22" s="108" t="str">
        <f t="shared" si="25"/>
        <v/>
      </c>
      <c r="BQ22" s="108" t="str">
        <f t="shared" si="25"/>
        <v/>
      </c>
      <c r="BR22" s="108" t="str">
        <f t="shared" si="25"/>
        <v/>
      </c>
      <c r="BS22" s="108" t="str">
        <f t="shared" si="26"/>
        <v/>
      </c>
      <c r="BT22" s="108" t="str">
        <f t="shared" si="26"/>
        <v/>
      </c>
      <c r="BU22" s="108" t="str">
        <f t="shared" si="26"/>
        <v/>
      </c>
      <c r="BV22" s="108" t="str">
        <f t="shared" si="26"/>
        <v/>
      </c>
      <c r="BW22" s="108" t="str">
        <f t="shared" si="26"/>
        <v/>
      </c>
      <c r="BX22" s="108" t="str">
        <f t="shared" si="26"/>
        <v/>
      </c>
      <c r="BY22" s="108" t="str">
        <f t="shared" si="26"/>
        <v/>
      </c>
      <c r="BZ22" s="108" t="str">
        <f t="shared" si="26"/>
        <v/>
      </c>
      <c r="CA22" s="108" t="str">
        <f t="shared" si="26"/>
        <v/>
      </c>
      <c r="CB22" s="108" t="str">
        <f t="shared" si="26"/>
        <v/>
      </c>
      <c r="CC22" s="108" t="str">
        <f t="shared" si="27"/>
        <v/>
      </c>
      <c r="CD22" s="108" t="str">
        <f t="shared" si="27"/>
        <v/>
      </c>
      <c r="CE22" s="108" t="str">
        <f t="shared" si="27"/>
        <v/>
      </c>
      <c r="CF22" s="108" t="str">
        <f t="shared" si="27"/>
        <v/>
      </c>
      <c r="CG22" s="108" t="str">
        <f t="shared" si="27"/>
        <v/>
      </c>
      <c r="CH22" s="108" t="str">
        <f t="shared" si="27"/>
        <v/>
      </c>
      <c r="CI22" s="108" t="str">
        <f t="shared" si="27"/>
        <v/>
      </c>
      <c r="CJ22" s="108" t="str">
        <f t="shared" si="27"/>
        <v/>
      </c>
      <c r="CK22" s="108" t="str">
        <f t="shared" si="27"/>
        <v/>
      </c>
      <c r="CL22" s="108" t="str">
        <f t="shared" si="27"/>
        <v/>
      </c>
      <c r="CM22" s="108" t="str">
        <f t="shared" si="28"/>
        <v/>
      </c>
      <c r="CN22" s="108" t="str">
        <f t="shared" si="28"/>
        <v/>
      </c>
      <c r="CO22" s="108" t="str">
        <f t="shared" si="28"/>
        <v/>
      </c>
      <c r="CP22" s="108" t="str">
        <f t="shared" si="28"/>
        <v/>
      </c>
      <c r="CQ22" s="108" t="str">
        <f t="shared" si="28"/>
        <v/>
      </c>
      <c r="CR22" s="109" t="str">
        <f t="shared" si="28"/>
        <v/>
      </c>
      <c r="CS22" s="108" t="str">
        <f t="shared" si="28"/>
        <v/>
      </c>
      <c r="CT22" s="108" t="str">
        <f t="shared" si="28"/>
        <v/>
      </c>
      <c r="CU22" s="108" t="str">
        <f t="shared" si="28"/>
        <v/>
      </c>
      <c r="CV22" s="108" t="str">
        <f t="shared" si="28"/>
        <v/>
      </c>
      <c r="CW22" s="108" t="str">
        <f t="shared" si="29"/>
        <v/>
      </c>
      <c r="CX22" s="108" t="str">
        <f t="shared" si="29"/>
        <v/>
      </c>
      <c r="CY22" s="108" t="str">
        <f t="shared" si="29"/>
        <v/>
      </c>
      <c r="CZ22" s="109" t="str">
        <f t="shared" si="29"/>
        <v/>
      </c>
      <c r="DA22" s="108" t="str">
        <f t="shared" si="29"/>
        <v/>
      </c>
      <c r="DB22" s="108" t="str">
        <f t="shared" si="29"/>
        <v/>
      </c>
      <c r="DC22" s="108" t="str">
        <f t="shared" si="29"/>
        <v/>
      </c>
      <c r="DD22" s="108" t="str">
        <f t="shared" si="29"/>
        <v/>
      </c>
      <c r="DE22" s="108" t="str">
        <f t="shared" si="29"/>
        <v/>
      </c>
      <c r="DF22" s="108" t="str">
        <f t="shared" si="29"/>
        <v/>
      </c>
      <c r="DG22" s="108" t="str">
        <f t="shared" si="30"/>
        <v/>
      </c>
      <c r="DH22" s="109" t="str">
        <f t="shared" si="30"/>
        <v/>
      </c>
      <c r="DI22" s="108" t="str">
        <f t="shared" si="30"/>
        <v/>
      </c>
      <c r="DJ22" s="108" t="str">
        <f t="shared" si="30"/>
        <v/>
      </c>
      <c r="DK22" s="108" t="str">
        <f t="shared" si="30"/>
        <v/>
      </c>
      <c r="DL22" s="108" t="str">
        <f t="shared" si="30"/>
        <v/>
      </c>
      <c r="DM22" s="108" t="str">
        <f t="shared" si="30"/>
        <v/>
      </c>
      <c r="DN22" s="108" t="str">
        <f t="shared" si="30"/>
        <v/>
      </c>
      <c r="DO22" s="109" t="str">
        <f t="shared" si="30"/>
        <v/>
      </c>
      <c r="DP22" s="108" t="str">
        <f t="shared" si="30"/>
        <v/>
      </c>
      <c r="DQ22" s="108" t="str">
        <f t="shared" si="31"/>
        <v/>
      </c>
      <c r="DR22" s="108" t="str">
        <f t="shared" si="31"/>
        <v/>
      </c>
      <c r="DS22" s="108" t="str">
        <f t="shared" si="31"/>
        <v/>
      </c>
      <c r="DT22" s="108" t="str">
        <f t="shared" si="31"/>
        <v/>
      </c>
      <c r="DU22" s="108" t="str">
        <f t="shared" si="31"/>
        <v/>
      </c>
      <c r="DV22" s="108" t="str">
        <f t="shared" si="31"/>
        <v/>
      </c>
      <c r="DW22" s="109" t="str">
        <f t="shared" si="31"/>
        <v/>
      </c>
      <c r="DX22" s="108" t="str">
        <f t="shared" si="31"/>
        <v/>
      </c>
      <c r="DY22" s="108" t="str">
        <f t="shared" si="31"/>
        <v/>
      </c>
      <c r="DZ22" s="108" t="str">
        <f t="shared" si="31"/>
        <v/>
      </c>
      <c r="EA22" s="108" t="str">
        <f t="shared" si="32"/>
        <v/>
      </c>
      <c r="EB22" s="108" t="str">
        <f t="shared" si="32"/>
        <v/>
      </c>
      <c r="EC22" s="108" t="str">
        <f t="shared" si="32"/>
        <v/>
      </c>
      <c r="ED22" s="109" t="str">
        <f t="shared" si="32"/>
        <v/>
      </c>
      <c r="EE22" s="108" t="str">
        <f t="shared" si="32"/>
        <v/>
      </c>
      <c r="EF22" s="108" t="str">
        <f t="shared" si="32"/>
        <v/>
      </c>
      <c r="EG22" s="108" t="str">
        <f t="shared" si="32"/>
        <v/>
      </c>
      <c r="EH22" s="108" t="str">
        <f t="shared" si="32"/>
        <v/>
      </c>
      <c r="EI22" s="108" t="str">
        <f t="shared" si="32"/>
        <v/>
      </c>
      <c r="EJ22" s="108" t="str">
        <f t="shared" si="32"/>
        <v/>
      </c>
      <c r="EK22" s="108" t="str">
        <f t="shared" si="33"/>
        <v/>
      </c>
      <c r="EL22" s="108" t="str">
        <f t="shared" si="33"/>
        <v/>
      </c>
      <c r="EM22" s="108" t="str">
        <f t="shared" si="33"/>
        <v/>
      </c>
      <c r="EN22" s="108" t="str">
        <f t="shared" si="33"/>
        <v/>
      </c>
      <c r="EO22" s="108" t="str">
        <f t="shared" si="33"/>
        <v/>
      </c>
      <c r="EP22" s="108" t="str">
        <f t="shared" si="33"/>
        <v/>
      </c>
      <c r="EQ22" s="108" t="str">
        <f t="shared" si="33"/>
        <v/>
      </c>
      <c r="ER22" s="108" t="str">
        <f t="shared" si="33"/>
        <v/>
      </c>
      <c r="ES22" s="109" t="str">
        <f t="shared" si="33"/>
        <v/>
      </c>
      <c r="ET22" s="108" t="str">
        <f t="shared" si="33"/>
        <v/>
      </c>
      <c r="EU22" s="108" t="str">
        <f t="shared" si="34"/>
        <v/>
      </c>
      <c r="EV22" s="108" t="str">
        <f t="shared" si="34"/>
        <v/>
      </c>
      <c r="EW22" s="108" t="str">
        <f t="shared" si="34"/>
        <v/>
      </c>
      <c r="EX22" s="108" t="str">
        <f t="shared" si="34"/>
        <v/>
      </c>
      <c r="EY22" s="108" t="str">
        <f t="shared" si="34"/>
        <v/>
      </c>
      <c r="EZ22" s="108" t="str">
        <f t="shared" si="34"/>
        <v/>
      </c>
      <c r="FA22" s="108" t="str">
        <f t="shared" si="34"/>
        <v/>
      </c>
      <c r="FB22" s="108" t="str">
        <f t="shared" si="34"/>
        <v/>
      </c>
      <c r="FC22" s="108" t="str">
        <f t="shared" si="34"/>
        <v/>
      </c>
      <c r="FD22" s="108" t="str">
        <f t="shared" si="34"/>
        <v/>
      </c>
      <c r="FE22" s="108" t="str">
        <f t="shared" si="35"/>
        <v/>
      </c>
      <c r="FF22" s="109" t="str">
        <f t="shared" si="35"/>
        <v/>
      </c>
      <c r="FG22" s="108" t="str">
        <f t="shared" si="35"/>
        <v/>
      </c>
      <c r="FH22" s="108" t="str">
        <f t="shared" si="35"/>
        <v/>
      </c>
      <c r="FI22" s="108" t="str">
        <f t="shared" si="35"/>
        <v/>
      </c>
      <c r="FJ22" s="108" t="str">
        <f t="shared" si="35"/>
        <v/>
      </c>
      <c r="FK22" s="108" t="str">
        <f t="shared" si="35"/>
        <v/>
      </c>
      <c r="FL22" s="108" t="str">
        <f t="shared" si="35"/>
        <v/>
      </c>
      <c r="FM22" s="108" t="str">
        <f t="shared" si="35"/>
        <v/>
      </c>
      <c r="FN22" s="108" t="str">
        <f t="shared" si="35"/>
        <v/>
      </c>
      <c r="FO22" s="108" t="str">
        <f t="shared" si="36"/>
        <v/>
      </c>
      <c r="FP22" s="108" t="str">
        <f t="shared" si="36"/>
        <v/>
      </c>
      <c r="FQ22" s="108" t="str">
        <f t="shared" si="36"/>
        <v/>
      </c>
      <c r="FR22" s="108" t="str">
        <f t="shared" si="36"/>
        <v/>
      </c>
      <c r="FS22" s="108" t="str">
        <f t="shared" si="36"/>
        <v/>
      </c>
      <c r="FT22" s="108" t="str">
        <f t="shared" si="36"/>
        <v/>
      </c>
      <c r="FU22" s="108" t="str">
        <f t="shared" si="36"/>
        <v/>
      </c>
      <c r="FV22" s="108" t="str">
        <f t="shared" si="36"/>
        <v/>
      </c>
      <c r="FW22" s="110" t="str">
        <f t="shared" si="36"/>
        <v/>
      </c>
    </row>
    <row r="23" spans="2:179" s="101" customFormat="1" ht="21" customHeight="1" x14ac:dyDescent="0.35">
      <c r="B23" s="27" t="e">
        <f>Portfolio_Daten!#REF!</f>
        <v>#REF!</v>
      </c>
      <c r="C23" s="27">
        <f>Portfolio_Daten!B22</f>
        <v>0</v>
      </c>
      <c r="D23" s="28">
        <f>Portfolio_Daten!E22</f>
        <v>0</v>
      </c>
      <c r="E23" s="31">
        <f>Portfolio_Daten!T22</f>
        <v>0</v>
      </c>
      <c r="F23" s="31">
        <f>Portfolio_Daten!U22</f>
        <v>0</v>
      </c>
      <c r="G23" s="107">
        <f>IF(F23="","",NETWORKDAYS(E23,F23,Parameter!$C$4:$C$51))</f>
        <v>0</v>
      </c>
      <c r="H23" s="29">
        <f>Portfolio_Daten!AG22</f>
        <v>0</v>
      </c>
      <c r="I23" s="33">
        <f>Portfolio_Daten!AI22</f>
        <v>0</v>
      </c>
      <c r="J23" s="106"/>
      <c r="K23" s="108" t="str">
        <f t="shared" si="20"/>
        <v/>
      </c>
      <c r="L23" s="108" t="str">
        <f t="shared" si="20"/>
        <v/>
      </c>
      <c r="M23" s="108" t="str">
        <f t="shared" si="20"/>
        <v/>
      </c>
      <c r="N23" s="108" t="str">
        <f t="shared" si="20"/>
        <v/>
      </c>
      <c r="O23" s="108" t="str">
        <f t="shared" si="20"/>
        <v/>
      </c>
      <c r="P23" s="108" t="str">
        <f t="shared" si="20"/>
        <v/>
      </c>
      <c r="Q23" s="108" t="str">
        <f t="shared" si="20"/>
        <v/>
      </c>
      <c r="R23" s="108" t="str">
        <f t="shared" si="20"/>
        <v/>
      </c>
      <c r="S23" s="108" t="str">
        <f t="shared" si="20"/>
        <v/>
      </c>
      <c r="T23" s="108" t="str">
        <f t="shared" si="20"/>
        <v/>
      </c>
      <c r="U23" s="108" t="str">
        <f t="shared" si="21"/>
        <v/>
      </c>
      <c r="V23" s="108" t="str">
        <f t="shared" si="21"/>
        <v/>
      </c>
      <c r="W23" s="108" t="str">
        <f t="shared" si="21"/>
        <v/>
      </c>
      <c r="X23" s="108" t="str">
        <f t="shared" si="21"/>
        <v/>
      </c>
      <c r="Y23" s="108" t="str">
        <f t="shared" si="21"/>
        <v/>
      </c>
      <c r="Z23" s="108" t="str">
        <f t="shared" si="21"/>
        <v/>
      </c>
      <c r="AA23" s="108" t="str">
        <f t="shared" si="21"/>
        <v/>
      </c>
      <c r="AB23" s="108" t="str">
        <f t="shared" si="21"/>
        <v/>
      </c>
      <c r="AC23" s="108" t="str">
        <f t="shared" si="21"/>
        <v/>
      </c>
      <c r="AD23" s="108" t="str">
        <f t="shared" si="21"/>
        <v/>
      </c>
      <c r="AE23" s="108" t="str">
        <f t="shared" si="22"/>
        <v/>
      </c>
      <c r="AF23" s="108" t="str">
        <f t="shared" si="22"/>
        <v/>
      </c>
      <c r="AG23" s="108" t="str">
        <f t="shared" si="22"/>
        <v/>
      </c>
      <c r="AH23" s="108" t="str">
        <f t="shared" si="22"/>
        <v/>
      </c>
      <c r="AI23" s="108" t="str">
        <f t="shared" si="22"/>
        <v/>
      </c>
      <c r="AJ23" s="108" t="str">
        <f t="shared" si="22"/>
        <v/>
      </c>
      <c r="AK23" s="108" t="str">
        <f t="shared" si="22"/>
        <v/>
      </c>
      <c r="AL23" s="108" t="str">
        <f t="shared" si="22"/>
        <v/>
      </c>
      <c r="AM23" s="108" t="str">
        <f t="shared" si="22"/>
        <v/>
      </c>
      <c r="AN23" s="108" t="str">
        <f t="shared" si="22"/>
        <v/>
      </c>
      <c r="AO23" s="108" t="str">
        <f t="shared" si="23"/>
        <v/>
      </c>
      <c r="AP23" s="108" t="str">
        <f t="shared" si="23"/>
        <v/>
      </c>
      <c r="AQ23" s="108" t="str">
        <f t="shared" si="23"/>
        <v/>
      </c>
      <c r="AR23" s="108" t="str">
        <f t="shared" si="23"/>
        <v/>
      </c>
      <c r="AS23" s="108" t="str">
        <f t="shared" si="23"/>
        <v/>
      </c>
      <c r="AT23" s="108" t="str">
        <f t="shared" si="23"/>
        <v/>
      </c>
      <c r="AU23" s="108" t="str">
        <f t="shared" si="23"/>
        <v/>
      </c>
      <c r="AV23" s="108" t="str">
        <f t="shared" si="23"/>
        <v/>
      </c>
      <c r="AW23" s="108" t="str">
        <f t="shared" si="23"/>
        <v/>
      </c>
      <c r="AX23" s="108" t="str">
        <f t="shared" si="23"/>
        <v/>
      </c>
      <c r="AY23" s="108" t="str">
        <f t="shared" si="24"/>
        <v/>
      </c>
      <c r="AZ23" s="108" t="str">
        <f t="shared" si="24"/>
        <v/>
      </c>
      <c r="BA23" s="108" t="str">
        <f t="shared" si="24"/>
        <v/>
      </c>
      <c r="BB23" s="108" t="str">
        <f t="shared" si="24"/>
        <v/>
      </c>
      <c r="BC23" s="108" t="str">
        <f t="shared" si="24"/>
        <v/>
      </c>
      <c r="BD23" s="108" t="str">
        <f t="shared" si="24"/>
        <v/>
      </c>
      <c r="BE23" s="108" t="str">
        <f t="shared" si="24"/>
        <v/>
      </c>
      <c r="BF23" s="108" t="str">
        <f t="shared" si="24"/>
        <v/>
      </c>
      <c r="BG23" s="108" t="str">
        <f t="shared" si="24"/>
        <v/>
      </c>
      <c r="BH23" s="108" t="str">
        <f t="shared" si="24"/>
        <v/>
      </c>
      <c r="BI23" s="108" t="str">
        <f t="shared" si="25"/>
        <v/>
      </c>
      <c r="BJ23" s="108" t="str">
        <f t="shared" si="25"/>
        <v/>
      </c>
      <c r="BK23" s="108" t="str">
        <f t="shared" si="25"/>
        <v/>
      </c>
      <c r="BL23" s="108" t="str">
        <f t="shared" si="25"/>
        <v/>
      </c>
      <c r="BM23" s="108" t="str">
        <f t="shared" si="25"/>
        <v/>
      </c>
      <c r="BN23" s="108" t="str">
        <f t="shared" si="25"/>
        <v/>
      </c>
      <c r="BO23" s="108" t="str">
        <f t="shared" si="25"/>
        <v/>
      </c>
      <c r="BP23" s="108" t="str">
        <f t="shared" si="25"/>
        <v/>
      </c>
      <c r="BQ23" s="108" t="str">
        <f t="shared" si="25"/>
        <v/>
      </c>
      <c r="BR23" s="108" t="str">
        <f t="shared" si="25"/>
        <v/>
      </c>
      <c r="BS23" s="108" t="str">
        <f t="shared" si="26"/>
        <v/>
      </c>
      <c r="BT23" s="108" t="str">
        <f t="shared" si="26"/>
        <v/>
      </c>
      <c r="BU23" s="108" t="str">
        <f t="shared" si="26"/>
        <v/>
      </c>
      <c r="BV23" s="108" t="str">
        <f t="shared" si="26"/>
        <v/>
      </c>
      <c r="BW23" s="108" t="str">
        <f t="shared" si="26"/>
        <v/>
      </c>
      <c r="BX23" s="108" t="str">
        <f t="shared" si="26"/>
        <v/>
      </c>
      <c r="BY23" s="108" t="str">
        <f t="shared" si="26"/>
        <v/>
      </c>
      <c r="BZ23" s="108" t="str">
        <f t="shared" si="26"/>
        <v/>
      </c>
      <c r="CA23" s="108" t="str">
        <f t="shared" si="26"/>
        <v/>
      </c>
      <c r="CB23" s="108" t="str">
        <f t="shared" si="26"/>
        <v/>
      </c>
      <c r="CC23" s="108" t="str">
        <f t="shared" si="27"/>
        <v/>
      </c>
      <c r="CD23" s="108" t="str">
        <f t="shared" si="27"/>
        <v/>
      </c>
      <c r="CE23" s="108" t="str">
        <f t="shared" si="27"/>
        <v/>
      </c>
      <c r="CF23" s="108" t="str">
        <f t="shared" si="27"/>
        <v/>
      </c>
      <c r="CG23" s="108" t="str">
        <f t="shared" si="27"/>
        <v/>
      </c>
      <c r="CH23" s="108" t="str">
        <f t="shared" si="27"/>
        <v/>
      </c>
      <c r="CI23" s="108" t="str">
        <f t="shared" si="27"/>
        <v/>
      </c>
      <c r="CJ23" s="108" t="str">
        <f t="shared" si="27"/>
        <v/>
      </c>
      <c r="CK23" s="108" t="str">
        <f t="shared" si="27"/>
        <v/>
      </c>
      <c r="CL23" s="108" t="str">
        <f t="shared" si="27"/>
        <v/>
      </c>
      <c r="CM23" s="108" t="str">
        <f t="shared" si="28"/>
        <v/>
      </c>
      <c r="CN23" s="108" t="str">
        <f t="shared" si="28"/>
        <v/>
      </c>
      <c r="CO23" s="108" t="str">
        <f t="shared" si="28"/>
        <v/>
      </c>
      <c r="CP23" s="108" t="str">
        <f t="shared" si="28"/>
        <v/>
      </c>
      <c r="CQ23" s="108" t="str">
        <f t="shared" si="28"/>
        <v/>
      </c>
      <c r="CR23" s="109" t="str">
        <f t="shared" si="28"/>
        <v/>
      </c>
      <c r="CS23" s="108" t="str">
        <f t="shared" si="28"/>
        <v/>
      </c>
      <c r="CT23" s="108" t="str">
        <f t="shared" si="28"/>
        <v/>
      </c>
      <c r="CU23" s="108" t="str">
        <f t="shared" si="28"/>
        <v/>
      </c>
      <c r="CV23" s="108" t="str">
        <f t="shared" si="28"/>
        <v/>
      </c>
      <c r="CW23" s="108" t="str">
        <f t="shared" si="29"/>
        <v/>
      </c>
      <c r="CX23" s="108" t="str">
        <f t="shared" si="29"/>
        <v/>
      </c>
      <c r="CY23" s="108" t="str">
        <f t="shared" si="29"/>
        <v/>
      </c>
      <c r="CZ23" s="109" t="str">
        <f t="shared" si="29"/>
        <v/>
      </c>
      <c r="DA23" s="108" t="str">
        <f t="shared" si="29"/>
        <v/>
      </c>
      <c r="DB23" s="108" t="str">
        <f t="shared" si="29"/>
        <v/>
      </c>
      <c r="DC23" s="108" t="str">
        <f t="shared" si="29"/>
        <v/>
      </c>
      <c r="DD23" s="108" t="str">
        <f t="shared" si="29"/>
        <v/>
      </c>
      <c r="DE23" s="108" t="str">
        <f t="shared" si="29"/>
        <v/>
      </c>
      <c r="DF23" s="108" t="str">
        <f t="shared" si="29"/>
        <v/>
      </c>
      <c r="DG23" s="108" t="str">
        <f t="shared" si="30"/>
        <v/>
      </c>
      <c r="DH23" s="109" t="str">
        <f t="shared" si="30"/>
        <v/>
      </c>
      <c r="DI23" s="108" t="str">
        <f t="shared" si="30"/>
        <v/>
      </c>
      <c r="DJ23" s="108" t="str">
        <f t="shared" si="30"/>
        <v/>
      </c>
      <c r="DK23" s="108" t="str">
        <f t="shared" si="30"/>
        <v/>
      </c>
      <c r="DL23" s="108" t="str">
        <f t="shared" si="30"/>
        <v/>
      </c>
      <c r="DM23" s="108" t="str">
        <f t="shared" si="30"/>
        <v/>
      </c>
      <c r="DN23" s="108" t="str">
        <f t="shared" si="30"/>
        <v/>
      </c>
      <c r="DO23" s="109" t="str">
        <f t="shared" si="30"/>
        <v/>
      </c>
      <c r="DP23" s="108" t="str">
        <f t="shared" si="30"/>
        <v/>
      </c>
      <c r="DQ23" s="108" t="str">
        <f t="shared" si="31"/>
        <v/>
      </c>
      <c r="DR23" s="108" t="str">
        <f t="shared" si="31"/>
        <v/>
      </c>
      <c r="DS23" s="108" t="str">
        <f t="shared" si="31"/>
        <v/>
      </c>
      <c r="DT23" s="108" t="str">
        <f t="shared" si="31"/>
        <v/>
      </c>
      <c r="DU23" s="108" t="str">
        <f t="shared" si="31"/>
        <v/>
      </c>
      <c r="DV23" s="108" t="str">
        <f t="shared" si="31"/>
        <v/>
      </c>
      <c r="DW23" s="109" t="str">
        <f t="shared" si="31"/>
        <v/>
      </c>
      <c r="DX23" s="108" t="str">
        <f t="shared" si="31"/>
        <v/>
      </c>
      <c r="DY23" s="108" t="str">
        <f t="shared" si="31"/>
        <v/>
      </c>
      <c r="DZ23" s="108" t="str">
        <f t="shared" si="31"/>
        <v/>
      </c>
      <c r="EA23" s="108" t="str">
        <f t="shared" si="32"/>
        <v/>
      </c>
      <c r="EB23" s="108" t="str">
        <f t="shared" si="32"/>
        <v/>
      </c>
      <c r="EC23" s="108" t="str">
        <f t="shared" si="32"/>
        <v/>
      </c>
      <c r="ED23" s="109" t="str">
        <f t="shared" si="32"/>
        <v/>
      </c>
      <c r="EE23" s="108" t="str">
        <f t="shared" si="32"/>
        <v/>
      </c>
      <c r="EF23" s="108" t="str">
        <f t="shared" si="32"/>
        <v/>
      </c>
      <c r="EG23" s="108" t="str">
        <f t="shared" si="32"/>
        <v/>
      </c>
      <c r="EH23" s="108" t="str">
        <f t="shared" si="32"/>
        <v/>
      </c>
      <c r="EI23" s="108" t="str">
        <f t="shared" si="32"/>
        <v/>
      </c>
      <c r="EJ23" s="108" t="str">
        <f t="shared" si="32"/>
        <v/>
      </c>
      <c r="EK23" s="108" t="str">
        <f t="shared" si="33"/>
        <v/>
      </c>
      <c r="EL23" s="108" t="str">
        <f t="shared" si="33"/>
        <v/>
      </c>
      <c r="EM23" s="108" t="str">
        <f t="shared" si="33"/>
        <v/>
      </c>
      <c r="EN23" s="108" t="str">
        <f t="shared" si="33"/>
        <v/>
      </c>
      <c r="EO23" s="108" t="str">
        <f t="shared" si="33"/>
        <v/>
      </c>
      <c r="EP23" s="108" t="str">
        <f t="shared" si="33"/>
        <v/>
      </c>
      <c r="EQ23" s="108" t="str">
        <f t="shared" si="33"/>
        <v/>
      </c>
      <c r="ER23" s="108" t="str">
        <f t="shared" si="33"/>
        <v/>
      </c>
      <c r="ES23" s="109" t="str">
        <f t="shared" si="33"/>
        <v/>
      </c>
      <c r="ET23" s="108" t="str">
        <f t="shared" si="33"/>
        <v/>
      </c>
      <c r="EU23" s="108" t="str">
        <f t="shared" si="34"/>
        <v/>
      </c>
      <c r="EV23" s="108" t="str">
        <f t="shared" si="34"/>
        <v/>
      </c>
      <c r="EW23" s="108" t="str">
        <f t="shared" si="34"/>
        <v/>
      </c>
      <c r="EX23" s="108" t="str">
        <f t="shared" si="34"/>
        <v/>
      </c>
      <c r="EY23" s="108" t="str">
        <f t="shared" si="34"/>
        <v/>
      </c>
      <c r="EZ23" s="108" t="str">
        <f t="shared" si="34"/>
        <v/>
      </c>
      <c r="FA23" s="108" t="str">
        <f t="shared" si="34"/>
        <v/>
      </c>
      <c r="FB23" s="108" t="str">
        <f t="shared" si="34"/>
        <v/>
      </c>
      <c r="FC23" s="108" t="str">
        <f t="shared" si="34"/>
        <v/>
      </c>
      <c r="FD23" s="108" t="str">
        <f t="shared" si="34"/>
        <v/>
      </c>
      <c r="FE23" s="108" t="str">
        <f t="shared" si="35"/>
        <v/>
      </c>
      <c r="FF23" s="109" t="str">
        <f t="shared" si="35"/>
        <v/>
      </c>
      <c r="FG23" s="108" t="str">
        <f t="shared" si="35"/>
        <v/>
      </c>
      <c r="FH23" s="108" t="str">
        <f t="shared" si="35"/>
        <v/>
      </c>
      <c r="FI23" s="108" t="str">
        <f t="shared" si="35"/>
        <v/>
      </c>
      <c r="FJ23" s="108" t="str">
        <f t="shared" si="35"/>
        <v/>
      </c>
      <c r="FK23" s="108" t="str">
        <f t="shared" si="35"/>
        <v/>
      </c>
      <c r="FL23" s="108" t="str">
        <f t="shared" si="35"/>
        <v/>
      </c>
      <c r="FM23" s="108" t="str">
        <f t="shared" si="35"/>
        <v/>
      </c>
      <c r="FN23" s="108" t="str">
        <f t="shared" si="35"/>
        <v/>
      </c>
      <c r="FO23" s="108" t="str">
        <f t="shared" si="36"/>
        <v/>
      </c>
      <c r="FP23" s="108" t="str">
        <f t="shared" si="36"/>
        <v/>
      </c>
      <c r="FQ23" s="108" t="str">
        <f t="shared" si="36"/>
        <v/>
      </c>
      <c r="FR23" s="108" t="str">
        <f t="shared" si="36"/>
        <v/>
      </c>
      <c r="FS23" s="108" t="str">
        <f t="shared" si="36"/>
        <v/>
      </c>
      <c r="FT23" s="108" t="str">
        <f t="shared" si="36"/>
        <v/>
      </c>
      <c r="FU23" s="108" t="str">
        <f t="shared" si="36"/>
        <v/>
      </c>
      <c r="FV23" s="108" t="str">
        <f t="shared" si="36"/>
        <v/>
      </c>
      <c r="FW23" s="110" t="str">
        <f t="shared" si="36"/>
        <v/>
      </c>
    </row>
    <row r="24" spans="2:179" s="101" customFormat="1" ht="21" customHeight="1" x14ac:dyDescent="0.35">
      <c r="B24" s="27" t="e">
        <f>Portfolio_Daten!#REF!</f>
        <v>#REF!</v>
      </c>
      <c r="C24" s="27">
        <f>Portfolio_Daten!B23</f>
        <v>0</v>
      </c>
      <c r="D24" s="28">
        <f>Portfolio_Daten!E23</f>
        <v>0</v>
      </c>
      <c r="E24" s="31">
        <f>Portfolio_Daten!T23</f>
        <v>0</v>
      </c>
      <c r="F24" s="31">
        <f>Portfolio_Daten!U23</f>
        <v>0</v>
      </c>
      <c r="G24" s="107">
        <f>IF(F24="","",NETWORKDAYS(E24,F24,Parameter!$C$4:$C$51))</f>
        <v>0</v>
      </c>
      <c r="H24" s="29">
        <f>Portfolio_Daten!AG23</f>
        <v>0</v>
      </c>
      <c r="I24" s="33">
        <f>Portfolio_Daten!AI23</f>
        <v>0</v>
      </c>
      <c r="J24" s="106"/>
      <c r="K24" s="108" t="str">
        <f t="shared" si="20"/>
        <v/>
      </c>
      <c r="L24" s="108" t="str">
        <f t="shared" si="20"/>
        <v/>
      </c>
      <c r="M24" s="108" t="str">
        <f t="shared" si="20"/>
        <v/>
      </c>
      <c r="N24" s="108" t="str">
        <f t="shared" si="20"/>
        <v/>
      </c>
      <c r="O24" s="108" t="str">
        <f t="shared" si="20"/>
        <v/>
      </c>
      <c r="P24" s="108" t="str">
        <f t="shared" si="20"/>
        <v/>
      </c>
      <c r="Q24" s="108" t="str">
        <f t="shared" si="20"/>
        <v/>
      </c>
      <c r="R24" s="108" t="str">
        <f t="shared" si="20"/>
        <v/>
      </c>
      <c r="S24" s="108" t="str">
        <f t="shared" si="20"/>
        <v/>
      </c>
      <c r="T24" s="108" t="str">
        <f t="shared" si="20"/>
        <v/>
      </c>
      <c r="U24" s="108" t="str">
        <f t="shared" si="21"/>
        <v/>
      </c>
      <c r="V24" s="108" t="str">
        <f t="shared" si="21"/>
        <v/>
      </c>
      <c r="W24" s="108" t="str">
        <f t="shared" si="21"/>
        <v/>
      </c>
      <c r="X24" s="108" t="str">
        <f t="shared" si="21"/>
        <v/>
      </c>
      <c r="Y24" s="108" t="str">
        <f t="shared" si="21"/>
        <v/>
      </c>
      <c r="Z24" s="108" t="str">
        <f t="shared" si="21"/>
        <v/>
      </c>
      <c r="AA24" s="108" t="str">
        <f t="shared" si="21"/>
        <v/>
      </c>
      <c r="AB24" s="108" t="str">
        <f t="shared" si="21"/>
        <v/>
      </c>
      <c r="AC24" s="108" t="str">
        <f t="shared" si="21"/>
        <v/>
      </c>
      <c r="AD24" s="108" t="str">
        <f t="shared" si="21"/>
        <v/>
      </c>
      <c r="AE24" s="108" t="str">
        <f t="shared" si="22"/>
        <v/>
      </c>
      <c r="AF24" s="108" t="str">
        <f t="shared" si="22"/>
        <v/>
      </c>
      <c r="AG24" s="108" t="str">
        <f t="shared" si="22"/>
        <v/>
      </c>
      <c r="AH24" s="108" t="str">
        <f t="shared" si="22"/>
        <v/>
      </c>
      <c r="AI24" s="108" t="str">
        <f t="shared" si="22"/>
        <v/>
      </c>
      <c r="AJ24" s="108" t="str">
        <f t="shared" si="22"/>
        <v/>
      </c>
      <c r="AK24" s="108" t="str">
        <f t="shared" si="22"/>
        <v/>
      </c>
      <c r="AL24" s="108" t="str">
        <f t="shared" si="22"/>
        <v/>
      </c>
      <c r="AM24" s="108" t="str">
        <f t="shared" si="22"/>
        <v/>
      </c>
      <c r="AN24" s="108" t="str">
        <f t="shared" si="22"/>
        <v/>
      </c>
      <c r="AO24" s="108" t="str">
        <f t="shared" si="23"/>
        <v/>
      </c>
      <c r="AP24" s="108" t="str">
        <f t="shared" si="23"/>
        <v/>
      </c>
      <c r="AQ24" s="108" t="str">
        <f t="shared" si="23"/>
        <v/>
      </c>
      <c r="AR24" s="108" t="str">
        <f t="shared" si="23"/>
        <v/>
      </c>
      <c r="AS24" s="108" t="str">
        <f t="shared" si="23"/>
        <v/>
      </c>
      <c r="AT24" s="108" t="str">
        <f t="shared" si="23"/>
        <v/>
      </c>
      <c r="AU24" s="108" t="str">
        <f t="shared" si="23"/>
        <v/>
      </c>
      <c r="AV24" s="108" t="str">
        <f t="shared" si="23"/>
        <v/>
      </c>
      <c r="AW24" s="108" t="str">
        <f t="shared" si="23"/>
        <v/>
      </c>
      <c r="AX24" s="108" t="str">
        <f t="shared" si="23"/>
        <v/>
      </c>
      <c r="AY24" s="108" t="str">
        <f t="shared" si="24"/>
        <v/>
      </c>
      <c r="AZ24" s="108" t="str">
        <f t="shared" si="24"/>
        <v/>
      </c>
      <c r="BA24" s="108" t="str">
        <f t="shared" si="24"/>
        <v/>
      </c>
      <c r="BB24" s="108" t="str">
        <f t="shared" si="24"/>
        <v/>
      </c>
      <c r="BC24" s="108" t="str">
        <f t="shared" si="24"/>
        <v/>
      </c>
      <c r="BD24" s="108" t="str">
        <f t="shared" si="24"/>
        <v/>
      </c>
      <c r="BE24" s="108" t="str">
        <f t="shared" si="24"/>
        <v/>
      </c>
      <c r="BF24" s="108" t="str">
        <f t="shared" si="24"/>
        <v/>
      </c>
      <c r="BG24" s="108" t="str">
        <f t="shared" si="24"/>
        <v/>
      </c>
      <c r="BH24" s="108" t="str">
        <f t="shared" si="24"/>
        <v/>
      </c>
      <c r="BI24" s="108" t="str">
        <f t="shared" si="25"/>
        <v/>
      </c>
      <c r="BJ24" s="108" t="str">
        <f t="shared" si="25"/>
        <v/>
      </c>
      <c r="BK24" s="108" t="str">
        <f t="shared" si="25"/>
        <v/>
      </c>
      <c r="BL24" s="108" t="str">
        <f t="shared" si="25"/>
        <v/>
      </c>
      <c r="BM24" s="108" t="str">
        <f t="shared" si="25"/>
        <v/>
      </c>
      <c r="BN24" s="108" t="str">
        <f t="shared" si="25"/>
        <v/>
      </c>
      <c r="BO24" s="108" t="str">
        <f t="shared" si="25"/>
        <v/>
      </c>
      <c r="BP24" s="108" t="str">
        <f t="shared" si="25"/>
        <v/>
      </c>
      <c r="BQ24" s="108" t="str">
        <f t="shared" si="25"/>
        <v/>
      </c>
      <c r="BR24" s="108" t="str">
        <f t="shared" si="25"/>
        <v/>
      </c>
      <c r="BS24" s="108" t="str">
        <f t="shared" si="26"/>
        <v/>
      </c>
      <c r="BT24" s="108" t="str">
        <f t="shared" si="26"/>
        <v/>
      </c>
      <c r="BU24" s="108" t="str">
        <f t="shared" si="26"/>
        <v/>
      </c>
      <c r="BV24" s="108" t="str">
        <f t="shared" si="26"/>
        <v/>
      </c>
      <c r="BW24" s="108" t="str">
        <f t="shared" si="26"/>
        <v/>
      </c>
      <c r="BX24" s="108" t="str">
        <f t="shared" si="26"/>
        <v/>
      </c>
      <c r="BY24" s="108" t="str">
        <f t="shared" si="26"/>
        <v/>
      </c>
      <c r="BZ24" s="108" t="str">
        <f t="shared" si="26"/>
        <v/>
      </c>
      <c r="CA24" s="108" t="str">
        <f t="shared" si="26"/>
        <v/>
      </c>
      <c r="CB24" s="108" t="str">
        <f t="shared" si="26"/>
        <v/>
      </c>
      <c r="CC24" s="108" t="str">
        <f t="shared" si="27"/>
        <v/>
      </c>
      <c r="CD24" s="108" t="str">
        <f t="shared" si="27"/>
        <v/>
      </c>
      <c r="CE24" s="108" t="str">
        <f t="shared" si="27"/>
        <v/>
      </c>
      <c r="CF24" s="108" t="str">
        <f t="shared" si="27"/>
        <v/>
      </c>
      <c r="CG24" s="108" t="str">
        <f t="shared" si="27"/>
        <v/>
      </c>
      <c r="CH24" s="108" t="str">
        <f t="shared" si="27"/>
        <v/>
      </c>
      <c r="CI24" s="108" t="str">
        <f t="shared" si="27"/>
        <v/>
      </c>
      <c r="CJ24" s="108" t="str">
        <f t="shared" si="27"/>
        <v/>
      </c>
      <c r="CK24" s="108" t="str">
        <f t="shared" si="27"/>
        <v/>
      </c>
      <c r="CL24" s="108" t="str">
        <f t="shared" si="27"/>
        <v/>
      </c>
      <c r="CM24" s="108" t="str">
        <f t="shared" si="28"/>
        <v/>
      </c>
      <c r="CN24" s="108" t="str">
        <f t="shared" si="28"/>
        <v/>
      </c>
      <c r="CO24" s="108" t="str">
        <f t="shared" si="28"/>
        <v/>
      </c>
      <c r="CP24" s="108" t="str">
        <f t="shared" si="28"/>
        <v/>
      </c>
      <c r="CQ24" s="108" t="str">
        <f t="shared" si="28"/>
        <v/>
      </c>
      <c r="CR24" s="109" t="str">
        <f t="shared" si="28"/>
        <v/>
      </c>
      <c r="CS24" s="108" t="str">
        <f t="shared" si="28"/>
        <v/>
      </c>
      <c r="CT24" s="108" t="str">
        <f t="shared" si="28"/>
        <v/>
      </c>
      <c r="CU24" s="108" t="str">
        <f t="shared" si="28"/>
        <v/>
      </c>
      <c r="CV24" s="108" t="str">
        <f t="shared" si="28"/>
        <v/>
      </c>
      <c r="CW24" s="108" t="str">
        <f t="shared" si="29"/>
        <v/>
      </c>
      <c r="CX24" s="108" t="str">
        <f t="shared" si="29"/>
        <v/>
      </c>
      <c r="CY24" s="108" t="str">
        <f t="shared" si="29"/>
        <v/>
      </c>
      <c r="CZ24" s="109" t="str">
        <f t="shared" si="29"/>
        <v/>
      </c>
      <c r="DA24" s="108" t="str">
        <f t="shared" si="29"/>
        <v/>
      </c>
      <c r="DB24" s="108" t="str">
        <f t="shared" si="29"/>
        <v/>
      </c>
      <c r="DC24" s="108" t="str">
        <f t="shared" si="29"/>
        <v/>
      </c>
      <c r="DD24" s="108" t="str">
        <f t="shared" si="29"/>
        <v/>
      </c>
      <c r="DE24" s="108" t="str">
        <f t="shared" si="29"/>
        <v/>
      </c>
      <c r="DF24" s="108" t="str">
        <f t="shared" si="29"/>
        <v/>
      </c>
      <c r="DG24" s="108" t="str">
        <f t="shared" si="30"/>
        <v/>
      </c>
      <c r="DH24" s="109" t="str">
        <f t="shared" si="30"/>
        <v/>
      </c>
      <c r="DI24" s="108" t="str">
        <f t="shared" si="30"/>
        <v/>
      </c>
      <c r="DJ24" s="108" t="str">
        <f t="shared" si="30"/>
        <v/>
      </c>
      <c r="DK24" s="108" t="str">
        <f t="shared" si="30"/>
        <v/>
      </c>
      <c r="DL24" s="108" t="str">
        <f t="shared" si="30"/>
        <v/>
      </c>
      <c r="DM24" s="108" t="str">
        <f t="shared" si="30"/>
        <v/>
      </c>
      <c r="DN24" s="108" t="str">
        <f t="shared" si="30"/>
        <v/>
      </c>
      <c r="DO24" s="109" t="str">
        <f t="shared" si="30"/>
        <v/>
      </c>
      <c r="DP24" s="108" t="str">
        <f t="shared" si="30"/>
        <v/>
      </c>
      <c r="DQ24" s="108" t="str">
        <f t="shared" si="31"/>
        <v/>
      </c>
      <c r="DR24" s="108" t="str">
        <f t="shared" si="31"/>
        <v/>
      </c>
      <c r="DS24" s="108" t="str">
        <f t="shared" si="31"/>
        <v/>
      </c>
      <c r="DT24" s="108" t="str">
        <f t="shared" si="31"/>
        <v/>
      </c>
      <c r="DU24" s="108" t="str">
        <f t="shared" si="31"/>
        <v/>
      </c>
      <c r="DV24" s="108" t="str">
        <f t="shared" si="31"/>
        <v/>
      </c>
      <c r="DW24" s="109" t="str">
        <f t="shared" si="31"/>
        <v/>
      </c>
      <c r="DX24" s="108" t="str">
        <f t="shared" si="31"/>
        <v/>
      </c>
      <c r="DY24" s="108" t="str">
        <f t="shared" si="31"/>
        <v/>
      </c>
      <c r="DZ24" s="108" t="str">
        <f t="shared" si="31"/>
        <v/>
      </c>
      <c r="EA24" s="108" t="str">
        <f t="shared" si="32"/>
        <v/>
      </c>
      <c r="EB24" s="108" t="str">
        <f t="shared" si="32"/>
        <v/>
      </c>
      <c r="EC24" s="108" t="str">
        <f t="shared" si="32"/>
        <v/>
      </c>
      <c r="ED24" s="109" t="str">
        <f t="shared" si="32"/>
        <v/>
      </c>
      <c r="EE24" s="108" t="str">
        <f t="shared" si="32"/>
        <v/>
      </c>
      <c r="EF24" s="108" t="str">
        <f t="shared" si="32"/>
        <v/>
      </c>
      <c r="EG24" s="108" t="str">
        <f t="shared" si="32"/>
        <v/>
      </c>
      <c r="EH24" s="108" t="str">
        <f t="shared" si="32"/>
        <v/>
      </c>
      <c r="EI24" s="108" t="str">
        <f t="shared" si="32"/>
        <v/>
      </c>
      <c r="EJ24" s="108" t="str">
        <f t="shared" si="32"/>
        <v/>
      </c>
      <c r="EK24" s="108" t="str">
        <f t="shared" si="33"/>
        <v/>
      </c>
      <c r="EL24" s="108" t="str">
        <f t="shared" si="33"/>
        <v/>
      </c>
      <c r="EM24" s="108" t="str">
        <f t="shared" si="33"/>
        <v/>
      </c>
      <c r="EN24" s="108" t="str">
        <f t="shared" si="33"/>
        <v/>
      </c>
      <c r="EO24" s="108" t="str">
        <f t="shared" si="33"/>
        <v/>
      </c>
      <c r="EP24" s="108" t="str">
        <f t="shared" si="33"/>
        <v/>
      </c>
      <c r="EQ24" s="108" t="str">
        <f t="shared" si="33"/>
        <v/>
      </c>
      <c r="ER24" s="108" t="str">
        <f t="shared" si="33"/>
        <v/>
      </c>
      <c r="ES24" s="109" t="str">
        <f t="shared" si="33"/>
        <v/>
      </c>
      <c r="ET24" s="108" t="str">
        <f t="shared" si="33"/>
        <v/>
      </c>
      <c r="EU24" s="108" t="str">
        <f t="shared" si="34"/>
        <v/>
      </c>
      <c r="EV24" s="108" t="str">
        <f t="shared" si="34"/>
        <v/>
      </c>
      <c r="EW24" s="108" t="str">
        <f t="shared" si="34"/>
        <v/>
      </c>
      <c r="EX24" s="108" t="str">
        <f t="shared" si="34"/>
        <v/>
      </c>
      <c r="EY24" s="108" t="str">
        <f t="shared" si="34"/>
        <v/>
      </c>
      <c r="EZ24" s="108" t="str">
        <f t="shared" si="34"/>
        <v/>
      </c>
      <c r="FA24" s="108" t="str">
        <f t="shared" si="34"/>
        <v/>
      </c>
      <c r="FB24" s="108" t="str">
        <f t="shared" si="34"/>
        <v/>
      </c>
      <c r="FC24" s="108" t="str">
        <f t="shared" si="34"/>
        <v/>
      </c>
      <c r="FD24" s="108" t="str">
        <f t="shared" si="34"/>
        <v/>
      </c>
      <c r="FE24" s="108" t="str">
        <f t="shared" si="35"/>
        <v/>
      </c>
      <c r="FF24" s="109" t="str">
        <f t="shared" si="35"/>
        <v/>
      </c>
      <c r="FG24" s="108" t="str">
        <f t="shared" si="35"/>
        <v/>
      </c>
      <c r="FH24" s="108" t="str">
        <f t="shared" si="35"/>
        <v/>
      </c>
      <c r="FI24" s="108" t="str">
        <f t="shared" si="35"/>
        <v/>
      </c>
      <c r="FJ24" s="108" t="str">
        <f t="shared" si="35"/>
        <v/>
      </c>
      <c r="FK24" s="108" t="str">
        <f t="shared" si="35"/>
        <v/>
      </c>
      <c r="FL24" s="108" t="str">
        <f t="shared" si="35"/>
        <v/>
      </c>
      <c r="FM24" s="108" t="str">
        <f t="shared" si="35"/>
        <v/>
      </c>
      <c r="FN24" s="108" t="str">
        <f t="shared" si="35"/>
        <v/>
      </c>
      <c r="FO24" s="108" t="str">
        <f t="shared" si="36"/>
        <v/>
      </c>
      <c r="FP24" s="108" t="str">
        <f t="shared" si="36"/>
        <v/>
      </c>
      <c r="FQ24" s="108" t="str">
        <f t="shared" si="36"/>
        <v/>
      </c>
      <c r="FR24" s="108" t="str">
        <f t="shared" si="36"/>
        <v/>
      </c>
      <c r="FS24" s="108" t="str">
        <f t="shared" si="36"/>
        <v/>
      </c>
      <c r="FT24" s="108" t="str">
        <f t="shared" si="36"/>
        <v/>
      </c>
      <c r="FU24" s="108" t="str">
        <f t="shared" si="36"/>
        <v/>
      </c>
      <c r="FV24" s="108" t="str">
        <f t="shared" si="36"/>
        <v/>
      </c>
      <c r="FW24" s="110" t="str">
        <f t="shared" si="36"/>
        <v/>
      </c>
    </row>
    <row r="25" spans="2:179" s="101" customFormat="1" ht="21" customHeight="1" x14ac:dyDescent="0.35">
      <c r="B25" s="27" t="e">
        <f>Portfolio_Daten!#REF!</f>
        <v>#REF!</v>
      </c>
      <c r="C25" s="27">
        <f>Portfolio_Daten!B24</f>
        <v>0</v>
      </c>
      <c r="D25" s="28">
        <f>Portfolio_Daten!E24</f>
        <v>0</v>
      </c>
      <c r="E25" s="31">
        <f>Portfolio_Daten!T24</f>
        <v>0</v>
      </c>
      <c r="F25" s="31">
        <f>Portfolio_Daten!U24</f>
        <v>0</v>
      </c>
      <c r="G25" s="107">
        <f>IF(F25="","",NETWORKDAYS(E25,F25,Parameter!$C$4:$C$51))</f>
        <v>0</v>
      </c>
      <c r="H25" s="29">
        <f>Portfolio_Daten!AG24</f>
        <v>0</v>
      </c>
      <c r="I25" s="33">
        <f>Portfolio_Daten!AI24</f>
        <v>0</v>
      </c>
      <c r="J25" s="106"/>
      <c r="K25" s="108" t="str">
        <f t="shared" si="20"/>
        <v/>
      </c>
      <c r="L25" s="108" t="str">
        <f t="shared" si="20"/>
        <v/>
      </c>
      <c r="M25" s="108" t="str">
        <f t="shared" si="20"/>
        <v/>
      </c>
      <c r="N25" s="108" t="str">
        <f t="shared" si="20"/>
        <v/>
      </c>
      <c r="O25" s="108" t="str">
        <f t="shared" si="20"/>
        <v/>
      </c>
      <c r="P25" s="108" t="str">
        <f t="shared" si="20"/>
        <v/>
      </c>
      <c r="Q25" s="108" t="str">
        <f t="shared" si="20"/>
        <v/>
      </c>
      <c r="R25" s="108" t="str">
        <f t="shared" si="20"/>
        <v/>
      </c>
      <c r="S25" s="108" t="str">
        <f t="shared" si="20"/>
        <v/>
      </c>
      <c r="T25" s="108" t="str">
        <f t="shared" si="20"/>
        <v/>
      </c>
      <c r="U25" s="108" t="str">
        <f t="shared" si="21"/>
        <v/>
      </c>
      <c r="V25" s="108" t="str">
        <f t="shared" si="21"/>
        <v/>
      </c>
      <c r="W25" s="108" t="str">
        <f t="shared" si="21"/>
        <v/>
      </c>
      <c r="X25" s="108" t="str">
        <f t="shared" si="21"/>
        <v/>
      </c>
      <c r="Y25" s="108" t="str">
        <f t="shared" si="21"/>
        <v/>
      </c>
      <c r="Z25" s="108" t="str">
        <f t="shared" si="21"/>
        <v/>
      </c>
      <c r="AA25" s="108" t="str">
        <f t="shared" si="21"/>
        <v/>
      </c>
      <c r="AB25" s="108" t="str">
        <f t="shared" si="21"/>
        <v/>
      </c>
      <c r="AC25" s="108" t="str">
        <f t="shared" si="21"/>
        <v/>
      </c>
      <c r="AD25" s="108" t="str">
        <f t="shared" si="21"/>
        <v/>
      </c>
      <c r="AE25" s="108" t="str">
        <f t="shared" si="22"/>
        <v/>
      </c>
      <c r="AF25" s="108" t="str">
        <f t="shared" si="22"/>
        <v/>
      </c>
      <c r="AG25" s="108" t="str">
        <f t="shared" si="22"/>
        <v/>
      </c>
      <c r="AH25" s="108" t="str">
        <f t="shared" si="22"/>
        <v/>
      </c>
      <c r="AI25" s="108" t="str">
        <f t="shared" si="22"/>
        <v/>
      </c>
      <c r="AJ25" s="108" t="str">
        <f t="shared" si="22"/>
        <v/>
      </c>
      <c r="AK25" s="108" t="str">
        <f t="shared" si="22"/>
        <v/>
      </c>
      <c r="AL25" s="108" t="str">
        <f t="shared" si="22"/>
        <v/>
      </c>
      <c r="AM25" s="108" t="str">
        <f t="shared" si="22"/>
        <v/>
      </c>
      <c r="AN25" s="108" t="str">
        <f t="shared" si="22"/>
        <v/>
      </c>
      <c r="AO25" s="108" t="str">
        <f t="shared" si="23"/>
        <v/>
      </c>
      <c r="AP25" s="108" t="str">
        <f t="shared" si="23"/>
        <v/>
      </c>
      <c r="AQ25" s="108" t="str">
        <f t="shared" si="23"/>
        <v/>
      </c>
      <c r="AR25" s="108" t="str">
        <f t="shared" si="23"/>
        <v/>
      </c>
      <c r="AS25" s="108" t="str">
        <f t="shared" si="23"/>
        <v/>
      </c>
      <c r="AT25" s="108" t="str">
        <f t="shared" si="23"/>
        <v/>
      </c>
      <c r="AU25" s="108" t="str">
        <f t="shared" si="23"/>
        <v/>
      </c>
      <c r="AV25" s="108" t="str">
        <f t="shared" si="23"/>
        <v/>
      </c>
      <c r="AW25" s="108" t="str">
        <f t="shared" si="23"/>
        <v/>
      </c>
      <c r="AX25" s="108" t="str">
        <f t="shared" si="23"/>
        <v/>
      </c>
      <c r="AY25" s="108" t="str">
        <f t="shared" si="24"/>
        <v/>
      </c>
      <c r="AZ25" s="108" t="str">
        <f t="shared" si="24"/>
        <v/>
      </c>
      <c r="BA25" s="108" t="str">
        <f t="shared" si="24"/>
        <v/>
      </c>
      <c r="BB25" s="108" t="str">
        <f t="shared" si="24"/>
        <v/>
      </c>
      <c r="BC25" s="108" t="str">
        <f t="shared" si="24"/>
        <v/>
      </c>
      <c r="BD25" s="108" t="str">
        <f t="shared" si="24"/>
        <v/>
      </c>
      <c r="BE25" s="108" t="str">
        <f t="shared" si="24"/>
        <v/>
      </c>
      <c r="BF25" s="108" t="str">
        <f t="shared" si="24"/>
        <v/>
      </c>
      <c r="BG25" s="108" t="str">
        <f t="shared" si="24"/>
        <v/>
      </c>
      <c r="BH25" s="108" t="str">
        <f t="shared" si="24"/>
        <v/>
      </c>
      <c r="BI25" s="108" t="str">
        <f t="shared" si="25"/>
        <v/>
      </c>
      <c r="BJ25" s="108" t="str">
        <f t="shared" si="25"/>
        <v/>
      </c>
      <c r="BK25" s="108" t="str">
        <f t="shared" si="25"/>
        <v/>
      </c>
      <c r="BL25" s="108" t="str">
        <f t="shared" si="25"/>
        <v/>
      </c>
      <c r="BM25" s="108" t="str">
        <f t="shared" si="25"/>
        <v/>
      </c>
      <c r="BN25" s="108" t="str">
        <f t="shared" si="25"/>
        <v/>
      </c>
      <c r="BO25" s="108" t="str">
        <f t="shared" si="25"/>
        <v/>
      </c>
      <c r="BP25" s="108" t="str">
        <f t="shared" si="25"/>
        <v/>
      </c>
      <c r="BQ25" s="108" t="str">
        <f t="shared" si="25"/>
        <v/>
      </c>
      <c r="BR25" s="108" t="str">
        <f t="shared" si="25"/>
        <v/>
      </c>
      <c r="BS25" s="108" t="str">
        <f t="shared" si="26"/>
        <v/>
      </c>
      <c r="BT25" s="108" t="str">
        <f t="shared" si="26"/>
        <v/>
      </c>
      <c r="BU25" s="108" t="str">
        <f t="shared" si="26"/>
        <v/>
      </c>
      <c r="BV25" s="108" t="str">
        <f t="shared" si="26"/>
        <v/>
      </c>
      <c r="BW25" s="108" t="str">
        <f t="shared" si="26"/>
        <v/>
      </c>
      <c r="BX25" s="108" t="str">
        <f t="shared" si="26"/>
        <v/>
      </c>
      <c r="BY25" s="108" t="str">
        <f t="shared" si="26"/>
        <v/>
      </c>
      <c r="BZ25" s="108" t="str">
        <f t="shared" si="26"/>
        <v/>
      </c>
      <c r="CA25" s="108" t="str">
        <f t="shared" si="26"/>
        <v/>
      </c>
      <c r="CB25" s="108" t="str">
        <f t="shared" si="26"/>
        <v/>
      </c>
      <c r="CC25" s="108" t="str">
        <f t="shared" si="27"/>
        <v/>
      </c>
      <c r="CD25" s="108" t="str">
        <f t="shared" si="27"/>
        <v/>
      </c>
      <c r="CE25" s="108" t="str">
        <f t="shared" si="27"/>
        <v/>
      </c>
      <c r="CF25" s="108" t="str">
        <f t="shared" si="27"/>
        <v/>
      </c>
      <c r="CG25" s="108" t="str">
        <f t="shared" si="27"/>
        <v/>
      </c>
      <c r="CH25" s="108" t="str">
        <f t="shared" si="27"/>
        <v/>
      </c>
      <c r="CI25" s="108" t="str">
        <f t="shared" si="27"/>
        <v/>
      </c>
      <c r="CJ25" s="108" t="str">
        <f t="shared" si="27"/>
        <v/>
      </c>
      <c r="CK25" s="108" t="str">
        <f t="shared" si="27"/>
        <v/>
      </c>
      <c r="CL25" s="108" t="str">
        <f t="shared" si="27"/>
        <v/>
      </c>
      <c r="CM25" s="108" t="str">
        <f t="shared" si="28"/>
        <v/>
      </c>
      <c r="CN25" s="108" t="str">
        <f t="shared" si="28"/>
        <v/>
      </c>
      <c r="CO25" s="108" t="str">
        <f t="shared" si="28"/>
        <v/>
      </c>
      <c r="CP25" s="108" t="str">
        <f t="shared" si="28"/>
        <v/>
      </c>
      <c r="CQ25" s="108" t="str">
        <f t="shared" si="28"/>
        <v/>
      </c>
      <c r="CR25" s="109" t="str">
        <f t="shared" si="28"/>
        <v/>
      </c>
      <c r="CS25" s="108" t="str">
        <f t="shared" si="28"/>
        <v/>
      </c>
      <c r="CT25" s="108" t="str">
        <f t="shared" si="28"/>
        <v/>
      </c>
      <c r="CU25" s="108" t="str">
        <f t="shared" si="28"/>
        <v/>
      </c>
      <c r="CV25" s="108" t="str">
        <f t="shared" si="28"/>
        <v/>
      </c>
      <c r="CW25" s="108" t="str">
        <f t="shared" si="29"/>
        <v/>
      </c>
      <c r="CX25" s="108" t="str">
        <f t="shared" si="29"/>
        <v/>
      </c>
      <c r="CY25" s="108" t="str">
        <f t="shared" si="29"/>
        <v/>
      </c>
      <c r="CZ25" s="109" t="str">
        <f t="shared" si="29"/>
        <v/>
      </c>
      <c r="DA25" s="108" t="str">
        <f t="shared" si="29"/>
        <v/>
      </c>
      <c r="DB25" s="108" t="str">
        <f t="shared" si="29"/>
        <v/>
      </c>
      <c r="DC25" s="108" t="str">
        <f t="shared" si="29"/>
        <v/>
      </c>
      <c r="DD25" s="108" t="str">
        <f t="shared" si="29"/>
        <v/>
      </c>
      <c r="DE25" s="108" t="str">
        <f t="shared" si="29"/>
        <v/>
      </c>
      <c r="DF25" s="108" t="str">
        <f t="shared" si="29"/>
        <v/>
      </c>
      <c r="DG25" s="108" t="str">
        <f t="shared" si="30"/>
        <v/>
      </c>
      <c r="DH25" s="109" t="str">
        <f t="shared" si="30"/>
        <v/>
      </c>
      <c r="DI25" s="108" t="str">
        <f t="shared" si="30"/>
        <v/>
      </c>
      <c r="DJ25" s="108" t="str">
        <f t="shared" si="30"/>
        <v/>
      </c>
      <c r="DK25" s="108" t="str">
        <f t="shared" si="30"/>
        <v/>
      </c>
      <c r="DL25" s="108" t="str">
        <f t="shared" si="30"/>
        <v/>
      </c>
      <c r="DM25" s="108" t="str">
        <f t="shared" si="30"/>
        <v/>
      </c>
      <c r="DN25" s="108" t="str">
        <f t="shared" si="30"/>
        <v/>
      </c>
      <c r="DO25" s="109" t="str">
        <f t="shared" si="30"/>
        <v/>
      </c>
      <c r="DP25" s="108" t="str">
        <f t="shared" si="30"/>
        <v/>
      </c>
      <c r="DQ25" s="108" t="str">
        <f t="shared" si="31"/>
        <v/>
      </c>
      <c r="DR25" s="108" t="str">
        <f t="shared" si="31"/>
        <v/>
      </c>
      <c r="DS25" s="108" t="str">
        <f t="shared" si="31"/>
        <v/>
      </c>
      <c r="DT25" s="108" t="str">
        <f t="shared" si="31"/>
        <v/>
      </c>
      <c r="DU25" s="108" t="str">
        <f t="shared" si="31"/>
        <v/>
      </c>
      <c r="DV25" s="108" t="str">
        <f t="shared" si="31"/>
        <v/>
      </c>
      <c r="DW25" s="109" t="str">
        <f t="shared" si="31"/>
        <v/>
      </c>
      <c r="DX25" s="108" t="str">
        <f t="shared" si="31"/>
        <v/>
      </c>
      <c r="DY25" s="108" t="str">
        <f t="shared" si="31"/>
        <v/>
      </c>
      <c r="DZ25" s="108" t="str">
        <f t="shared" si="31"/>
        <v/>
      </c>
      <c r="EA25" s="108" t="str">
        <f t="shared" si="32"/>
        <v/>
      </c>
      <c r="EB25" s="108" t="str">
        <f t="shared" si="32"/>
        <v/>
      </c>
      <c r="EC25" s="108" t="str">
        <f t="shared" si="32"/>
        <v/>
      </c>
      <c r="ED25" s="109" t="str">
        <f t="shared" si="32"/>
        <v/>
      </c>
      <c r="EE25" s="108" t="str">
        <f t="shared" si="32"/>
        <v/>
      </c>
      <c r="EF25" s="108" t="str">
        <f t="shared" si="32"/>
        <v/>
      </c>
      <c r="EG25" s="108" t="str">
        <f t="shared" si="32"/>
        <v/>
      </c>
      <c r="EH25" s="108" t="str">
        <f t="shared" si="32"/>
        <v/>
      </c>
      <c r="EI25" s="108" t="str">
        <f t="shared" si="32"/>
        <v/>
      </c>
      <c r="EJ25" s="108" t="str">
        <f t="shared" si="32"/>
        <v/>
      </c>
      <c r="EK25" s="108" t="str">
        <f t="shared" si="33"/>
        <v/>
      </c>
      <c r="EL25" s="108" t="str">
        <f t="shared" si="33"/>
        <v/>
      </c>
      <c r="EM25" s="108" t="str">
        <f t="shared" si="33"/>
        <v/>
      </c>
      <c r="EN25" s="108" t="str">
        <f t="shared" si="33"/>
        <v/>
      </c>
      <c r="EO25" s="108" t="str">
        <f t="shared" si="33"/>
        <v/>
      </c>
      <c r="EP25" s="108" t="str">
        <f t="shared" si="33"/>
        <v/>
      </c>
      <c r="EQ25" s="108" t="str">
        <f t="shared" si="33"/>
        <v/>
      </c>
      <c r="ER25" s="108" t="str">
        <f t="shared" si="33"/>
        <v/>
      </c>
      <c r="ES25" s="109" t="str">
        <f t="shared" si="33"/>
        <v/>
      </c>
      <c r="ET25" s="108" t="str">
        <f t="shared" si="33"/>
        <v/>
      </c>
      <c r="EU25" s="108" t="str">
        <f t="shared" si="34"/>
        <v/>
      </c>
      <c r="EV25" s="108" t="str">
        <f t="shared" si="34"/>
        <v/>
      </c>
      <c r="EW25" s="108" t="str">
        <f t="shared" si="34"/>
        <v/>
      </c>
      <c r="EX25" s="108" t="str">
        <f t="shared" si="34"/>
        <v/>
      </c>
      <c r="EY25" s="108" t="str">
        <f t="shared" si="34"/>
        <v/>
      </c>
      <c r="EZ25" s="108" t="str">
        <f t="shared" si="34"/>
        <v/>
      </c>
      <c r="FA25" s="108" t="str">
        <f t="shared" si="34"/>
        <v/>
      </c>
      <c r="FB25" s="108" t="str">
        <f t="shared" si="34"/>
        <v/>
      </c>
      <c r="FC25" s="108" t="str">
        <f t="shared" si="34"/>
        <v/>
      </c>
      <c r="FD25" s="108" t="str">
        <f t="shared" si="34"/>
        <v/>
      </c>
      <c r="FE25" s="108" t="str">
        <f t="shared" si="35"/>
        <v/>
      </c>
      <c r="FF25" s="109" t="str">
        <f t="shared" si="35"/>
        <v/>
      </c>
      <c r="FG25" s="108" t="str">
        <f t="shared" si="35"/>
        <v/>
      </c>
      <c r="FH25" s="108" t="str">
        <f t="shared" si="35"/>
        <v/>
      </c>
      <c r="FI25" s="108" t="str">
        <f t="shared" si="35"/>
        <v/>
      </c>
      <c r="FJ25" s="108" t="str">
        <f t="shared" si="35"/>
        <v/>
      </c>
      <c r="FK25" s="108" t="str">
        <f t="shared" si="35"/>
        <v/>
      </c>
      <c r="FL25" s="108" t="str">
        <f t="shared" si="35"/>
        <v/>
      </c>
      <c r="FM25" s="108" t="str">
        <f t="shared" si="35"/>
        <v/>
      </c>
      <c r="FN25" s="108" t="str">
        <f t="shared" si="35"/>
        <v/>
      </c>
      <c r="FO25" s="108" t="str">
        <f t="shared" si="36"/>
        <v/>
      </c>
      <c r="FP25" s="108" t="str">
        <f t="shared" si="36"/>
        <v/>
      </c>
      <c r="FQ25" s="108" t="str">
        <f t="shared" si="36"/>
        <v/>
      </c>
      <c r="FR25" s="108" t="str">
        <f t="shared" si="36"/>
        <v/>
      </c>
      <c r="FS25" s="108" t="str">
        <f t="shared" si="36"/>
        <v/>
      </c>
      <c r="FT25" s="108" t="str">
        <f t="shared" si="36"/>
        <v/>
      </c>
      <c r="FU25" s="108" t="str">
        <f t="shared" si="36"/>
        <v/>
      </c>
      <c r="FV25" s="108" t="str">
        <f t="shared" si="36"/>
        <v/>
      </c>
      <c r="FW25" s="110" t="str">
        <f t="shared" si="36"/>
        <v/>
      </c>
    </row>
    <row r="26" spans="2:179" s="101" customFormat="1" ht="21" customHeight="1" x14ac:dyDescent="0.35">
      <c r="B26" s="27" t="e">
        <f>Portfolio_Daten!#REF!</f>
        <v>#REF!</v>
      </c>
      <c r="C26" s="27">
        <f>Portfolio_Daten!B25</f>
        <v>0</v>
      </c>
      <c r="D26" s="28">
        <f>Portfolio_Daten!E25</f>
        <v>0</v>
      </c>
      <c r="E26" s="31">
        <f>Portfolio_Daten!T25</f>
        <v>0</v>
      </c>
      <c r="F26" s="31">
        <f>Portfolio_Daten!U25</f>
        <v>0</v>
      </c>
      <c r="G26" s="107">
        <f>IF(F26="","",NETWORKDAYS(E26,F26,Parameter!$C$4:$C$51))</f>
        <v>0</v>
      </c>
      <c r="H26" s="29">
        <f>Portfolio_Daten!AG25</f>
        <v>0</v>
      </c>
      <c r="I26" s="33">
        <f>Portfolio_Daten!AI25</f>
        <v>0</v>
      </c>
      <c r="J26" s="106"/>
      <c r="K26" s="108" t="str">
        <f t="shared" si="20"/>
        <v/>
      </c>
      <c r="L26" s="108" t="str">
        <f t="shared" si="20"/>
        <v/>
      </c>
      <c r="M26" s="108" t="str">
        <f t="shared" si="20"/>
        <v/>
      </c>
      <c r="N26" s="108" t="str">
        <f t="shared" si="20"/>
        <v/>
      </c>
      <c r="O26" s="108" t="str">
        <f t="shared" si="20"/>
        <v/>
      </c>
      <c r="P26" s="108" t="str">
        <f t="shared" si="20"/>
        <v/>
      </c>
      <c r="Q26" s="108" t="str">
        <f t="shared" si="20"/>
        <v/>
      </c>
      <c r="R26" s="108" t="str">
        <f t="shared" si="20"/>
        <v/>
      </c>
      <c r="S26" s="108" t="str">
        <f t="shared" si="20"/>
        <v/>
      </c>
      <c r="T26" s="108" t="str">
        <f t="shared" si="20"/>
        <v/>
      </c>
      <c r="U26" s="108" t="str">
        <f t="shared" si="21"/>
        <v/>
      </c>
      <c r="V26" s="108" t="str">
        <f t="shared" si="21"/>
        <v/>
      </c>
      <c r="W26" s="108" t="str">
        <f t="shared" si="21"/>
        <v/>
      </c>
      <c r="X26" s="108" t="str">
        <f t="shared" si="21"/>
        <v/>
      </c>
      <c r="Y26" s="108" t="str">
        <f t="shared" si="21"/>
        <v/>
      </c>
      <c r="Z26" s="108" t="str">
        <f t="shared" si="21"/>
        <v/>
      </c>
      <c r="AA26" s="108" t="str">
        <f t="shared" si="21"/>
        <v/>
      </c>
      <c r="AB26" s="108" t="str">
        <f t="shared" si="21"/>
        <v/>
      </c>
      <c r="AC26" s="108" t="str">
        <f t="shared" si="21"/>
        <v/>
      </c>
      <c r="AD26" s="108" t="str">
        <f t="shared" si="21"/>
        <v/>
      </c>
      <c r="AE26" s="108" t="str">
        <f t="shared" si="22"/>
        <v/>
      </c>
      <c r="AF26" s="108" t="str">
        <f t="shared" si="22"/>
        <v/>
      </c>
      <c r="AG26" s="108" t="str">
        <f t="shared" si="22"/>
        <v/>
      </c>
      <c r="AH26" s="108" t="str">
        <f t="shared" si="22"/>
        <v/>
      </c>
      <c r="AI26" s="108" t="str">
        <f t="shared" si="22"/>
        <v/>
      </c>
      <c r="AJ26" s="108" t="str">
        <f t="shared" si="22"/>
        <v/>
      </c>
      <c r="AK26" s="108" t="str">
        <f t="shared" si="22"/>
        <v/>
      </c>
      <c r="AL26" s="108" t="str">
        <f t="shared" si="22"/>
        <v/>
      </c>
      <c r="AM26" s="108" t="str">
        <f t="shared" si="22"/>
        <v/>
      </c>
      <c r="AN26" s="108" t="str">
        <f t="shared" si="22"/>
        <v/>
      </c>
      <c r="AO26" s="108" t="str">
        <f t="shared" si="23"/>
        <v/>
      </c>
      <c r="AP26" s="108" t="str">
        <f t="shared" si="23"/>
        <v/>
      </c>
      <c r="AQ26" s="108" t="str">
        <f t="shared" si="23"/>
        <v/>
      </c>
      <c r="AR26" s="108" t="str">
        <f t="shared" si="23"/>
        <v/>
      </c>
      <c r="AS26" s="108" t="str">
        <f t="shared" si="23"/>
        <v/>
      </c>
      <c r="AT26" s="108" t="str">
        <f t="shared" si="23"/>
        <v/>
      </c>
      <c r="AU26" s="108" t="str">
        <f t="shared" si="23"/>
        <v/>
      </c>
      <c r="AV26" s="108" t="str">
        <f t="shared" si="23"/>
        <v/>
      </c>
      <c r="AW26" s="108" t="str">
        <f t="shared" si="23"/>
        <v/>
      </c>
      <c r="AX26" s="108" t="str">
        <f t="shared" si="23"/>
        <v/>
      </c>
      <c r="AY26" s="108" t="str">
        <f t="shared" si="24"/>
        <v/>
      </c>
      <c r="AZ26" s="108" t="str">
        <f t="shared" si="24"/>
        <v/>
      </c>
      <c r="BA26" s="108" t="str">
        <f t="shared" si="24"/>
        <v/>
      </c>
      <c r="BB26" s="108" t="str">
        <f t="shared" si="24"/>
        <v/>
      </c>
      <c r="BC26" s="108" t="str">
        <f t="shared" si="24"/>
        <v/>
      </c>
      <c r="BD26" s="108" t="str">
        <f t="shared" si="24"/>
        <v/>
      </c>
      <c r="BE26" s="108" t="str">
        <f t="shared" si="24"/>
        <v/>
      </c>
      <c r="BF26" s="108" t="str">
        <f t="shared" si="24"/>
        <v/>
      </c>
      <c r="BG26" s="108" t="str">
        <f t="shared" si="24"/>
        <v/>
      </c>
      <c r="BH26" s="108" t="str">
        <f t="shared" si="24"/>
        <v/>
      </c>
      <c r="BI26" s="108" t="str">
        <f t="shared" si="25"/>
        <v/>
      </c>
      <c r="BJ26" s="108" t="str">
        <f t="shared" si="25"/>
        <v/>
      </c>
      <c r="BK26" s="108" t="str">
        <f t="shared" si="25"/>
        <v/>
      </c>
      <c r="BL26" s="108" t="str">
        <f t="shared" si="25"/>
        <v/>
      </c>
      <c r="BM26" s="108" t="str">
        <f t="shared" si="25"/>
        <v/>
      </c>
      <c r="BN26" s="108" t="str">
        <f t="shared" si="25"/>
        <v/>
      </c>
      <c r="BO26" s="108" t="str">
        <f t="shared" si="25"/>
        <v/>
      </c>
      <c r="BP26" s="108" t="str">
        <f t="shared" si="25"/>
        <v/>
      </c>
      <c r="BQ26" s="108" t="str">
        <f t="shared" si="25"/>
        <v/>
      </c>
      <c r="BR26" s="108" t="str">
        <f t="shared" si="25"/>
        <v/>
      </c>
      <c r="BS26" s="108" t="str">
        <f t="shared" si="26"/>
        <v/>
      </c>
      <c r="BT26" s="108" t="str">
        <f t="shared" si="26"/>
        <v/>
      </c>
      <c r="BU26" s="108" t="str">
        <f t="shared" si="26"/>
        <v/>
      </c>
      <c r="BV26" s="108" t="str">
        <f t="shared" si="26"/>
        <v/>
      </c>
      <c r="BW26" s="108" t="str">
        <f t="shared" si="26"/>
        <v/>
      </c>
      <c r="BX26" s="108" t="str">
        <f t="shared" si="26"/>
        <v/>
      </c>
      <c r="BY26" s="108" t="str">
        <f t="shared" si="26"/>
        <v/>
      </c>
      <c r="BZ26" s="108" t="str">
        <f t="shared" si="26"/>
        <v/>
      </c>
      <c r="CA26" s="108" t="str">
        <f t="shared" si="26"/>
        <v/>
      </c>
      <c r="CB26" s="108" t="str">
        <f t="shared" si="26"/>
        <v/>
      </c>
      <c r="CC26" s="108" t="str">
        <f t="shared" si="27"/>
        <v/>
      </c>
      <c r="CD26" s="108" t="str">
        <f t="shared" si="27"/>
        <v/>
      </c>
      <c r="CE26" s="108" t="str">
        <f t="shared" si="27"/>
        <v/>
      </c>
      <c r="CF26" s="108" t="str">
        <f t="shared" si="27"/>
        <v/>
      </c>
      <c r="CG26" s="108" t="str">
        <f t="shared" si="27"/>
        <v/>
      </c>
      <c r="CH26" s="108" t="str">
        <f t="shared" si="27"/>
        <v/>
      </c>
      <c r="CI26" s="108" t="str">
        <f t="shared" si="27"/>
        <v/>
      </c>
      <c r="CJ26" s="108" t="str">
        <f t="shared" si="27"/>
        <v/>
      </c>
      <c r="CK26" s="108" t="str">
        <f t="shared" si="27"/>
        <v/>
      </c>
      <c r="CL26" s="108" t="str">
        <f t="shared" si="27"/>
        <v/>
      </c>
      <c r="CM26" s="108" t="str">
        <f t="shared" si="28"/>
        <v/>
      </c>
      <c r="CN26" s="108" t="str">
        <f t="shared" si="28"/>
        <v/>
      </c>
      <c r="CO26" s="108" t="str">
        <f t="shared" si="28"/>
        <v/>
      </c>
      <c r="CP26" s="108" t="str">
        <f t="shared" si="28"/>
        <v/>
      </c>
      <c r="CQ26" s="108" t="str">
        <f t="shared" si="28"/>
        <v/>
      </c>
      <c r="CR26" s="109" t="str">
        <f t="shared" si="28"/>
        <v/>
      </c>
      <c r="CS26" s="108" t="str">
        <f t="shared" si="28"/>
        <v/>
      </c>
      <c r="CT26" s="108" t="str">
        <f t="shared" si="28"/>
        <v/>
      </c>
      <c r="CU26" s="108" t="str">
        <f t="shared" si="28"/>
        <v/>
      </c>
      <c r="CV26" s="108" t="str">
        <f t="shared" si="28"/>
        <v/>
      </c>
      <c r="CW26" s="108" t="str">
        <f t="shared" si="29"/>
        <v/>
      </c>
      <c r="CX26" s="108" t="str">
        <f t="shared" si="29"/>
        <v/>
      </c>
      <c r="CY26" s="108" t="str">
        <f t="shared" si="29"/>
        <v/>
      </c>
      <c r="CZ26" s="109" t="str">
        <f t="shared" si="29"/>
        <v/>
      </c>
      <c r="DA26" s="108" t="str">
        <f t="shared" si="29"/>
        <v/>
      </c>
      <c r="DB26" s="108" t="str">
        <f t="shared" si="29"/>
        <v/>
      </c>
      <c r="DC26" s="108" t="str">
        <f t="shared" si="29"/>
        <v/>
      </c>
      <c r="DD26" s="108" t="str">
        <f t="shared" si="29"/>
        <v/>
      </c>
      <c r="DE26" s="108" t="str">
        <f t="shared" si="29"/>
        <v/>
      </c>
      <c r="DF26" s="108" t="str">
        <f t="shared" si="29"/>
        <v/>
      </c>
      <c r="DG26" s="108" t="str">
        <f t="shared" si="30"/>
        <v/>
      </c>
      <c r="DH26" s="109" t="str">
        <f t="shared" si="30"/>
        <v/>
      </c>
      <c r="DI26" s="108" t="str">
        <f t="shared" si="30"/>
        <v/>
      </c>
      <c r="DJ26" s="108" t="str">
        <f t="shared" si="30"/>
        <v/>
      </c>
      <c r="DK26" s="108" t="str">
        <f t="shared" si="30"/>
        <v/>
      </c>
      <c r="DL26" s="108" t="str">
        <f t="shared" si="30"/>
        <v/>
      </c>
      <c r="DM26" s="108" t="str">
        <f t="shared" si="30"/>
        <v/>
      </c>
      <c r="DN26" s="108" t="str">
        <f t="shared" si="30"/>
        <v/>
      </c>
      <c r="DO26" s="109" t="str">
        <f t="shared" si="30"/>
        <v/>
      </c>
      <c r="DP26" s="108" t="str">
        <f t="shared" si="30"/>
        <v/>
      </c>
      <c r="DQ26" s="108" t="str">
        <f t="shared" si="31"/>
        <v/>
      </c>
      <c r="DR26" s="108" t="str">
        <f t="shared" si="31"/>
        <v/>
      </c>
      <c r="DS26" s="108" t="str">
        <f t="shared" si="31"/>
        <v/>
      </c>
      <c r="DT26" s="108" t="str">
        <f t="shared" si="31"/>
        <v/>
      </c>
      <c r="DU26" s="108" t="str">
        <f t="shared" si="31"/>
        <v/>
      </c>
      <c r="DV26" s="108" t="str">
        <f t="shared" si="31"/>
        <v/>
      </c>
      <c r="DW26" s="109" t="str">
        <f t="shared" si="31"/>
        <v/>
      </c>
      <c r="DX26" s="108" t="str">
        <f t="shared" si="31"/>
        <v/>
      </c>
      <c r="DY26" s="108" t="str">
        <f t="shared" si="31"/>
        <v/>
      </c>
      <c r="DZ26" s="108" t="str">
        <f t="shared" si="31"/>
        <v/>
      </c>
      <c r="EA26" s="108" t="str">
        <f t="shared" si="32"/>
        <v/>
      </c>
      <c r="EB26" s="108" t="str">
        <f t="shared" si="32"/>
        <v/>
      </c>
      <c r="EC26" s="108" t="str">
        <f t="shared" si="32"/>
        <v/>
      </c>
      <c r="ED26" s="109" t="str">
        <f t="shared" si="32"/>
        <v/>
      </c>
      <c r="EE26" s="108" t="str">
        <f t="shared" si="32"/>
        <v/>
      </c>
      <c r="EF26" s="108" t="str">
        <f t="shared" si="32"/>
        <v/>
      </c>
      <c r="EG26" s="108" t="str">
        <f t="shared" si="32"/>
        <v/>
      </c>
      <c r="EH26" s="108" t="str">
        <f t="shared" si="32"/>
        <v/>
      </c>
      <c r="EI26" s="108" t="str">
        <f t="shared" si="32"/>
        <v/>
      </c>
      <c r="EJ26" s="108" t="str">
        <f t="shared" si="32"/>
        <v/>
      </c>
      <c r="EK26" s="108" t="str">
        <f t="shared" si="33"/>
        <v/>
      </c>
      <c r="EL26" s="108" t="str">
        <f t="shared" si="33"/>
        <v/>
      </c>
      <c r="EM26" s="108" t="str">
        <f t="shared" si="33"/>
        <v/>
      </c>
      <c r="EN26" s="108" t="str">
        <f t="shared" si="33"/>
        <v/>
      </c>
      <c r="EO26" s="108" t="str">
        <f t="shared" si="33"/>
        <v/>
      </c>
      <c r="EP26" s="108" t="str">
        <f t="shared" si="33"/>
        <v/>
      </c>
      <c r="EQ26" s="108" t="str">
        <f t="shared" si="33"/>
        <v/>
      </c>
      <c r="ER26" s="108" t="str">
        <f t="shared" si="33"/>
        <v/>
      </c>
      <c r="ES26" s="109" t="str">
        <f t="shared" si="33"/>
        <v/>
      </c>
      <c r="ET26" s="108" t="str">
        <f t="shared" si="33"/>
        <v/>
      </c>
      <c r="EU26" s="108" t="str">
        <f t="shared" si="34"/>
        <v/>
      </c>
      <c r="EV26" s="108" t="str">
        <f t="shared" si="34"/>
        <v/>
      </c>
      <c r="EW26" s="108" t="str">
        <f t="shared" si="34"/>
        <v/>
      </c>
      <c r="EX26" s="108" t="str">
        <f t="shared" si="34"/>
        <v/>
      </c>
      <c r="EY26" s="108" t="str">
        <f t="shared" si="34"/>
        <v/>
      </c>
      <c r="EZ26" s="108" t="str">
        <f t="shared" si="34"/>
        <v/>
      </c>
      <c r="FA26" s="108" t="str">
        <f t="shared" si="34"/>
        <v/>
      </c>
      <c r="FB26" s="108" t="str">
        <f t="shared" si="34"/>
        <v/>
      </c>
      <c r="FC26" s="108" t="str">
        <f t="shared" si="34"/>
        <v/>
      </c>
      <c r="FD26" s="108" t="str">
        <f t="shared" si="34"/>
        <v/>
      </c>
      <c r="FE26" s="108" t="str">
        <f t="shared" si="35"/>
        <v/>
      </c>
      <c r="FF26" s="109" t="str">
        <f t="shared" si="35"/>
        <v/>
      </c>
      <c r="FG26" s="108" t="str">
        <f t="shared" si="35"/>
        <v/>
      </c>
      <c r="FH26" s="108" t="str">
        <f t="shared" si="35"/>
        <v/>
      </c>
      <c r="FI26" s="108" t="str">
        <f t="shared" si="35"/>
        <v/>
      </c>
      <c r="FJ26" s="108" t="str">
        <f t="shared" si="35"/>
        <v/>
      </c>
      <c r="FK26" s="108" t="str">
        <f t="shared" si="35"/>
        <v/>
      </c>
      <c r="FL26" s="108" t="str">
        <f t="shared" si="35"/>
        <v/>
      </c>
      <c r="FM26" s="108" t="str">
        <f t="shared" si="35"/>
        <v/>
      </c>
      <c r="FN26" s="108" t="str">
        <f t="shared" si="35"/>
        <v/>
      </c>
      <c r="FO26" s="108" t="str">
        <f t="shared" si="36"/>
        <v/>
      </c>
      <c r="FP26" s="108" t="str">
        <f t="shared" si="36"/>
        <v/>
      </c>
      <c r="FQ26" s="108" t="str">
        <f t="shared" si="36"/>
        <v/>
      </c>
      <c r="FR26" s="108" t="str">
        <f t="shared" si="36"/>
        <v/>
      </c>
      <c r="FS26" s="108" t="str">
        <f t="shared" si="36"/>
        <v/>
      </c>
      <c r="FT26" s="108" t="str">
        <f t="shared" si="36"/>
        <v/>
      </c>
      <c r="FU26" s="108" t="str">
        <f t="shared" si="36"/>
        <v/>
      </c>
      <c r="FV26" s="108" t="str">
        <f t="shared" si="36"/>
        <v/>
      </c>
      <c r="FW26" s="110" t="str">
        <f t="shared" si="36"/>
        <v/>
      </c>
    </row>
    <row r="27" spans="2:179" s="101" customFormat="1" ht="21" customHeight="1" x14ac:dyDescent="0.35">
      <c r="B27" s="27" t="e">
        <f>Portfolio_Daten!#REF!</f>
        <v>#REF!</v>
      </c>
      <c r="C27" s="27">
        <f>Portfolio_Daten!B26</f>
        <v>0</v>
      </c>
      <c r="D27" s="28">
        <f>Portfolio_Daten!E26</f>
        <v>0</v>
      </c>
      <c r="E27" s="31">
        <f>Portfolio_Daten!T26</f>
        <v>0</v>
      </c>
      <c r="F27" s="31">
        <f>Portfolio_Daten!U26</f>
        <v>0</v>
      </c>
      <c r="G27" s="107">
        <f>IF(F27="","",NETWORKDAYS(E27,F27,Parameter!$C$4:$C$51))</f>
        <v>0</v>
      </c>
      <c r="H27" s="29">
        <f>Portfolio_Daten!AG26</f>
        <v>0</v>
      </c>
      <c r="I27" s="33">
        <f>Portfolio_Daten!AI26</f>
        <v>0</v>
      </c>
      <c r="J27" s="106"/>
      <c r="K27" s="108" t="str">
        <f t="shared" ref="K27:T36" si="37">IF(K$5=($F27-WEEKDAY($F27,2)+1),"u","")</f>
        <v/>
      </c>
      <c r="L27" s="108" t="str">
        <f t="shared" si="37"/>
        <v/>
      </c>
      <c r="M27" s="108" t="str">
        <f t="shared" si="37"/>
        <v/>
      </c>
      <c r="N27" s="108" t="str">
        <f t="shared" si="37"/>
        <v/>
      </c>
      <c r="O27" s="108" t="str">
        <f t="shared" si="37"/>
        <v/>
      </c>
      <c r="P27" s="108" t="str">
        <f t="shared" si="37"/>
        <v/>
      </c>
      <c r="Q27" s="108" t="str">
        <f t="shared" si="37"/>
        <v/>
      </c>
      <c r="R27" s="108" t="str">
        <f t="shared" si="37"/>
        <v/>
      </c>
      <c r="S27" s="108" t="str">
        <f t="shared" si="37"/>
        <v/>
      </c>
      <c r="T27" s="108" t="str">
        <f t="shared" si="37"/>
        <v/>
      </c>
      <c r="U27" s="108" t="str">
        <f t="shared" ref="U27:AD36" si="38">IF(U$5=($F27-WEEKDAY($F27,2)+1),"u","")</f>
        <v/>
      </c>
      <c r="V27" s="108" t="str">
        <f t="shared" si="38"/>
        <v/>
      </c>
      <c r="W27" s="108" t="str">
        <f t="shared" si="38"/>
        <v/>
      </c>
      <c r="X27" s="108" t="str">
        <f t="shared" si="38"/>
        <v/>
      </c>
      <c r="Y27" s="108" t="str">
        <f t="shared" si="38"/>
        <v/>
      </c>
      <c r="Z27" s="108" t="str">
        <f t="shared" si="38"/>
        <v/>
      </c>
      <c r="AA27" s="108" t="str">
        <f t="shared" si="38"/>
        <v/>
      </c>
      <c r="AB27" s="108" t="str">
        <f t="shared" si="38"/>
        <v/>
      </c>
      <c r="AC27" s="108" t="str">
        <f t="shared" si="38"/>
        <v/>
      </c>
      <c r="AD27" s="108" t="str">
        <f t="shared" si="38"/>
        <v/>
      </c>
      <c r="AE27" s="108" t="str">
        <f t="shared" ref="AE27:AN36" si="39">IF(AE$5=($F27-WEEKDAY($F27,2)+1),"u","")</f>
        <v/>
      </c>
      <c r="AF27" s="108" t="str">
        <f t="shared" si="39"/>
        <v/>
      </c>
      <c r="AG27" s="108" t="str">
        <f t="shared" si="39"/>
        <v/>
      </c>
      <c r="AH27" s="108" t="str">
        <f t="shared" si="39"/>
        <v/>
      </c>
      <c r="AI27" s="108" t="str">
        <f t="shared" si="39"/>
        <v/>
      </c>
      <c r="AJ27" s="108" t="str">
        <f t="shared" si="39"/>
        <v/>
      </c>
      <c r="AK27" s="108" t="str">
        <f t="shared" si="39"/>
        <v/>
      </c>
      <c r="AL27" s="108" t="str">
        <f t="shared" si="39"/>
        <v/>
      </c>
      <c r="AM27" s="108" t="str">
        <f t="shared" si="39"/>
        <v/>
      </c>
      <c r="AN27" s="108" t="str">
        <f t="shared" si="39"/>
        <v/>
      </c>
      <c r="AO27" s="108" t="str">
        <f t="shared" ref="AO27:AX36" si="40">IF(AO$5=($F27-WEEKDAY($F27,2)+1),"u","")</f>
        <v/>
      </c>
      <c r="AP27" s="108" t="str">
        <f t="shared" si="40"/>
        <v/>
      </c>
      <c r="AQ27" s="108" t="str">
        <f t="shared" si="40"/>
        <v/>
      </c>
      <c r="AR27" s="108" t="str">
        <f t="shared" si="40"/>
        <v/>
      </c>
      <c r="AS27" s="108" t="str">
        <f t="shared" si="40"/>
        <v/>
      </c>
      <c r="AT27" s="108" t="str">
        <f t="shared" si="40"/>
        <v/>
      </c>
      <c r="AU27" s="108" t="str">
        <f t="shared" si="40"/>
        <v/>
      </c>
      <c r="AV27" s="108" t="str">
        <f t="shared" si="40"/>
        <v/>
      </c>
      <c r="AW27" s="108" t="str">
        <f t="shared" si="40"/>
        <v/>
      </c>
      <c r="AX27" s="108" t="str">
        <f t="shared" si="40"/>
        <v/>
      </c>
      <c r="AY27" s="108" t="str">
        <f t="shared" ref="AY27:BH36" si="41">IF(AY$5=($F27-WEEKDAY($F27,2)+1),"u","")</f>
        <v/>
      </c>
      <c r="AZ27" s="108" t="str">
        <f t="shared" si="41"/>
        <v/>
      </c>
      <c r="BA27" s="108" t="str">
        <f t="shared" si="41"/>
        <v/>
      </c>
      <c r="BB27" s="108" t="str">
        <f t="shared" si="41"/>
        <v/>
      </c>
      <c r="BC27" s="108" t="str">
        <f t="shared" si="41"/>
        <v/>
      </c>
      <c r="BD27" s="108" t="str">
        <f t="shared" si="41"/>
        <v/>
      </c>
      <c r="BE27" s="108" t="str">
        <f t="shared" si="41"/>
        <v/>
      </c>
      <c r="BF27" s="108" t="str">
        <f t="shared" si="41"/>
        <v/>
      </c>
      <c r="BG27" s="108" t="str">
        <f t="shared" si="41"/>
        <v/>
      </c>
      <c r="BH27" s="108" t="str">
        <f t="shared" si="41"/>
        <v/>
      </c>
      <c r="BI27" s="108" t="str">
        <f t="shared" ref="BI27:BR36" si="42">IF(BI$5=($F27-WEEKDAY($F27,2)+1),"u","")</f>
        <v/>
      </c>
      <c r="BJ27" s="108" t="str">
        <f t="shared" si="42"/>
        <v/>
      </c>
      <c r="BK27" s="108" t="str">
        <f t="shared" si="42"/>
        <v/>
      </c>
      <c r="BL27" s="108" t="str">
        <f t="shared" si="42"/>
        <v/>
      </c>
      <c r="BM27" s="108" t="str">
        <f t="shared" si="42"/>
        <v/>
      </c>
      <c r="BN27" s="108" t="str">
        <f t="shared" si="42"/>
        <v/>
      </c>
      <c r="BO27" s="108" t="str">
        <f t="shared" si="42"/>
        <v/>
      </c>
      <c r="BP27" s="108" t="str">
        <f t="shared" si="42"/>
        <v/>
      </c>
      <c r="BQ27" s="108" t="str">
        <f t="shared" si="42"/>
        <v/>
      </c>
      <c r="BR27" s="108" t="str">
        <f t="shared" si="42"/>
        <v/>
      </c>
      <c r="BS27" s="108" t="str">
        <f t="shared" ref="BS27:CB36" si="43">IF(BS$5=($F27-WEEKDAY($F27,2)+1),"u","")</f>
        <v/>
      </c>
      <c r="BT27" s="108" t="str">
        <f t="shared" si="43"/>
        <v/>
      </c>
      <c r="BU27" s="108" t="str">
        <f t="shared" si="43"/>
        <v/>
      </c>
      <c r="BV27" s="108" t="str">
        <f t="shared" si="43"/>
        <v/>
      </c>
      <c r="BW27" s="108" t="str">
        <f t="shared" si="43"/>
        <v/>
      </c>
      <c r="BX27" s="108" t="str">
        <f t="shared" si="43"/>
        <v/>
      </c>
      <c r="BY27" s="108" t="str">
        <f t="shared" si="43"/>
        <v/>
      </c>
      <c r="BZ27" s="108" t="str">
        <f t="shared" si="43"/>
        <v/>
      </c>
      <c r="CA27" s="108" t="str">
        <f t="shared" si="43"/>
        <v/>
      </c>
      <c r="CB27" s="108" t="str">
        <f t="shared" si="43"/>
        <v/>
      </c>
      <c r="CC27" s="108" t="str">
        <f t="shared" ref="CC27:CL36" si="44">IF(CC$5=($F27-WEEKDAY($F27,2)+1),"u","")</f>
        <v/>
      </c>
      <c r="CD27" s="108" t="str">
        <f t="shared" si="44"/>
        <v/>
      </c>
      <c r="CE27" s="108" t="str">
        <f t="shared" si="44"/>
        <v/>
      </c>
      <c r="CF27" s="108" t="str">
        <f t="shared" si="44"/>
        <v/>
      </c>
      <c r="CG27" s="108" t="str">
        <f t="shared" si="44"/>
        <v/>
      </c>
      <c r="CH27" s="108" t="str">
        <f t="shared" si="44"/>
        <v/>
      </c>
      <c r="CI27" s="108" t="str">
        <f t="shared" si="44"/>
        <v/>
      </c>
      <c r="CJ27" s="108" t="str">
        <f t="shared" si="44"/>
        <v/>
      </c>
      <c r="CK27" s="108" t="str">
        <f t="shared" si="44"/>
        <v/>
      </c>
      <c r="CL27" s="108" t="str">
        <f t="shared" si="44"/>
        <v/>
      </c>
      <c r="CM27" s="108" t="str">
        <f t="shared" ref="CM27:CV36" si="45">IF(CM$5=($F27-WEEKDAY($F27,2)+1),"u","")</f>
        <v/>
      </c>
      <c r="CN27" s="108" t="str">
        <f t="shared" si="45"/>
        <v/>
      </c>
      <c r="CO27" s="108" t="str">
        <f t="shared" si="45"/>
        <v/>
      </c>
      <c r="CP27" s="108" t="str">
        <f t="shared" si="45"/>
        <v/>
      </c>
      <c r="CQ27" s="108" t="str">
        <f t="shared" si="45"/>
        <v/>
      </c>
      <c r="CR27" s="109" t="str">
        <f t="shared" si="45"/>
        <v/>
      </c>
      <c r="CS27" s="108" t="str">
        <f t="shared" si="45"/>
        <v/>
      </c>
      <c r="CT27" s="108" t="str">
        <f t="shared" si="45"/>
        <v/>
      </c>
      <c r="CU27" s="108" t="str">
        <f t="shared" si="45"/>
        <v/>
      </c>
      <c r="CV27" s="108" t="str">
        <f t="shared" si="45"/>
        <v/>
      </c>
      <c r="CW27" s="108" t="str">
        <f t="shared" ref="CW27:DF36" si="46">IF(CW$5=($F27-WEEKDAY($F27,2)+1),"u","")</f>
        <v/>
      </c>
      <c r="CX27" s="108" t="str">
        <f t="shared" si="46"/>
        <v/>
      </c>
      <c r="CY27" s="108" t="str">
        <f t="shared" si="46"/>
        <v/>
      </c>
      <c r="CZ27" s="109" t="str">
        <f t="shared" si="46"/>
        <v/>
      </c>
      <c r="DA27" s="108" t="str">
        <f t="shared" si="46"/>
        <v/>
      </c>
      <c r="DB27" s="108" t="str">
        <f t="shared" si="46"/>
        <v/>
      </c>
      <c r="DC27" s="108" t="str">
        <f t="shared" si="46"/>
        <v/>
      </c>
      <c r="DD27" s="108" t="str">
        <f t="shared" si="46"/>
        <v/>
      </c>
      <c r="DE27" s="108" t="str">
        <f t="shared" si="46"/>
        <v/>
      </c>
      <c r="DF27" s="108" t="str">
        <f t="shared" si="46"/>
        <v/>
      </c>
      <c r="DG27" s="108" t="str">
        <f t="shared" ref="DG27:DP36" si="47">IF(DG$5=($F27-WEEKDAY($F27,2)+1),"u","")</f>
        <v/>
      </c>
      <c r="DH27" s="109" t="str">
        <f t="shared" si="47"/>
        <v/>
      </c>
      <c r="DI27" s="108" t="str">
        <f t="shared" si="47"/>
        <v/>
      </c>
      <c r="DJ27" s="108" t="str">
        <f t="shared" si="47"/>
        <v/>
      </c>
      <c r="DK27" s="108" t="str">
        <f t="shared" si="47"/>
        <v/>
      </c>
      <c r="DL27" s="108" t="str">
        <f t="shared" si="47"/>
        <v/>
      </c>
      <c r="DM27" s="108" t="str">
        <f t="shared" si="47"/>
        <v/>
      </c>
      <c r="DN27" s="108" t="str">
        <f t="shared" si="47"/>
        <v/>
      </c>
      <c r="DO27" s="109" t="str">
        <f t="shared" si="47"/>
        <v/>
      </c>
      <c r="DP27" s="108" t="str">
        <f t="shared" si="47"/>
        <v/>
      </c>
      <c r="DQ27" s="108" t="str">
        <f t="shared" ref="DQ27:DZ36" si="48">IF(DQ$5=($F27-WEEKDAY($F27,2)+1),"u","")</f>
        <v/>
      </c>
      <c r="DR27" s="108" t="str">
        <f t="shared" si="48"/>
        <v/>
      </c>
      <c r="DS27" s="108" t="str">
        <f t="shared" si="48"/>
        <v/>
      </c>
      <c r="DT27" s="108" t="str">
        <f t="shared" si="48"/>
        <v/>
      </c>
      <c r="DU27" s="108" t="str">
        <f t="shared" si="48"/>
        <v/>
      </c>
      <c r="DV27" s="108" t="str">
        <f t="shared" si="48"/>
        <v/>
      </c>
      <c r="DW27" s="109" t="str">
        <f t="shared" si="48"/>
        <v/>
      </c>
      <c r="DX27" s="108" t="str">
        <f t="shared" si="48"/>
        <v/>
      </c>
      <c r="DY27" s="108" t="str">
        <f t="shared" si="48"/>
        <v/>
      </c>
      <c r="DZ27" s="108" t="str">
        <f t="shared" si="48"/>
        <v/>
      </c>
      <c r="EA27" s="108" t="str">
        <f t="shared" ref="EA27:EJ36" si="49">IF(EA$5=($F27-WEEKDAY($F27,2)+1),"u","")</f>
        <v/>
      </c>
      <c r="EB27" s="108" t="str">
        <f t="shared" si="49"/>
        <v/>
      </c>
      <c r="EC27" s="108" t="str">
        <f t="shared" si="49"/>
        <v/>
      </c>
      <c r="ED27" s="109" t="str">
        <f t="shared" si="49"/>
        <v/>
      </c>
      <c r="EE27" s="108" t="str">
        <f t="shared" si="49"/>
        <v/>
      </c>
      <c r="EF27" s="108" t="str">
        <f t="shared" si="49"/>
        <v/>
      </c>
      <c r="EG27" s="108" t="str">
        <f t="shared" si="49"/>
        <v/>
      </c>
      <c r="EH27" s="108" t="str">
        <f t="shared" si="49"/>
        <v/>
      </c>
      <c r="EI27" s="108" t="str">
        <f t="shared" si="49"/>
        <v/>
      </c>
      <c r="EJ27" s="108" t="str">
        <f t="shared" si="49"/>
        <v/>
      </c>
      <c r="EK27" s="108" t="str">
        <f t="shared" ref="EK27:ET36" si="50">IF(EK$5=($F27-WEEKDAY($F27,2)+1),"u","")</f>
        <v/>
      </c>
      <c r="EL27" s="108" t="str">
        <f t="shared" si="50"/>
        <v/>
      </c>
      <c r="EM27" s="108" t="str">
        <f t="shared" si="50"/>
        <v/>
      </c>
      <c r="EN27" s="108" t="str">
        <f t="shared" si="50"/>
        <v/>
      </c>
      <c r="EO27" s="108" t="str">
        <f t="shared" si="50"/>
        <v/>
      </c>
      <c r="EP27" s="108" t="str">
        <f t="shared" si="50"/>
        <v/>
      </c>
      <c r="EQ27" s="108" t="str">
        <f t="shared" si="50"/>
        <v/>
      </c>
      <c r="ER27" s="108" t="str">
        <f t="shared" si="50"/>
        <v/>
      </c>
      <c r="ES27" s="109" t="str">
        <f t="shared" si="50"/>
        <v/>
      </c>
      <c r="ET27" s="108" t="str">
        <f t="shared" si="50"/>
        <v/>
      </c>
      <c r="EU27" s="108" t="str">
        <f t="shared" ref="EU27:FD36" si="51">IF(EU$5=($F27-WEEKDAY($F27,2)+1),"u","")</f>
        <v/>
      </c>
      <c r="EV27" s="108" t="str">
        <f t="shared" si="51"/>
        <v/>
      </c>
      <c r="EW27" s="108" t="str">
        <f t="shared" si="51"/>
        <v/>
      </c>
      <c r="EX27" s="108" t="str">
        <f t="shared" si="51"/>
        <v/>
      </c>
      <c r="EY27" s="108" t="str">
        <f t="shared" si="51"/>
        <v/>
      </c>
      <c r="EZ27" s="108" t="str">
        <f t="shared" si="51"/>
        <v/>
      </c>
      <c r="FA27" s="108" t="str">
        <f t="shared" si="51"/>
        <v/>
      </c>
      <c r="FB27" s="108" t="str">
        <f t="shared" si="51"/>
        <v/>
      </c>
      <c r="FC27" s="108" t="str">
        <f t="shared" si="51"/>
        <v/>
      </c>
      <c r="FD27" s="108" t="str">
        <f t="shared" si="51"/>
        <v/>
      </c>
      <c r="FE27" s="108" t="str">
        <f t="shared" ref="FE27:FN36" si="52">IF(FE$5=($F27-WEEKDAY($F27,2)+1),"u","")</f>
        <v/>
      </c>
      <c r="FF27" s="109" t="str">
        <f t="shared" si="52"/>
        <v/>
      </c>
      <c r="FG27" s="108" t="str">
        <f t="shared" si="52"/>
        <v/>
      </c>
      <c r="FH27" s="108" t="str">
        <f t="shared" si="52"/>
        <v/>
      </c>
      <c r="FI27" s="108" t="str">
        <f t="shared" si="52"/>
        <v/>
      </c>
      <c r="FJ27" s="108" t="str">
        <f t="shared" si="52"/>
        <v/>
      </c>
      <c r="FK27" s="108" t="str">
        <f t="shared" si="52"/>
        <v/>
      </c>
      <c r="FL27" s="108" t="str">
        <f t="shared" si="52"/>
        <v/>
      </c>
      <c r="FM27" s="108" t="str">
        <f t="shared" si="52"/>
        <v/>
      </c>
      <c r="FN27" s="108" t="str">
        <f t="shared" si="52"/>
        <v/>
      </c>
      <c r="FO27" s="108" t="str">
        <f t="shared" ref="FO27:FW36" si="53">IF(FO$5=($F27-WEEKDAY($F27,2)+1),"u","")</f>
        <v/>
      </c>
      <c r="FP27" s="108" t="str">
        <f t="shared" si="53"/>
        <v/>
      </c>
      <c r="FQ27" s="108" t="str">
        <f t="shared" si="53"/>
        <v/>
      </c>
      <c r="FR27" s="108" t="str">
        <f t="shared" si="53"/>
        <v/>
      </c>
      <c r="FS27" s="108" t="str">
        <f t="shared" si="53"/>
        <v/>
      </c>
      <c r="FT27" s="108" t="str">
        <f t="shared" si="53"/>
        <v/>
      </c>
      <c r="FU27" s="108" t="str">
        <f t="shared" si="53"/>
        <v/>
      </c>
      <c r="FV27" s="108" t="str">
        <f t="shared" si="53"/>
        <v/>
      </c>
      <c r="FW27" s="110" t="str">
        <f t="shared" si="53"/>
        <v/>
      </c>
    </row>
    <row r="28" spans="2:179" s="101" customFormat="1" ht="21" customHeight="1" x14ac:dyDescent="0.35">
      <c r="B28" s="27" t="e">
        <f>Portfolio_Daten!#REF!</f>
        <v>#REF!</v>
      </c>
      <c r="C28" s="27">
        <f>Portfolio_Daten!B27</f>
        <v>0</v>
      </c>
      <c r="D28" s="28">
        <f>Portfolio_Daten!E27</f>
        <v>0</v>
      </c>
      <c r="E28" s="31">
        <f>Portfolio_Daten!T27</f>
        <v>0</v>
      </c>
      <c r="F28" s="31">
        <f>Portfolio_Daten!U27</f>
        <v>0</v>
      </c>
      <c r="G28" s="107">
        <f>IF(F28="","",NETWORKDAYS(E28,F28,Parameter!$C$4:$C$51))</f>
        <v>0</v>
      </c>
      <c r="H28" s="29">
        <f>Portfolio_Daten!AG27</f>
        <v>0</v>
      </c>
      <c r="I28" s="33">
        <f>Portfolio_Daten!AI27</f>
        <v>0</v>
      </c>
      <c r="J28" s="106"/>
      <c r="K28" s="108" t="str">
        <f t="shared" si="37"/>
        <v/>
      </c>
      <c r="L28" s="108" t="str">
        <f t="shared" si="37"/>
        <v/>
      </c>
      <c r="M28" s="108" t="str">
        <f t="shared" si="37"/>
        <v/>
      </c>
      <c r="N28" s="108" t="str">
        <f t="shared" si="37"/>
        <v/>
      </c>
      <c r="O28" s="108" t="str">
        <f t="shared" si="37"/>
        <v/>
      </c>
      <c r="P28" s="108" t="str">
        <f t="shared" si="37"/>
        <v/>
      </c>
      <c r="Q28" s="108" t="str">
        <f t="shared" si="37"/>
        <v/>
      </c>
      <c r="R28" s="108" t="str">
        <f t="shared" si="37"/>
        <v/>
      </c>
      <c r="S28" s="108" t="str">
        <f t="shared" si="37"/>
        <v/>
      </c>
      <c r="T28" s="108" t="str">
        <f t="shared" si="37"/>
        <v/>
      </c>
      <c r="U28" s="108" t="str">
        <f t="shared" si="38"/>
        <v/>
      </c>
      <c r="V28" s="108" t="str">
        <f t="shared" si="38"/>
        <v/>
      </c>
      <c r="W28" s="108" t="str">
        <f t="shared" si="38"/>
        <v/>
      </c>
      <c r="X28" s="108" t="str">
        <f t="shared" si="38"/>
        <v/>
      </c>
      <c r="Y28" s="108" t="str">
        <f t="shared" si="38"/>
        <v/>
      </c>
      <c r="Z28" s="108" t="str">
        <f t="shared" si="38"/>
        <v/>
      </c>
      <c r="AA28" s="108" t="str">
        <f t="shared" si="38"/>
        <v/>
      </c>
      <c r="AB28" s="108" t="str">
        <f t="shared" si="38"/>
        <v/>
      </c>
      <c r="AC28" s="108" t="str">
        <f t="shared" si="38"/>
        <v/>
      </c>
      <c r="AD28" s="108" t="str">
        <f t="shared" si="38"/>
        <v/>
      </c>
      <c r="AE28" s="108" t="str">
        <f t="shared" si="39"/>
        <v/>
      </c>
      <c r="AF28" s="108" t="str">
        <f t="shared" si="39"/>
        <v/>
      </c>
      <c r="AG28" s="108" t="str">
        <f t="shared" si="39"/>
        <v/>
      </c>
      <c r="AH28" s="108" t="str">
        <f t="shared" si="39"/>
        <v/>
      </c>
      <c r="AI28" s="108" t="str">
        <f t="shared" si="39"/>
        <v/>
      </c>
      <c r="AJ28" s="108" t="str">
        <f t="shared" si="39"/>
        <v/>
      </c>
      <c r="AK28" s="108" t="str">
        <f t="shared" si="39"/>
        <v/>
      </c>
      <c r="AL28" s="108" t="str">
        <f t="shared" si="39"/>
        <v/>
      </c>
      <c r="AM28" s="108" t="str">
        <f t="shared" si="39"/>
        <v/>
      </c>
      <c r="AN28" s="108" t="str">
        <f t="shared" si="39"/>
        <v/>
      </c>
      <c r="AO28" s="108" t="str">
        <f t="shared" si="40"/>
        <v/>
      </c>
      <c r="AP28" s="108" t="str">
        <f t="shared" si="40"/>
        <v/>
      </c>
      <c r="AQ28" s="108" t="str">
        <f t="shared" si="40"/>
        <v/>
      </c>
      <c r="AR28" s="108" t="str">
        <f t="shared" si="40"/>
        <v/>
      </c>
      <c r="AS28" s="108" t="str">
        <f t="shared" si="40"/>
        <v/>
      </c>
      <c r="AT28" s="108" t="str">
        <f t="shared" si="40"/>
        <v/>
      </c>
      <c r="AU28" s="108" t="str">
        <f t="shared" si="40"/>
        <v/>
      </c>
      <c r="AV28" s="108" t="str">
        <f t="shared" si="40"/>
        <v/>
      </c>
      <c r="AW28" s="108" t="str">
        <f t="shared" si="40"/>
        <v/>
      </c>
      <c r="AX28" s="108" t="str">
        <f t="shared" si="40"/>
        <v/>
      </c>
      <c r="AY28" s="108" t="str">
        <f t="shared" si="41"/>
        <v/>
      </c>
      <c r="AZ28" s="108" t="str">
        <f t="shared" si="41"/>
        <v/>
      </c>
      <c r="BA28" s="108" t="str">
        <f t="shared" si="41"/>
        <v/>
      </c>
      <c r="BB28" s="108" t="str">
        <f t="shared" si="41"/>
        <v/>
      </c>
      <c r="BC28" s="108" t="str">
        <f t="shared" si="41"/>
        <v/>
      </c>
      <c r="BD28" s="108" t="str">
        <f t="shared" si="41"/>
        <v/>
      </c>
      <c r="BE28" s="108" t="str">
        <f t="shared" si="41"/>
        <v/>
      </c>
      <c r="BF28" s="108" t="str">
        <f t="shared" si="41"/>
        <v/>
      </c>
      <c r="BG28" s="108" t="str">
        <f t="shared" si="41"/>
        <v/>
      </c>
      <c r="BH28" s="108" t="str">
        <f t="shared" si="41"/>
        <v/>
      </c>
      <c r="BI28" s="108" t="str">
        <f t="shared" si="42"/>
        <v/>
      </c>
      <c r="BJ28" s="108" t="str">
        <f t="shared" si="42"/>
        <v/>
      </c>
      <c r="BK28" s="108" t="str">
        <f t="shared" si="42"/>
        <v/>
      </c>
      <c r="BL28" s="108" t="str">
        <f t="shared" si="42"/>
        <v/>
      </c>
      <c r="BM28" s="108" t="str">
        <f t="shared" si="42"/>
        <v/>
      </c>
      <c r="BN28" s="108" t="str">
        <f t="shared" si="42"/>
        <v/>
      </c>
      <c r="BO28" s="108" t="str">
        <f t="shared" si="42"/>
        <v/>
      </c>
      <c r="BP28" s="108" t="str">
        <f t="shared" si="42"/>
        <v/>
      </c>
      <c r="BQ28" s="108" t="str">
        <f t="shared" si="42"/>
        <v/>
      </c>
      <c r="BR28" s="108" t="str">
        <f t="shared" si="42"/>
        <v/>
      </c>
      <c r="BS28" s="108" t="str">
        <f t="shared" si="43"/>
        <v/>
      </c>
      <c r="BT28" s="108" t="str">
        <f t="shared" si="43"/>
        <v/>
      </c>
      <c r="BU28" s="108" t="str">
        <f t="shared" si="43"/>
        <v/>
      </c>
      <c r="BV28" s="108" t="str">
        <f t="shared" si="43"/>
        <v/>
      </c>
      <c r="BW28" s="108" t="str">
        <f t="shared" si="43"/>
        <v/>
      </c>
      <c r="BX28" s="108" t="str">
        <f t="shared" si="43"/>
        <v/>
      </c>
      <c r="BY28" s="108" t="str">
        <f t="shared" si="43"/>
        <v/>
      </c>
      <c r="BZ28" s="108" t="str">
        <f t="shared" si="43"/>
        <v/>
      </c>
      <c r="CA28" s="108" t="str">
        <f t="shared" si="43"/>
        <v/>
      </c>
      <c r="CB28" s="108" t="str">
        <f t="shared" si="43"/>
        <v/>
      </c>
      <c r="CC28" s="108" t="str">
        <f t="shared" si="44"/>
        <v/>
      </c>
      <c r="CD28" s="108" t="str">
        <f t="shared" si="44"/>
        <v/>
      </c>
      <c r="CE28" s="108" t="str">
        <f t="shared" si="44"/>
        <v/>
      </c>
      <c r="CF28" s="108" t="str">
        <f t="shared" si="44"/>
        <v/>
      </c>
      <c r="CG28" s="108" t="str">
        <f t="shared" si="44"/>
        <v/>
      </c>
      <c r="CH28" s="108" t="str">
        <f t="shared" si="44"/>
        <v/>
      </c>
      <c r="CI28" s="108" t="str">
        <f t="shared" si="44"/>
        <v/>
      </c>
      <c r="CJ28" s="108" t="str">
        <f t="shared" si="44"/>
        <v/>
      </c>
      <c r="CK28" s="108" t="str">
        <f t="shared" si="44"/>
        <v/>
      </c>
      <c r="CL28" s="108" t="str">
        <f t="shared" si="44"/>
        <v/>
      </c>
      <c r="CM28" s="108" t="str">
        <f t="shared" si="45"/>
        <v/>
      </c>
      <c r="CN28" s="108" t="str">
        <f t="shared" si="45"/>
        <v/>
      </c>
      <c r="CO28" s="108" t="str">
        <f t="shared" si="45"/>
        <v/>
      </c>
      <c r="CP28" s="108" t="str">
        <f t="shared" si="45"/>
        <v/>
      </c>
      <c r="CQ28" s="108" t="str">
        <f t="shared" si="45"/>
        <v/>
      </c>
      <c r="CR28" s="109" t="str">
        <f t="shared" si="45"/>
        <v/>
      </c>
      <c r="CS28" s="108" t="str">
        <f t="shared" si="45"/>
        <v/>
      </c>
      <c r="CT28" s="108" t="str">
        <f t="shared" si="45"/>
        <v/>
      </c>
      <c r="CU28" s="108" t="str">
        <f t="shared" si="45"/>
        <v/>
      </c>
      <c r="CV28" s="108" t="str">
        <f t="shared" si="45"/>
        <v/>
      </c>
      <c r="CW28" s="108" t="str">
        <f t="shared" si="46"/>
        <v/>
      </c>
      <c r="CX28" s="108" t="str">
        <f t="shared" si="46"/>
        <v/>
      </c>
      <c r="CY28" s="108" t="str">
        <f t="shared" si="46"/>
        <v/>
      </c>
      <c r="CZ28" s="109" t="str">
        <f t="shared" si="46"/>
        <v/>
      </c>
      <c r="DA28" s="108" t="str">
        <f t="shared" si="46"/>
        <v/>
      </c>
      <c r="DB28" s="108" t="str">
        <f t="shared" si="46"/>
        <v/>
      </c>
      <c r="DC28" s="108" t="str">
        <f t="shared" si="46"/>
        <v/>
      </c>
      <c r="DD28" s="108" t="str">
        <f t="shared" si="46"/>
        <v/>
      </c>
      <c r="DE28" s="108" t="str">
        <f t="shared" si="46"/>
        <v/>
      </c>
      <c r="DF28" s="108" t="str">
        <f t="shared" si="46"/>
        <v/>
      </c>
      <c r="DG28" s="108" t="str">
        <f t="shared" si="47"/>
        <v/>
      </c>
      <c r="DH28" s="109" t="str">
        <f t="shared" si="47"/>
        <v/>
      </c>
      <c r="DI28" s="108" t="str">
        <f t="shared" si="47"/>
        <v/>
      </c>
      <c r="DJ28" s="108" t="str">
        <f t="shared" si="47"/>
        <v/>
      </c>
      <c r="DK28" s="108" t="str">
        <f t="shared" si="47"/>
        <v/>
      </c>
      <c r="DL28" s="108" t="str">
        <f t="shared" si="47"/>
        <v/>
      </c>
      <c r="DM28" s="108" t="str">
        <f t="shared" si="47"/>
        <v/>
      </c>
      <c r="DN28" s="108" t="str">
        <f t="shared" si="47"/>
        <v/>
      </c>
      <c r="DO28" s="109" t="str">
        <f t="shared" si="47"/>
        <v/>
      </c>
      <c r="DP28" s="108" t="str">
        <f t="shared" si="47"/>
        <v/>
      </c>
      <c r="DQ28" s="108" t="str">
        <f t="shared" si="48"/>
        <v/>
      </c>
      <c r="DR28" s="108" t="str">
        <f t="shared" si="48"/>
        <v/>
      </c>
      <c r="DS28" s="108" t="str">
        <f t="shared" si="48"/>
        <v/>
      </c>
      <c r="DT28" s="108" t="str">
        <f t="shared" si="48"/>
        <v/>
      </c>
      <c r="DU28" s="108" t="str">
        <f t="shared" si="48"/>
        <v/>
      </c>
      <c r="DV28" s="108" t="str">
        <f t="shared" si="48"/>
        <v/>
      </c>
      <c r="DW28" s="109" t="str">
        <f t="shared" si="48"/>
        <v/>
      </c>
      <c r="DX28" s="108" t="str">
        <f t="shared" si="48"/>
        <v/>
      </c>
      <c r="DY28" s="108" t="str">
        <f t="shared" si="48"/>
        <v/>
      </c>
      <c r="DZ28" s="108" t="str">
        <f t="shared" si="48"/>
        <v/>
      </c>
      <c r="EA28" s="108" t="str">
        <f t="shared" si="49"/>
        <v/>
      </c>
      <c r="EB28" s="108" t="str">
        <f t="shared" si="49"/>
        <v/>
      </c>
      <c r="EC28" s="108" t="str">
        <f t="shared" si="49"/>
        <v/>
      </c>
      <c r="ED28" s="109" t="str">
        <f t="shared" si="49"/>
        <v/>
      </c>
      <c r="EE28" s="108" t="str">
        <f t="shared" si="49"/>
        <v/>
      </c>
      <c r="EF28" s="108" t="str">
        <f t="shared" si="49"/>
        <v/>
      </c>
      <c r="EG28" s="108" t="str">
        <f t="shared" si="49"/>
        <v/>
      </c>
      <c r="EH28" s="108" t="str">
        <f t="shared" si="49"/>
        <v/>
      </c>
      <c r="EI28" s="108" t="str">
        <f t="shared" si="49"/>
        <v/>
      </c>
      <c r="EJ28" s="108" t="str">
        <f t="shared" si="49"/>
        <v/>
      </c>
      <c r="EK28" s="108" t="str">
        <f t="shared" si="50"/>
        <v/>
      </c>
      <c r="EL28" s="108" t="str">
        <f t="shared" si="50"/>
        <v/>
      </c>
      <c r="EM28" s="108" t="str">
        <f t="shared" si="50"/>
        <v/>
      </c>
      <c r="EN28" s="108" t="str">
        <f t="shared" si="50"/>
        <v/>
      </c>
      <c r="EO28" s="108" t="str">
        <f t="shared" si="50"/>
        <v/>
      </c>
      <c r="EP28" s="108" t="str">
        <f t="shared" si="50"/>
        <v/>
      </c>
      <c r="EQ28" s="108" t="str">
        <f t="shared" si="50"/>
        <v/>
      </c>
      <c r="ER28" s="108" t="str">
        <f t="shared" si="50"/>
        <v/>
      </c>
      <c r="ES28" s="109" t="str">
        <f t="shared" si="50"/>
        <v/>
      </c>
      <c r="ET28" s="108" t="str">
        <f t="shared" si="50"/>
        <v/>
      </c>
      <c r="EU28" s="108" t="str">
        <f t="shared" si="51"/>
        <v/>
      </c>
      <c r="EV28" s="108" t="str">
        <f t="shared" si="51"/>
        <v/>
      </c>
      <c r="EW28" s="108" t="str">
        <f t="shared" si="51"/>
        <v/>
      </c>
      <c r="EX28" s="108" t="str">
        <f t="shared" si="51"/>
        <v/>
      </c>
      <c r="EY28" s="108" t="str">
        <f t="shared" si="51"/>
        <v/>
      </c>
      <c r="EZ28" s="108" t="str">
        <f t="shared" si="51"/>
        <v/>
      </c>
      <c r="FA28" s="108" t="str">
        <f t="shared" si="51"/>
        <v/>
      </c>
      <c r="FB28" s="108" t="str">
        <f t="shared" si="51"/>
        <v/>
      </c>
      <c r="FC28" s="108" t="str">
        <f t="shared" si="51"/>
        <v/>
      </c>
      <c r="FD28" s="108" t="str">
        <f t="shared" si="51"/>
        <v/>
      </c>
      <c r="FE28" s="108" t="str">
        <f t="shared" si="52"/>
        <v/>
      </c>
      <c r="FF28" s="109" t="str">
        <f t="shared" si="52"/>
        <v/>
      </c>
      <c r="FG28" s="108" t="str">
        <f t="shared" si="52"/>
        <v/>
      </c>
      <c r="FH28" s="108" t="str">
        <f t="shared" si="52"/>
        <v/>
      </c>
      <c r="FI28" s="108" t="str">
        <f t="shared" si="52"/>
        <v/>
      </c>
      <c r="FJ28" s="108" t="str">
        <f t="shared" si="52"/>
        <v/>
      </c>
      <c r="FK28" s="108" t="str">
        <f t="shared" si="52"/>
        <v/>
      </c>
      <c r="FL28" s="108" t="str">
        <f t="shared" si="52"/>
        <v/>
      </c>
      <c r="FM28" s="108" t="str">
        <f t="shared" si="52"/>
        <v/>
      </c>
      <c r="FN28" s="108" t="str">
        <f t="shared" si="52"/>
        <v/>
      </c>
      <c r="FO28" s="108" t="str">
        <f t="shared" si="53"/>
        <v/>
      </c>
      <c r="FP28" s="108" t="str">
        <f t="shared" si="53"/>
        <v/>
      </c>
      <c r="FQ28" s="108" t="str">
        <f t="shared" si="53"/>
        <v/>
      </c>
      <c r="FR28" s="108" t="str">
        <f t="shared" si="53"/>
        <v/>
      </c>
      <c r="FS28" s="108" t="str">
        <f t="shared" si="53"/>
        <v/>
      </c>
      <c r="FT28" s="108" t="str">
        <f t="shared" si="53"/>
        <v/>
      </c>
      <c r="FU28" s="108" t="str">
        <f t="shared" si="53"/>
        <v/>
      </c>
      <c r="FV28" s="108" t="str">
        <f t="shared" si="53"/>
        <v/>
      </c>
      <c r="FW28" s="110" t="str">
        <f t="shared" si="53"/>
        <v/>
      </c>
    </row>
    <row r="29" spans="2:179" s="101" customFormat="1" ht="21" customHeight="1" x14ac:dyDescent="0.35">
      <c r="B29" s="27" t="e">
        <f>Portfolio_Daten!#REF!</f>
        <v>#REF!</v>
      </c>
      <c r="C29" s="27">
        <f>Portfolio_Daten!B28</f>
        <v>0</v>
      </c>
      <c r="D29" s="28">
        <f>Portfolio_Daten!E28</f>
        <v>0</v>
      </c>
      <c r="E29" s="31">
        <f>Portfolio_Daten!T28</f>
        <v>0</v>
      </c>
      <c r="F29" s="31">
        <f>Portfolio_Daten!U28</f>
        <v>0</v>
      </c>
      <c r="G29" s="107">
        <f>IF(F29="","",NETWORKDAYS(E29,F29,Parameter!$C$4:$C$51))</f>
        <v>0</v>
      </c>
      <c r="H29" s="29">
        <f>Portfolio_Daten!AG28</f>
        <v>0</v>
      </c>
      <c r="I29" s="33">
        <f>Portfolio_Daten!AI28</f>
        <v>0</v>
      </c>
      <c r="J29" s="106"/>
      <c r="K29" s="108" t="str">
        <f t="shared" si="37"/>
        <v/>
      </c>
      <c r="L29" s="108" t="str">
        <f t="shared" si="37"/>
        <v/>
      </c>
      <c r="M29" s="108" t="str">
        <f t="shared" si="37"/>
        <v/>
      </c>
      <c r="N29" s="108" t="str">
        <f t="shared" si="37"/>
        <v/>
      </c>
      <c r="O29" s="108" t="str">
        <f t="shared" si="37"/>
        <v/>
      </c>
      <c r="P29" s="108" t="str">
        <f t="shared" si="37"/>
        <v/>
      </c>
      <c r="Q29" s="108" t="str">
        <f t="shared" si="37"/>
        <v/>
      </c>
      <c r="R29" s="108" t="str">
        <f t="shared" si="37"/>
        <v/>
      </c>
      <c r="S29" s="108" t="str">
        <f t="shared" si="37"/>
        <v/>
      </c>
      <c r="T29" s="108" t="str">
        <f t="shared" si="37"/>
        <v/>
      </c>
      <c r="U29" s="108" t="str">
        <f t="shared" si="38"/>
        <v/>
      </c>
      <c r="V29" s="108" t="str">
        <f t="shared" si="38"/>
        <v/>
      </c>
      <c r="W29" s="108" t="str">
        <f t="shared" si="38"/>
        <v/>
      </c>
      <c r="X29" s="108" t="str">
        <f t="shared" si="38"/>
        <v/>
      </c>
      <c r="Y29" s="108" t="str">
        <f t="shared" si="38"/>
        <v/>
      </c>
      <c r="Z29" s="108" t="str">
        <f t="shared" si="38"/>
        <v/>
      </c>
      <c r="AA29" s="108" t="str">
        <f t="shared" si="38"/>
        <v/>
      </c>
      <c r="AB29" s="108" t="str">
        <f t="shared" si="38"/>
        <v/>
      </c>
      <c r="AC29" s="108" t="str">
        <f t="shared" si="38"/>
        <v/>
      </c>
      <c r="AD29" s="108" t="str">
        <f t="shared" si="38"/>
        <v/>
      </c>
      <c r="AE29" s="108" t="str">
        <f t="shared" si="39"/>
        <v/>
      </c>
      <c r="AF29" s="108" t="str">
        <f t="shared" si="39"/>
        <v/>
      </c>
      <c r="AG29" s="108" t="str">
        <f t="shared" si="39"/>
        <v/>
      </c>
      <c r="AH29" s="108" t="str">
        <f t="shared" si="39"/>
        <v/>
      </c>
      <c r="AI29" s="108" t="str">
        <f t="shared" si="39"/>
        <v/>
      </c>
      <c r="AJ29" s="108" t="str">
        <f t="shared" si="39"/>
        <v/>
      </c>
      <c r="AK29" s="108" t="str">
        <f t="shared" si="39"/>
        <v/>
      </c>
      <c r="AL29" s="108" t="str">
        <f t="shared" si="39"/>
        <v/>
      </c>
      <c r="AM29" s="108" t="str">
        <f t="shared" si="39"/>
        <v/>
      </c>
      <c r="AN29" s="108" t="str">
        <f t="shared" si="39"/>
        <v/>
      </c>
      <c r="AO29" s="108" t="str">
        <f t="shared" si="40"/>
        <v/>
      </c>
      <c r="AP29" s="108" t="str">
        <f t="shared" si="40"/>
        <v/>
      </c>
      <c r="AQ29" s="108" t="str">
        <f t="shared" si="40"/>
        <v/>
      </c>
      <c r="AR29" s="108" t="str">
        <f t="shared" si="40"/>
        <v/>
      </c>
      <c r="AS29" s="108" t="str">
        <f t="shared" si="40"/>
        <v/>
      </c>
      <c r="AT29" s="108" t="str">
        <f t="shared" si="40"/>
        <v/>
      </c>
      <c r="AU29" s="108" t="str">
        <f t="shared" si="40"/>
        <v/>
      </c>
      <c r="AV29" s="108" t="str">
        <f t="shared" si="40"/>
        <v/>
      </c>
      <c r="AW29" s="108" t="str">
        <f t="shared" si="40"/>
        <v/>
      </c>
      <c r="AX29" s="108" t="str">
        <f t="shared" si="40"/>
        <v/>
      </c>
      <c r="AY29" s="108" t="str">
        <f t="shared" si="41"/>
        <v/>
      </c>
      <c r="AZ29" s="108" t="str">
        <f t="shared" si="41"/>
        <v/>
      </c>
      <c r="BA29" s="108" t="str">
        <f t="shared" si="41"/>
        <v/>
      </c>
      <c r="BB29" s="108" t="str">
        <f t="shared" si="41"/>
        <v/>
      </c>
      <c r="BC29" s="108" t="str">
        <f t="shared" si="41"/>
        <v/>
      </c>
      <c r="BD29" s="108" t="str">
        <f t="shared" si="41"/>
        <v/>
      </c>
      <c r="BE29" s="108" t="str">
        <f t="shared" si="41"/>
        <v/>
      </c>
      <c r="BF29" s="108" t="str">
        <f t="shared" si="41"/>
        <v/>
      </c>
      <c r="BG29" s="108" t="str">
        <f t="shared" si="41"/>
        <v/>
      </c>
      <c r="BH29" s="108" t="str">
        <f t="shared" si="41"/>
        <v/>
      </c>
      <c r="BI29" s="108" t="str">
        <f t="shared" si="42"/>
        <v/>
      </c>
      <c r="BJ29" s="108" t="str">
        <f t="shared" si="42"/>
        <v/>
      </c>
      <c r="BK29" s="108" t="str">
        <f t="shared" si="42"/>
        <v/>
      </c>
      <c r="BL29" s="108" t="str">
        <f t="shared" si="42"/>
        <v/>
      </c>
      <c r="BM29" s="108" t="str">
        <f t="shared" si="42"/>
        <v/>
      </c>
      <c r="BN29" s="108" t="str">
        <f t="shared" si="42"/>
        <v/>
      </c>
      <c r="BO29" s="108" t="str">
        <f t="shared" si="42"/>
        <v/>
      </c>
      <c r="BP29" s="108" t="str">
        <f t="shared" si="42"/>
        <v/>
      </c>
      <c r="BQ29" s="108" t="str">
        <f t="shared" si="42"/>
        <v/>
      </c>
      <c r="BR29" s="108" t="str">
        <f t="shared" si="42"/>
        <v/>
      </c>
      <c r="BS29" s="108" t="str">
        <f t="shared" si="43"/>
        <v/>
      </c>
      <c r="BT29" s="108" t="str">
        <f t="shared" si="43"/>
        <v/>
      </c>
      <c r="BU29" s="108" t="str">
        <f t="shared" si="43"/>
        <v/>
      </c>
      <c r="BV29" s="108" t="str">
        <f t="shared" si="43"/>
        <v/>
      </c>
      <c r="BW29" s="108" t="str">
        <f t="shared" si="43"/>
        <v/>
      </c>
      <c r="BX29" s="108" t="str">
        <f t="shared" si="43"/>
        <v/>
      </c>
      <c r="BY29" s="108" t="str">
        <f t="shared" si="43"/>
        <v/>
      </c>
      <c r="BZ29" s="108" t="str">
        <f t="shared" si="43"/>
        <v/>
      </c>
      <c r="CA29" s="108" t="str">
        <f t="shared" si="43"/>
        <v/>
      </c>
      <c r="CB29" s="108" t="str">
        <f t="shared" si="43"/>
        <v/>
      </c>
      <c r="CC29" s="108" t="str">
        <f t="shared" si="44"/>
        <v/>
      </c>
      <c r="CD29" s="108" t="str">
        <f t="shared" si="44"/>
        <v/>
      </c>
      <c r="CE29" s="108" t="str">
        <f t="shared" si="44"/>
        <v/>
      </c>
      <c r="CF29" s="108" t="str">
        <f t="shared" si="44"/>
        <v/>
      </c>
      <c r="CG29" s="108" t="str">
        <f t="shared" si="44"/>
        <v/>
      </c>
      <c r="CH29" s="108" t="str">
        <f t="shared" si="44"/>
        <v/>
      </c>
      <c r="CI29" s="108" t="str">
        <f t="shared" si="44"/>
        <v/>
      </c>
      <c r="CJ29" s="108" t="str">
        <f t="shared" si="44"/>
        <v/>
      </c>
      <c r="CK29" s="108" t="str">
        <f t="shared" si="44"/>
        <v/>
      </c>
      <c r="CL29" s="108" t="str">
        <f t="shared" si="44"/>
        <v/>
      </c>
      <c r="CM29" s="108" t="str">
        <f t="shared" si="45"/>
        <v/>
      </c>
      <c r="CN29" s="108" t="str">
        <f t="shared" si="45"/>
        <v/>
      </c>
      <c r="CO29" s="108" t="str">
        <f t="shared" si="45"/>
        <v/>
      </c>
      <c r="CP29" s="108" t="str">
        <f t="shared" si="45"/>
        <v/>
      </c>
      <c r="CQ29" s="108" t="str">
        <f t="shared" si="45"/>
        <v/>
      </c>
      <c r="CR29" s="109" t="str">
        <f t="shared" si="45"/>
        <v/>
      </c>
      <c r="CS29" s="108" t="str">
        <f t="shared" si="45"/>
        <v/>
      </c>
      <c r="CT29" s="108" t="str">
        <f t="shared" si="45"/>
        <v/>
      </c>
      <c r="CU29" s="108" t="str">
        <f t="shared" si="45"/>
        <v/>
      </c>
      <c r="CV29" s="108" t="str">
        <f t="shared" si="45"/>
        <v/>
      </c>
      <c r="CW29" s="108" t="str">
        <f t="shared" si="46"/>
        <v/>
      </c>
      <c r="CX29" s="108" t="str">
        <f t="shared" si="46"/>
        <v/>
      </c>
      <c r="CY29" s="108" t="str">
        <f t="shared" si="46"/>
        <v/>
      </c>
      <c r="CZ29" s="109" t="str">
        <f t="shared" si="46"/>
        <v/>
      </c>
      <c r="DA29" s="108" t="str">
        <f t="shared" si="46"/>
        <v/>
      </c>
      <c r="DB29" s="108" t="str">
        <f t="shared" si="46"/>
        <v/>
      </c>
      <c r="DC29" s="108" t="str">
        <f t="shared" si="46"/>
        <v/>
      </c>
      <c r="DD29" s="108" t="str">
        <f t="shared" si="46"/>
        <v/>
      </c>
      <c r="DE29" s="108" t="str">
        <f t="shared" si="46"/>
        <v/>
      </c>
      <c r="DF29" s="108" t="str">
        <f t="shared" si="46"/>
        <v/>
      </c>
      <c r="DG29" s="108" t="str">
        <f t="shared" si="47"/>
        <v/>
      </c>
      <c r="DH29" s="109" t="str">
        <f t="shared" si="47"/>
        <v/>
      </c>
      <c r="DI29" s="108" t="str">
        <f t="shared" si="47"/>
        <v/>
      </c>
      <c r="DJ29" s="108" t="str">
        <f t="shared" si="47"/>
        <v/>
      </c>
      <c r="DK29" s="108" t="str">
        <f t="shared" si="47"/>
        <v/>
      </c>
      <c r="DL29" s="108" t="str">
        <f t="shared" si="47"/>
        <v/>
      </c>
      <c r="DM29" s="108" t="str">
        <f t="shared" si="47"/>
        <v/>
      </c>
      <c r="DN29" s="108" t="str">
        <f t="shared" si="47"/>
        <v/>
      </c>
      <c r="DO29" s="109" t="str">
        <f t="shared" si="47"/>
        <v/>
      </c>
      <c r="DP29" s="108" t="str">
        <f t="shared" si="47"/>
        <v/>
      </c>
      <c r="DQ29" s="108" t="str">
        <f t="shared" si="48"/>
        <v/>
      </c>
      <c r="DR29" s="108" t="str">
        <f t="shared" si="48"/>
        <v/>
      </c>
      <c r="DS29" s="108" t="str">
        <f t="shared" si="48"/>
        <v/>
      </c>
      <c r="DT29" s="108" t="str">
        <f t="shared" si="48"/>
        <v/>
      </c>
      <c r="DU29" s="108" t="str">
        <f t="shared" si="48"/>
        <v/>
      </c>
      <c r="DV29" s="108" t="str">
        <f t="shared" si="48"/>
        <v/>
      </c>
      <c r="DW29" s="109" t="str">
        <f t="shared" si="48"/>
        <v/>
      </c>
      <c r="DX29" s="108" t="str">
        <f t="shared" si="48"/>
        <v/>
      </c>
      <c r="DY29" s="108" t="str">
        <f t="shared" si="48"/>
        <v/>
      </c>
      <c r="DZ29" s="108" t="str">
        <f t="shared" si="48"/>
        <v/>
      </c>
      <c r="EA29" s="108" t="str">
        <f t="shared" si="49"/>
        <v/>
      </c>
      <c r="EB29" s="108" t="str">
        <f t="shared" si="49"/>
        <v/>
      </c>
      <c r="EC29" s="108" t="str">
        <f t="shared" si="49"/>
        <v/>
      </c>
      <c r="ED29" s="109" t="str">
        <f t="shared" si="49"/>
        <v/>
      </c>
      <c r="EE29" s="108" t="str">
        <f t="shared" si="49"/>
        <v/>
      </c>
      <c r="EF29" s="108" t="str">
        <f t="shared" si="49"/>
        <v/>
      </c>
      <c r="EG29" s="108" t="str">
        <f t="shared" si="49"/>
        <v/>
      </c>
      <c r="EH29" s="108" t="str">
        <f t="shared" si="49"/>
        <v/>
      </c>
      <c r="EI29" s="108" t="str">
        <f t="shared" si="49"/>
        <v/>
      </c>
      <c r="EJ29" s="108" t="str">
        <f t="shared" si="49"/>
        <v/>
      </c>
      <c r="EK29" s="108" t="str">
        <f t="shared" si="50"/>
        <v/>
      </c>
      <c r="EL29" s="108" t="str">
        <f t="shared" si="50"/>
        <v/>
      </c>
      <c r="EM29" s="108" t="str">
        <f t="shared" si="50"/>
        <v/>
      </c>
      <c r="EN29" s="108" t="str">
        <f t="shared" si="50"/>
        <v/>
      </c>
      <c r="EO29" s="108" t="str">
        <f t="shared" si="50"/>
        <v/>
      </c>
      <c r="EP29" s="108" t="str">
        <f t="shared" si="50"/>
        <v/>
      </c>
      <c r="EQ29" s="108" t="str">
        <f t="shared" si="50"/>
        <v/>
      </c>
      <c r="ER29" s="108" t="str">
        <f t="shared" si="50"/>
        <v/>
      </c>
      <c r="ES29" s="109" t="str">
        <f t="shared" si="50"/>
        <v/>
      </c>
      <c r="ET29" s="108" t="str">
        <f t="shared" si="50"/>
        <v/>
      </c>
      <c r="EU29" s="108" t="str">
        <f t="shared" si="51"/>
        <v/>
      </c>
      <c r="EV29" s="108" t="str">
        <f t="shared" si="51"/>
        <v/>
      </c>
      <c r="EW29" s="108" t="str">
        <f t="shared" si="51"/>
        <v/>
      </c>
      <c r="EX29" s="108" t="str">
        <f t="shared" si="51"/>
        <v/>
      </c>
      <c r="EY29" s="108" t="str">
        <f t="shared" si="51"/>
        <v/>
      </c>
      <c r="EZ29" s="108" t="str">
        <f t="shared" si="51"/>
        <v/>
      </c>
      <c r="FA29" s="108" t="str">
        <f t="shared" si="51"/>
        <v/>
      </c>
      <c r="FB29" s="108" t="str">
        <f t="shared" si="51"/>
        <v/>
      </c>
      <c r="FC29" s="108" t="str">
        <f t="shared" si="51"/>
        <v/>
      </c>
      <c r="FD29" s="108" t="str">
        <f t="shared" si="51"/>
        <v/>
      </c>
      <c r="FE29" s="108" t="str">
        <f t="shared" si="52"/>
        <v/>
      </c>
      <c r="FF29" s="109" t="str">
        <f t="shared" si="52"/>
        <v/>
      </c>
      <c r="FG29" s="108" t="str">
        <f t="shared" si="52"/>
        <v/>
      </c>
      <c r="FH29" s="108" t="str">
        <f t="shared" si="52"/>
        <v/>
      </c>
      <c r="FI29" s="108" t="str">
        <f t="shared" si="52"/>
        <v/>
      </c>
      <c r="FJ29" s="108" t="str">
        <f t="shared" si="52"/>
        <v/>
      </c>
      <c r="FK29" s="108" t="str">
        <f t="shared" si="52"/>
        <v/>
      </c>
      <c r="FL29" s="108" t="str">
        <f t="shared" si="52"/>
        <v/>
      </c>
      <c r="FM29" s="108" t="str">
        <f t="shared" si="52"/>
        <v/>
      </c>
      <c r="FN29" s="108" t="str">
        <f t="shared" si="52"/>
        <v/>
      </c>
      <c r="FO29" s="108" t="str">
        <f t="shared" si="53"/>
        <v/>
      </c>
      <c r="FP29" s="108" t="str">
        <f t="shared" si="53"/>
        <v/>
      </c>
      <c r="FQ29" s="108" t="str">
        <f t="shared" si="53"/>
        <v/>
      </c>
      <c r="FR29" s="108" t="str">
        <f t="shared" si="53"/>
        <v/>
      </c>
      <c r="FS29" s="108" t="str">
        <f t="shared" si="53"/>
        <v/>
      </c>
      <c r="FT29" s="108" t="str">
        <f t="shared" si="53"/>
        <v/>
      </c>
      <c r="FU29" s="108" t="str">
        <f t="shared" si="53"/>
        <v/>
      </c>
      <c r="FV29" s="108" t="str">
        <f t="shared" si="53"/>
        <v/>
      </c>
      <c r="FW29" s="110" t="str">
        <f t="shared" si="53"/>
        <v/>
      </c>
    </row>
    <row r="30" spans="2:179" s="101" customFormat="1" ht="21" customHeight="1" x14ac:dyDescent="0.35">
      <c r="B30" s="27" t="e">
        <f>Portfolio_Daten!#REF!</f>
        <v>#REF!</v>
      </c>
      <c r="C30" s="27">
        <f>Portfolio_Daten!B29</f>
        <v>0</v>
      </c>
      <c r="D30" s="28">
        <f>Portfolio_Daten!E29</f>
        <v>0</v>
      </c>
      <c r="E30" s="31">
        <f>Portfolio_Daten!T29</f>
        <v>0</v>
      </c>
      <c r="F30" s="31">
        <f>Portfolio_Daten!U29</f>
        <v>0</v>
      </c>
      <c r="G30" s="107">
        <f>IF(F30="","",NETWORKDAYS(E30,F30,Parameter!$C$4:$C$51))</f>
        <v>0</v>
      </c>
      <c r="H30" s="29">
        <f>Portfolio_Daten!AG29</f>
        <v>0</v>
      </c>
      <c r="I30" s="33">
        <f>Portfolio_Daten!AI29</f>
        <v>0</v>
      </c>
      <c r="J30" s="106"/>
      <c r="K30" s="108" t="str">
        <f t="shared" si="37"/>
        <v/>
      </c>
      <c r="L30" s="108" t="str">
        <f t="shared" si="37"/>
        <v/>
      </c>
      <c r="M30" s="108" t="str">
        <f t="shared" si="37"/>
        <v/>
      </c>
      <c r="N30" s="108" t="str">
        <f t="shared" si="37"/>
        <v/>
      </c>
      <c r="O30" s="108" t="str">
        <f t="shared" si="37"/>
        <v/>
      </c>
      <c r="P30" s="108" t="str">
        <f t="shared" si="37"/>
        <v/>
      </c>
      <c r="Q30" s="108" t="str">
        <f t="shared" si="37"/>
        <v/>
      </c>
      <c r="R30" s="108" t="str">
        <f t="shared" si="37"/>
        <v/>
      </c>
      <c r="S30" s="108" t="str">
        <f t="shared" si="37"/>
        <v/>
      </c>
      <c r="T30" s="108" t="str">
        <f t="shared" si="37"/>
        <v/>
      </c>
      <c r="U30" s="108" t="str">
        <f t="shared" si="38"/>
        <v/>
      </c>
      <c r="V30" s="108" t="str">
        <f t="shared" si="38"/>
        <v/>
      </c>
      <c r="W30" s="108" t="str">
        <f t="shared" si="38"/>
        <v/>
      </c>
      <c r="X30" s="108" t="str">
        <f t="shared" si="38"/>
        <v/>
      </c>
      <c r="Y30" s="108" t="str">
        <f t="shared" si="38"/>
        <v/>
      </c>
      <c r="Z30" s="108" t="str">
        <f t="shared" si="38"/>
        <v/>
      </c>
      <c r="AA30" s="108" t="str">
        <f t="shared" si="38"/>
        <v/>
      </c>
      <c r="AB30" s="108" t="str">
        <f t="shared" si="38"/>
        <v/>
      </c>
      <c r="AC30" s="108" t="str">
        <f t="shared" si="38"/>
        <v/>
      </c>
      <c r="AD30" s="108" t="str">
        <f t="shared" si="38"/>
        <v/>
      </c>
      <c r="AE30" s="108" t="str">
        <f t="shared" si="39"/>
        <v/>
      </c>
      <c r="AF30" s="108" t="str">
        <f t="shared" si="39"/>
        <v/>
      </c>
      <c r="AG30" s="108" t="str">
        <f t="shared" si="39"/>
        <v/>
      </c>
      <c r="AH30" s="108" t="str">
        <f t="shared" si="39"/>
        <v/>
      </c>
      <c r="AI30" s="108" t="str">
        <f t="shared" si="39"/>
        <v/>
      </c>
      <c r="AJ30" s="108" t="str">
        <f t="shared" si="39"/>
        <v/>
      </c>
      <c r="AK30" s="108" t="str">
        <f t="shared" si="39"/>
        <v/>
      </c>
      <c r="AL30" s="108" t="str">
        <f t="shared" si="39"/>
        <v/>
      </c>
      <c r="AM30" s="108" t="str">
        <f t="shared" si="39"/>
        <v/>
      </c>
      <c r="AN30" s="108" t="str">
        <f t="shared" si="39"/>
        <v/>
      </c>
      <c r="AO30" s="108" t="str">
        <f t="shared" si="40"/>
        <v/>
      </c>
      <c r="AP30" s="108" t="str">
        <f t="shared" si="40"/>
        <v/>
      </c>
      <c r="AQ30" s="108" t="str">
        <f t="shared" si="40"/>
        <v/>
      </c>
      <c r="AR30" s="108" t="str">
        <f t="shared" si="40"/>
        <v/>
      </c>
      <c r="AS30" s="108" t="str">
        <f t="shared" si="40"/>
        <v/>
      </c>
      <c r="AT30" s="108" t="str">
        <f t="shared" si="40"/>
        <v/>
      </c>
      <c r="AU30" s="108" t="str">
        <f t="shared" si="40"/>
        <v/>
      </c>
      <c r="AV30" s="108" t="str">
        <f t="shared" si="40"/>
        <v/>
      </c>
      <c r="AW30" s="108" t="str">
        <f t="shared" si="40"/>
        <v/>
      </c>
      <c r="AX30" s="108" t="str">
        <f t="shared" si="40"/>
        <v/>
      </c>
      <c r="AY30" s="108" t="str">
        <f t="shared" si="41"/>
        <v/>
      </c>
      <c r="AZ30" s="108" t="str">
        <f t="shared" si="41"/>
        <v/>
      </c>
      <c r="BA30" s="108" t="str">
        <f t="shared" si="41"/>
        <v/>
      </c>
      <c r="BB30" s="108" t="str">
        <f t="shared" si="41"/>
        <v/>
      </c>
      <c r="BC30" s="108" t="str">
        <f t="shared" si="41"/>
        <v/>
      </c>
      <c r="BD30" s="108" t="str">
        <f t="shared" si="41"/>
        <v/>
      </c>
      <c r="BE30" s="108" t="str">
        <f t="shared" si="41"/>
        <v/>
      </c>
      <c r="BF30" s="108" t="str">
        <f t="shared" si="41"/>
        <v/>
      </c>
      <c r="BG30" s="108" t="str">
        <f t="shared" si="41"/>
        <v/>
      </c>
      <c r="BH30" s="108" t="str">
        <f t="shared" si="41"/>
        <v/>
      </c>
      <c r="BI30" s="108" t="str">
        <f t="shared" si="42"/>
        <v/>
      </c>
      <c r="BJ30" s="108" t="str">
        <f t="shared" si="42"/>
        <v/>
      </c>
      <c r="BK30" s="108" t="str">
        <f t="shared" si="42"/>
        <v/>
      </c>
      <c r="BL30" s="108" t="str">
        <f t="shared" si="42"/>
        <v/>
      </c>
      <c r="BM30" s="108" t="str">
        <f t="shared" si="42"/>
        <v/>
      </c>
      <c r="BN30" s="108" t="str">
        <f t="shared" si="42"/>
        <v/>
      </c>
      <c r="BO30" s="108" t="str">
        <f t="shared" si="42"/>
        <v/>
      </c>
      <c r="BP30" s="108" t="str">
        <f t="shared" si="42"/>
        <v/>
      </c>
      <c r="BQ30" s="108" t="str">
        <f t="shared" si="42"/>
        <v/>
      </c>
      <c r="BR30" s="108" t="str">
        <f t="shared" si="42"/>
        <v/>
      </c>
      <c r="BS30" s="108" t="str">
        <f t="shared" si="43"/>
        <v/>
      </c>
      <c r="BT30" s="108" t="str">
        <f t="shared" si="43"/>
        <v/>
      </c>
      <c r="BU30" s="108" t="str">
        <f t="shared" si="43"/>
        <v/>
      </c>
      <c r="BV30" s="108" t="str">
        <f t="shared" si="43"/>
        <v/>
      </c>
      <c r="BW30" s="108" t="str">
        <f t="shared" si="43"/>
        <v/>
      </c>
      <c r="BX30" s="108" t="str">
        <f t="shared" si="43"/>
        <v/>
      </c>
      <c r="BY30" s="108" t="str">
        <f t="shared" si="43"/>
        <v/>
      </c>
      <c r="BZ30" s="108" t="str">
        <f t="shared" si="43"/>
        <v/>
      </c>
      <c r="CA30" s="108" t="str">
        <f t="shared" si="43"/>
        <v/>
      </c>
      <c r="CB30" s="108" t="str">
        <f t="shared" si="43"/>
        <v/>
      </c>
      <c r="CC30" s="108" t="str">
        <f t="shared" si="44"/>
        <v/>
      </c>
      <c r="CD30" s="108" t="str">
        <f t="shared" si="44"/>
        <v/>
      </c>
      <c r="CE30" s="108" t="str">
        <f t="shared" si="44"/>
        <v/>
      </c>
      <c r="CF30" s="108" t="str">
        <f t="shared" si="44"/>
        <v/>
      </c>
      <c r="CG30" s="108" t="str">
        <f t="shared" si="44"/>
        <v/>
      </c>
      <c r="CH30" s="108" t="str">
        <f t="shared" si="44"/>
        <v/>
      </c>
      <c r="CI30" s="108" t="str">
        <f t="shared" si="44"/>
        <v/>
      </c>
      <c r="CJ30" s="108" t="str">
        <f t="shared" si="44"/>
        <v/>
      </c>
      <c r="CK30" s="108" t="str">
        <f t="shared" si="44"/>
        <v/>
      </c>
      <c r="CL30" s="108" t="str">
        <f t="shared" si="44"/>
        <v/>
      </c>
      <c r="CM30" s="108" t="str">
        <f t="shared" si="45"/>
        <v/>
      </c>
      <c r="CN30" s="108" t="str">
        <f t="shared" si="45"/>
        <v/>
      </c>
      <c r="CO30" s="108" t="str">
        <f t="shared" si="45"/>
        <v/>
      </c>
      <c r="CP30" s="108" t="str">
        <f t="shared" si="45"/>
        <v/>
      </c>
      <c r="CQ30" s="108" t="str">
        <f t="shared" si="45"/>
        <v/>
      </c>
      <c r="CR30" s="109" t="str">
        <f t="shared" si="45"/>
        <v/>
      </c>
      <c r="CS30" s="108" t="str">
        <f t="shared" si="45"/>
        <v/>
      </c>
      <c r="CT30" s="108" t="str">
        <f t="shared" si="45"/>
        <v/>
      </c>
      <c r="CU30" s="108" t="str">
        <f t="shared" si="45"/>
        <v/>
      </c>
      <c r="CV30" s="108" t="str">
        <f t="shared" si="45"/>
        <v/>
      </c>
      <c r="CW30" s="108" t="str">
        <f t="shared" si="46"/>
        <v/>
      </c>
      <c r="CX30" s="108" t="str">
        <f t="shared" si="46"/>
        <v/>
      </c>
      <c r="CY30" s="108" t="str">
        <f t="shared" si="46"/>
        <v/>
      </c>
      <c r="CZ30" s="109" t="str">
        <f t="shared" si="46"/>
        <v/>
      </c>
      <c r="DA30" s="108" t="str">
        <f t="shared" si="46"/>
        <v/>
      </c>
      <c r="DB30" s="108" t="str">
        <f t="shared" si="46"/>
        <v/>
      </c>
      <c r="DC30" s="108" t="str">
        <f t="shared" si="46"/>
        <v/>
      </c>
      <c r="DD30" s="108" t="str">
        <f t="shared" si="46"/>
        <v/>
      </c>
      <c r="DE30" s="108" t="str">
        <f t="shared" si="46"/>
        <v/>
      </c>
      <c r="DF30" s="108" t="str">
        <f t="shared" si="46"/>
        <v/>
      </c>
      <c r="DG30" s="108" t="str">
        <f t="shared" si="47"/>
        <v/>
      </c>
      <c r="DH30" s="109" t="str">
        <f t="shared" si="47"/>
        <v/>
      </c>
      <c r="DI30" s="108" t="str">
        <f t="shared" si="47"/>
        <v/>
      </c>
      <c r="DJ30" s="108" t="str">
        <f t="shared" si="47"/>
        <v/>
      </c>
      <c r="DK30" s="108" t="str">
        <f t="shared" si="47"/>
        <v/>
      </c>
      <c r="DL30" s="108" t="str">
        <f t="shared" si="47"/>
        <v/>
      </c>
      <c r="DM30" s="108" t="str">
        <f t="shared" si="47"/>
        <v/>
      </c>
      <c r="DN30" s="108" t="str">
        <f t="shared" si="47"/>
        <v/>
      </c>
      <c r="DO30" s="109" t="str">
        <f t="shared" si="47"/>
        <v/>
      </c>
      <c r="DP30" s="108" t="str">
        <f t="shared" si="47"/>
        <v/>
      </c>
      <c r="DQ30" s="108" t="str">
        <f t="shared" si="48"/>
        <v/>
      </c>
      <c r="DR30" s="108" t="str">
        <f t="shared" si="48"/>
        <v/>
      </c>
      <c r="DS30" s="108" t="str">
        <f t="shared" si="48"/>
        <v/>
      </c>
      <c r="DT30" s="108" t="str">
        <f t="shared" si="48"/>
        <v/>
      </c>
      <c r="DU30" s="108" t="str">
        <f t="shared" si="48"/>
        <v/>
      </c>
      <c r="DV30" s="108" t="str">
        <f t="shared" si="48"/>
        <v/>
      </c>
      <c r="DW30" s="109" t="str">
        <f t="shared" si="48"/>
        <v/>
      </c>
      <c r="DX30" s="108" t="str">
        <f t="shared" si="48"/>
        <v/>
      </c>
      <c r="DY30" s="108" t="str">
        <f t="shared" si="48"/>
        <v/>
      </c>
      <c r="DZ30" s="108" t="str">
        <f t="shared" si="48"/>
        <v/>
      </c>
      <c r="EA30" s="108" t="str">
        <f t="shared" si="49"/>
        <v/>
      </c>
      <c r="EB30" s="108" t="str">
        <f t="shared" si="49"/>
        <v/>
      </c>
      <c r="EC30" s="108" t="str">
        <f t="shared" si="49"/>
        <v/>
      </c>
      <c r="ED30" s="109" t="str">
        <f t="shared" si="49"/>
        <v/>
      </c>
      <c r="EE30" s="108" t="str">
        <f t="shared" si="49"/>
        <v/>
      </c>
      <c r="EF30" s="108" t="str">
        <f t="shared" si="49"/>
        <v/>
      </c>
      <c r="EG30" s="108" t="str">
        <f t="shared" si="49"/>
        <v/>
      </c>
      <c r="EH30" s="108" t="str">
        <f t="shared" si="49"/>
        <v/>
      </c>
      <c r="EI30" s="108" t="str">
        <f t="shared" si="49"/>
        <v/>
      </c>
      <c r="EJ30" s="108" t="str">
        <f t="shared" si="49"/>
        <v/>
      </c>
      <c r="EK30" s="108" t="str">
        <f t="shared" si="50"/>
        <v/>
      </c>
      <c r="EL30" s="108" t="str">
        <f t="shared" si="50"/>
        <v/>
      </c>
      <c r="EM30" s="108" t="str">
        <f t="shared" si="50"/>
        <v/>
      </c>
      <c r="EN30" s="108" t="str">
        <f t="shared" si="50"/>
        <v/>
      </c>
      <c r="EO30" s="108" t="str">
        <f t="shared" si="50"/>
        <v/>
      </c>
      <c r="EP30" s="108" t="str">
        <f t="shared" si="50"/>
        <v/>
      </c>
      <c r="EQ30" s="108" t="str">
        <f t="shared" si="50"/>
        <v/>
      </c>
      <c r="ER30" s="108" t="str">
        <f t="shared" si="50"/>
        <v/>
      </c>
      <c r="ES30" s="109" t="str">
        <f t="shared" si="50"/>
        <v/>
      </c>
      <c r="ET30" s="108" t="str">
        <f t="shared" si="50"/>
        <v/>
      </c>
      <c r="EU30" s="108" t="str">
        <f t="shared" si="51"/>
        <v/>
      </c>
      <c r="EV30" s="108" t="str">
        <f t="shared" si="51"/>
        <v/>
      </c>
      <c r="EW30" s="108" t="str">
        <f t="shared" si="51"/>
        <v/>
      </c>
      <c r="EX30" s="108" t="str">
        <f t="shared" si="51"/>
        <v/>
      </c>
      <c r="EY30" s="108" t="str">
        <f t="shared" si="51"/>
        <v/>
      </c>
      <c r="EZ30" s="108" t="str">
        <f t="shared" si="51"/>
        <v/>
      </c>
      <c r="FA30" s="108" t="str">
        <f t="shared" si="51"/>
        <v/>
      </c>
      <c r="FB30" s="108" t="str">
        <f t="shared" si="51"/>
        <v/>
      </c>
      <c r="FC30" s="108" t="str">
        <f t="shared" si="51"/>
        <v/>
      </c>
      <c r="FD30" s="108" t="str">
        <f t="shared" si="51"/>
        <v/>
      </c>
      <c r="FE30" s="108" t="str">
        <f t="shared" si="52"/>
        <v/>
      </c>
      <c r="FF30" s="109" t="str">
        <f t="shared" si="52"/>
        <v/>
      </c>
      <c r="FG30" s="108" t="str">
        <f t="shared" si="52"/>
        <v/>
      </c>
      <c r="FH30" s="108" t="str">
        <f t="shared" si="52"/>
        <v/>
      </c>
      <c r="FI30" s="108" t="str">
        <f t="shared" si="52"/>
        <v/>
      </c>
      <c r="FJ30" s="108" t="str">
        <f t="shared" si="52"/>
        <v/>
      </c>
      <c r="FK30" s="108" t="str">
        <f t="shared" si="52"/>
        <v/>
      </c>
      <c r="FL30" s="108" t="str">
        <f t="shared" si="52"/>
        <v/>
      </c>
      <c r="FM30" s="108" t="str">
        <f t="shared" si="52"/>
        <v/>
      </c>
      <c r="FN30" s="108" t="str">
        <f t="shared" si="52"/>
        <v/>
      </c>
      <c r="FO30" s="108" t="str">
        <f t="shared" si="53"/>
        <v/>
      </c>
      <c r="FP30" s="108" t="str">
        <f t="shared" si="53"/>
        <v/>
      </c>
      <c r="FQ30" s="108" t="str">
        <f t="shared" si="53"/>
        <v/>
      </c>
      <c r="FR30" s="108" t="str">
        <f t="shared" si="53"/>
        <v/>
      </c>
      <c r="FS30" s="108" t="str">
        <f t="shared" si="53"/>
        <v/>
      </c>
      <c r="FT30" s="108" t="str">
        <f t="shared" si="53"/>
        <v/>
      </c>
      <c r="FU30" s="108" t="str">
        <f t="shared" si="53"/>
        <v/>
      </c>
      <c r="FV30" s="108" t="str">
        <f t="shared" si="53"/>
        <v/>
      </c>
      <c r="FW30" s="110" t="str">
        <f t="shared" si="53"/>
        <v/>
      </c>
    </row>
    <row r="31" spans="2:179" s="101" customFormat="1" ht="21" customHeight="1" x14ac:dyDescent="0.35">
      <c r="B31" s="27" t="e">
        <f>Portfolio_Daten!#REF!</f>
        <v>#REF!</v>
      </c>
      <c r="C31" s="27">
        <f>Portfolio_Daten!B30</f>
        <v>0</v>
      </c>
      <c r="D31" s="28">
        <f>Portfolio_Daten!E30</f>
        <v>0</v>
      </c>
      <c r="E31" s="31">
        <f>Portfolio_Daten!T30</f>
        <v>0</v>
      </c>
      <c r="F31" s="31">
        <f>Portfolio_Daten!U30</f>
        <v>0</v>
      </c>
      <c r="G31" s="107">
        <f>IF(F31="","",NETWORKDAYS(E31,F31,Parameter!$C$4:$C$51))</f>
        <v>0</v>
      </c>
      <c r="H31" s="29">
        <f>Portfolio_Daten!AG30</f>
        <v>0</v>
      </c>
      <c r="I31" s="33">
        <f>Portfolio_Daten!AI30</f>
        <v>0</v>
      </c>
      <c r="J31" s="106"/>
      <c r="K31" s="108" t="str">
        <f t="shared" si="37"/>
        <v/>
      </c>
      <c r="L31" s="108" t="str">
        <f t="shared" si="37"/>
        <v/>
      </c>
      <c r="M31" s="108" t="str">
        <f t="shared" si="37"/>
        <v/>
      </c>
      <c r="N31" s="108" t="str">
        <f t="shared" si="37"/>
        <v/>
      </c>
      <c r="O31" s="108" t="str">
        <f t="shared" si="37"/>
        <v/>
      </c>
      <c r="P31" s="108" t="str">
        <f t="shared" si="37"/>
        <v/>
      </c>
      <c r="Q31" s="108" t="str">
        <f t="shared" si="37"/>
        <v/>
      </c>
      <c r="R31" s="108" t="str">
        <f t="shared" si="37"/>
        <v/>
      </c>
      <c r="S31" s="108" t="str">
        <f t="shared" si="37"/>
        <v/>
      </c>
      <c r="T31" s="108" t="str">
        <f t="shared" si="37"/>
        <v/>
      </c>
      <c r="U31" s="108" t="str">
        <f t="shared" si="38"/>
        <v/>
      </c>
      <c r="V31" s="108" t="str">
        <f t="shared" si="38"/>
        <v/>
      </c>
      <c r="W31" s="108" t="str">
        <f t="shared" si="38"/>
        <v/>
      </c>
      <c r="X31" s="108" t="str">
        <f t="shared" si="38"/>
        <v/>
      </c>
      <c r="Y31" s="108" t="str">
        <f t="shared" si="38"/>
        <v/>
      </c>
      <c r="Z31" s="108" t="str">
        <f t="shared" si="38"/>
        <v/>
      </c>
      <c r="AA31" s="108" t="str">
        <f t="shared" si="38"/>
        <v/>
      </c>
      <c r="AB31" s="108" t="str">
        <f t="shared" si="38"/>
        <v/>
      </c>
      <c r="AC31" s="108" t="str">
        <f t="shared" si="38"/>
        <v/>
      </c>
      <c r="AD31" s="108" t="str">
        <f t="shared" si="38"/>
        <v/>
      </c>
      <c r="AE31" s="108" t="str">
        <f t="shared" si="39"/>
        <v/>
      </c>
      <c r="AF31" s="108" t="str">
        <f t="shared" si="39"/>
        <v/>
      </c>
      <c r="AG31" s="108" t="str">
        <f t="shared" si="39"/>
        <v/>
      </c>
      <c r="AH31" s="108" t="str">
        <f t="shared" si="39"/>
        <v/>
      </c>
      <c r="AI31" s="108" t="str">
        <f t="shared" si="39"/>
        <v/>
      </c>
      <c r="AJ31" s="108" t="str">
        <f t="shared" si="39"/>
        <v/>
      </c>
      <c r="AK31" s="108" t="str">
        <f t="shared" si="39"/>
        <v/>
      </c>
      <c r="AL31" s="108" t="str">
        <f t="shared" si="39"/>
        <v/>
      </c>
      <c r="AM31" s="108" t="str">
        <f t="shared" si="39"/>
        <v/>
      </c>
      <c r="AN31" s="108" t="str">
        <f t="shared" si="39"/>
        <v/>
      </c>
      <c r="AO31" s="108" t="str">
        <f t="shared" si="40"/>
        <v/>
      </c>
      <c r="AP31" s="108" t="str">
        <f t="shared" si="40"/>
        <v/>
      </c>
      <c r="AQ31" s="108" t="str">
        <f t="shared" si="40"/>
        <v/>
      </c>
      <c r="AR31" s="108" t="str">
        <f t="shared" si="40"/>
        <v/>
      </c>
      <c r="AS31" s="108" t="str">
        <f t="shared" si="40"/>
        <v/>
      </c>
      <c r="AT31" s="108" t="str">
        <f t="shared" si="40"/>
        <v/>
      </c>
      <c r="AU31" s="108" t="str">
        <f t="shared" si="40"/>
        <v/>
      </c>
      <c r="AV31" s="108" t="str">
        <f t="shared" si="40"/>
        <v/>
      </c>
      <c r="AW31" s="108" t="str">
        <f t="shared" si="40"/>
        <v/>
      </c>
      <c r="AX31" s="108" t="str">
        <f t="shared" si="40"/>
        <v/>
      </c>
      <c r="AY31" s="108" t="str">
        <f t="shared" si="41"/>
        <v/>
      </c>
      <c r="AZ31" s="108" t="str">
        <f t="shared" si="41"/>
        <v/>
      </c>
      <c r="BA31" s="108" t="str">
        <f t="shared" si="41"/>
        <v/>
      </c>
      <c r="BB31" s="108" t="str">
        <f t="shared" si="41"/>
        <v/>
      </c>
      <c r="BC31" s="108" t="str">
        <f t="shared" si="41"/>
        <v/>
      </c>
      <c r="BD31" s="108" t="str">
        <f t="shared" si="41"/>
        <v/>
      </c>
      <c r="BE31" s="108" t="str">
        <f t="shared" si="41"/>
        <v/>
      </c>
      <c r="BF31" s="108" t="str">
        <f t="shared" si="41"/>
        <v/>
      </c>
      <c r="BG31" s="108" t="str">
        <f t="shared" si="41"/>
        <v/>
      </c>
      <c r="BH31" s="108" t="str">
        <f t="shared" si="41"/>
        <v/>
      </c>
      <c r="BI31" s="108" t="str">
        <f t="shared" si="42"/>
        <v/>
      </c>
      <c r="BJ31" s="108" t="str">
        <f t="shared" si="42"/>
        <v/>
      </c>
      <c r="BK31" s="108" t="str">
        <f t="shared" si="42"/>
        <v/>
      </c>
      <c r="BL31" s="108" t="str">
        <f t="shared" si="42"/>
        <v/>
      </c>
      <c r="BM31" s="108" t="str">
        <f t="shared" si="42"/>
        <v/>
      </c>
      <c r="BN31" s="108" t="str">
        <f t="shared" si="42"/>
        <v/>
      </c>
      <c r="BO31" s="108" t="str">
        <f t="shared" si="42"/>
        <v/>
      </c>
      <c r="BP31" s="108" t="str">
        <f t="shared" si="42"/>
        <v/>
      </c>
      <c r="BQ31" s="108" t="str">
        <f t="shared" si="42"/>
        <v/>
      </c>
      <c r="BR31" s="108" t="str">
        <f t="shared" si="42"/>
        <v/>
      </c>
      <c r="BS31" s="108" t="str">
        <f t="shared" si="43"/>
        <v/>
      </c>
      <c r="BT31" s="108" t="str">
        <f t="shared" si="43"/>
        <v/>
      </c>
      <c r="BU31" s="108" t="str">
        <f t="shared" si="43"/>
        <v/>
      </c>
      <c r="BV31" s="108" t="str">
        <f t="shared" si="43"/>
        <v/>
      </c>
      <c r="BW31" s="108" t="str">
        <f t="shared" si="43"/>
        <v/>
      </c>
      <c r="BX31" s="108" t="str">
        <f t="shared" si="43"/>
        <v/>
      </c>
      <c r="BY31" s="108" t="str">
        <f t="shared" si="43"/>
        <v/>
      </c>
      <c r="BZ31" s="108" t="str">
        <f t="shared" si="43"/>
        <v/>
      </c>
      <c r="CA31" s="108" t="str">
        <f t="shared" si="43"/>
        <v/>
      </c>
      <c r="CB31" s="108" t="str">
        <f t="shared" si="43"/>
        <v/>
      </c>
      <c r="CC31" s="108" t="str">
        <f t="shared" si="44"/>
        <v/>
      </c>
      <c r="CD31" s="108" t="str">
        <f t="shared" si="44"/>
        <v/>
      </c>
      <c r="CE31" s="108" t="str">
        <f t="shared" si="44"/>
        <v/>
      </c>
      <c r="CF31" s="108" t="str">
        <f t="shared" si="44"/>
        <v/>
      </c>
      <c r="CG31" s="108" t="str">
        <f t="shared" si="44"/>
        <v/>
      </c>
      <c r="CH31" s="108" t="str">
        <f t="shared" si="44"/>
        <v/>
      </c>
      <c r="CI31" s="108" t="str">
        <f t="shared" si="44"/>
        <v/>
      </c>
      <c r="CJ31" s="108" t="str">
        <f t="shared" si="44"/>
        <v/>
      </c>
      <c r="CK31" s="108" t="str">
        <f t="shared" si="44"/>
        <v/>
      </c>
      <c r="CL31" s="108" t="str">
        <f t="shared" si="44"/>
        <v/>
      </c>
      <c r="CM31" s="108" t="str">
        <f t="shared" si="45"/>
        <v/>
      </c>
      <c r="CN31" s="108" t="str">
        <f t="shared" si="45"/>
        <v/>
      </c>
      <c r="CO31" s="108" t="str">
        <f t="shared" si="45"/>
        <v/>
      </c>
      <c r="CP31" s="108" t="str">
        <f t="shared" si="45"/>
        <v/>
      </c>
      <c r="CQ31" s="108" t="str">
        <f t="shared" si="45"/>
        <v/>
      </c>
      <c r="CR31" s="109" t="str">
        <f t="shared" si="45"/>
        <v/>
      </c>
      <c r="CS31" s="108" t="str">
        <f t="shared" si="45"/>
        <v/>
      </c>
      <c r="CT31" s="108" t="str">
        <f t="shared" si="45"/>
        <v/>
      </c>
      <c r="CU31" s="108" t="str">
        <f t="shared" si="45"/>
        <v/>
      </c>
      <c r="CV31" s="108" t="str">
        <f t="shared" si="45"/>
        <v/>
      </c>
      <c r="CW31" s="108" t="str">
        <f t="shared" si="46"/>
        <v/>
      </c>
      <c r="CX31" s="108" t="str">
        <f t="shared" si="46"/>
        <v/>
      </c>
      <c r="CY31" s="108" t="str">
        <f t="shared" si="46"/>
        <v/>
      </c>
      <c r="CZ31" s="109" t="str">
        <f t="shared" si="46"/>
        <v/>
      </c>
      <c r="DA31" s="108" t="str">
        <f t="shared" si="46"/>
        <v/>
      </c>
      <c r="DB31" s="108" t="str">
        <f t="shared" si="46"/>
        <v/>
      </c>
      <c r="DC31" s="108" t="str">
        <f t="shared" si="46"/>
        <v/>
      </c>
      <c r="DD31" s="108" t="str">
        <f t="shared" si="46"/>
        <v/>
      </c>
      <c r="DE31" s="108" t="str">
        <f t="shared" si="46"/>
        <v/>
      </c>
      <c r="DF31" s="108" t="str">
        <f t="shared" si="46"/>
        <v/>
      </c>
      <c r="DG31" s="108" t="str">
        <f t="shared" si="47"/>
        <v/>
      </c>
      <c r="DH31" s="109" t="str">
        <f t="shared" si="47"/>
        <v/>
      </c>
      <c r="DI31" s="108" t="str">
        <f t="shared" si="47"/>
        <v/>
      </c>
      <c r="DJ31" s="108" t="str">
        <f t="shared" si="47"/>
        <v/>
      </c>
      <c r="DK31" s="108" t="str">
        <f t="shared" si="47"/>
        <v/>
      </c>
      <c r="DL31" s="108" t="str">
        <f t="shared" si="47"/>
        <v/>
      </c>
      <c r="DM31" s="108" t="str">
        <f t="shared" si="47"/>
        <v/>
      </c>
      <c r="DN31" s="108" t="str">
        <f t="shared" si="47"/>
        <v/>
      </c>
      <c r="DO31" s="109" t="str">
        <f t="shared" si="47"/>
        <v/>
      </c>
      <c r="DP31" s="108" t="str">
        <f t="shared" si="47"/>
        <v/>
      </c>
      <c r="DQ31" s="108" t="str">
        <f t="shared" si="48"/>
        <v/>
      </c>
      <c r="DR31" s="108" t="str">
        <f t="shared" si="48"/>
        <v/>
      </c>
      <c r="DS31" s="108" t="str">
        <f t="shared" si="48"/>
        <v/>
      </c>
      <c r="DT31" s="108" t="str">
        <f t="shared" si="48"/>
        <v/>
      </c>
      <c r="DU31" s="108" t="str">
        <f t="shared" si="48"/>
        <v/>
      </c>
      <c r="DV31" s="108" t="str">
        <f t="shared" si="48"/>
        <v/>
      </c>
      <c r="DW31" s="109" t="str">
        <f t="shared" si="48"/>
        <v/>
      </c>
      <c r="DX31" s="108" t="str">
        <f t="shared" si="48"/>
        <v/>
      </c>
      <c r="DY31" s="108" t="str">
        <f t="shared" si="48"/>
        <v/>
      </c>
      <c r="DZ31" s="108" t="str">
        <f t="shared" si="48"/>
        <v/>
      </c>
      <c r="EA31" s="108" t="str">
        <f t="shared" si="49"/>
        <v/>
      </c>
      <c r="EB31" s="108" t="str">
        <f t="shared" si="49"/>
        <v/>
      </c>
      <c r="EC31" s="108" t="str">
        <f t="shared" si="49"/>
        <v/>
      </c>
      <c r="ED31" s="109" t="str">
        <f t="shared" si="49"/>
        <v/>
      </c>
      <c r="EE31" s="108" t="str">
        <f t="shared" si="49"/>
        <v/>
      </c>
      <c r="EF31" s="108" t="str">
        <f t="shared" si="49"/>
        <v/>
      </c>
      <c r="EG31" s="108" t="str">
        <f t="shared" si="49"/>
        <v/>
      </c>
      <c r="EH31" s="108" t="str">
        <f t="shared" si="49"/>
        <v/>
      </c>
      <c r="EI31" s="108" t="str">
        <f t="shared" si="49"/>
        <v/>
      </c>
      <c r="EJ31" s="108" t="str">
        <f t="shared" si="49"/>
        <v/>
      </c>
      <c r="EK31" s="108" t="str">
        <f t="shared" si="50"/>
        <v/>
      </c>
      <c r="EL31" s="108" t="str">
        <f t="shared" si="50"/>
        <v/>
      </c>
      <c r="EM31" s="108" t="str">
        <f t="shared" si="50"/>
        <v/>
      </c>
      <c r="EN31" s="108" t="str">
        <f t="shared" si="50"/>
        <v/>
      </c>
      <c r="EO31" s="108" t="str">
        <f t="shared" si="50"/>
        <v/>
      </c>
      <c r="EP31" s="108" t="str">
        <f t="shared" si="50"/>
        <v/>
      </c>
      <c r="EQ31" s="108" t="str">
        <f t="shared" si="50"/>
        <v/>
      </c>
      <c r="ER31" s="108" t="str">
        <f t="shared" si="50"/>
        <v/>
      </c>
      <c r="ES31" s="109" t="str">
        <f t="shared" si="50"/>
        <v/>
      </c>
      <c r="ET31" s="108" t="str">
        <f t="shared" si="50"/>
        <v/>
      </c>
      <c r="EU31" s="108" t="str">
        <f t="shared" si="51"/>
        <v/>
      </c>
      <c r="EV31" s="108" t="str">
        <f t="shared" si="51"/>
        <v/>
      </c>
      <c r="EW31" s="108" t="str">
        <f t="shared" si="51"/>
        <v/>
      </c>
      <c r="EX31" s="108" t="str">
        <f t="shared" si="51"/>
        <v/>
      </c>
      <c r="EY31" s="108" t="str">
        <f t="shared" si="51"/>
        <v/>
      </c>
      <c r="EZ31" s="108" t="str">
        <f t="shared" si="51"/>
        <v/>
      </c>
      <c r="FA31" s="108" t="str">
        <f t="shared" si="51"/>
        <v/>
      </c>
      <c r="FB31" s="108" t="str">
        <f t="shared" si="51"/>
        <v/>
      </c>
      <c r="FC31" s="108" t="str">
        <f t="shared" si="51"/>
        <v/>
      </c>
      <c r="FD31" s="108" t="str">
        <f t="shared" si="51"/>
        <v/>
      </c>
      <c r="FE31" s="108" t="str">
        <f t="shared" si="52"/>
        <v/>
      </c>
      <c r="FF31" s="109" t="str">
        <f t="shared" si="52"/>
        <v/>
      </c>
      <c r="FG31" s="108" t="str">
        <f t="shared" si="52"/>
        <v/>
      </c>
      <c r="FH31" s="108" t="str">
        <f t="shared" si="52"/>
        <v/>
      </c>
      <c r="FI31" s="108" t="str">
        <f t="shared" si="52"/>
        <v/>
      </c>
      <c r="FJ31" s="108" t="str">
        <f t="shared" si="52"/>
        <v/>
      </c>
      <c r="FK31" s="108" t="str">
        <f t="shared" si="52"/>
        <v/>
      </c>
      <c r="FL31" s="108" t="str">
        <f t="shared" si="52"/>
        <v/>
      </c>
      <c r="FM31" s="108" t="str">
        <f t="shared" si="52"/>
        <v/>
      </c>
      <c r="FN31" s="108" t="str">
        <f t="shared" si="52"/>
        <v/>
      </c>
      <c r="FO31" s="108" t="str">
        <f t="shared" si="53"/>
        <v/>
      </c>
      <c r="FP31" s="108" t="str">
        <f t="shared" si="53"/>
        <v/>
      </c>
      <c r="FQ31" s="108" t="str">
        <f t="shared" si="53"/>
        <v/>
      </c>
      <c r="FR31" s="108" t="str">
        <f t="shared" si="53"/>
        <v/>
      </c>
      <c r="FS31" s="108" t="str">
        <f t="shared" si="53"/>
        <v/>
      </c>
      <c r="FT31" s="108" t="str">
        <f t="shared" si="53"/>
        <v/>
      </c>
      <c r="FU31" s="108" t="str">
        <f t="shared" si="53"/>
        <v/>
      </c>
      <c r="FV31" s="108" t="str">
        <f t="shared" si="53"/>
        <v/>
      </c>
      <c r="FW31" s="110" t="str">
        <f t="shared" si="53"/>
        <v/>
      </c>
    </row>
    <row r="32" spans="2:179" s="101" customFormat="1" ht="21" customHeight="1" x14ac:dyDescent="0.35">
      <c r="B32" s="27" t="e">
        <f>Portfolio_Daten!#REF!</f>
        <v>#REF!</v>
      </c>
      <c r="C32" s="27">
        <f>Portfolio_Daten!B31</f>
        <v>0</v>
      </c>
      <c r="D32" s="28">
        <f>Portfolio_Daten!E31</f>
        <v>0</v>
      </c>
      <c r="E32" s="31">
        <f>Portfolio_Daten!T31</f>
        <v>0</v>
      </c>
      <c r="F32" s="31">
        <f>Portfolio_Daten!U31</f>
        <v>0</v>
      </c>
      <c r="G32" s="107">
        <f>IF(F32="","",NETWORKDAYS(E32,F32,Parameter!$C$4:$C$51))</f>
        <v>0</v>
      </c>
      <c r="H32" s="29">
        <f>Portfolio_Daten!AG31</f>
        <v>0</v>
      </c>
      <c r="I32" s="33">
        <f>Portfolio_Daten!AI31</f>
        <v>0</v>
      </c>
      <c r="J32" s="106"/>
      <c r="K32" s="108" t="str">
        <f t="shared" si="37"/>
        <v/>
      </c>
      <c r="L32" s="108" t="str">
        <f t="shared" si="37"/>
        <v/>
      </c>
      <c r="M32" s="108" t="str">
        <f t="shared" si="37"/>
        <v/>
      </c>
      <c r="N32" s="108" t="str">
        <f t="shared" si="37"/>
        <v/>
      </c>
      <c r="O32" s="108" t="str">
        <f t="shared" si="37"/>
        <v/>
      </c>
      <c r="P32" s="108" t="str">
        <f t="shared" si="37"/>
        <v/>
      </c>
      <c r="Q32" s="108" t="str">
        <f t="shared" si="37"/>
        <v/>
      </c>
      <c r="R32" s="108" t="str">
        <f t="shared" si="37"/>
        <v/>
      </c>
      <c r="S32" s="108" t="str">
        <f t="shared" si="37"/>
        <v/>
      </c>
      <c r="T32" s="108" t="str">
        <f t="shared" si="37"/>
        <v/>
      </c>
      <c r="U32" s="108" t="str">
        <f t="shared" si="38"/>
        <v/>
      </c>
      <c r="V32" s="108" t="str">
        <f t="shared" si="38"/>
        <v/>
      </c>
      <c r="W32" s="108" t="str">
        <f t="shared" si="38"/>
        <v/>
      </c>
      <c r="X32" s="108" t="str">
        <f t="shared" si="38"/>
        <v/>
      </c>
      <c r="Y32" s="108" t="str">
        <f t="shared" si="38"/>
        <v/>
      </c>
      <c r="Z32" s="108" t="str">
        <f t="shared" si="38"/>
        <v/>
      </c>
      <c r="AA32" s="108" t="str">
        <f t="shared" si="38"/>
        <v/>
      </c>
      <c r="AB32" s="108" t="str">
        <f t="shared" si="38"/>
        <v/>
      </c>
      <c r="AC32" s="108" t="str">
        <f t="shared" si="38"/>
        <v/>
      </c>
      <c r="AD32" s="108" t="str">
        <f t="shared" si="38"/>
        <v/>
      </c>
      <c r="AE32" s="108" t="str">
        <f t="shared" si="39"/>
        <v/>
      </c>
      <c r="AF32" s="108" t="str">
        <f t="shared" si="39"/>
        <v/>
      </c>
      <c r="AG32" s="108" t="str">
        <f t="shared" si="39"/>
        <v/>
      </c>
      <c r="AH32" s="108" t="str">
        <f t="shared" si="39"/>
        <v/>
      </c>
      <c r="AI32" s="108" t="str">
        <f t="shared" si="39"/>
        <v/>
      </c>
      <c r="AJ32" s="108" t="str">
        <f t="shared" si="39"/>
        <v/>
      </c>
      <c r="AK32" s="108" t="str">
        <f t="shared" si="39"/>
        <v/>
      </c>
      <c r="AL32" s="108" t="str">
        <f t="shared" si="39"/>
        <v/>
      </c>
      <c r="AM32" s="108" t="str">
        <f t="shared" si="39"/>
        <v/>
      </c>
      <c r="AN32" s="108" t="str">
        <f t="shared" si="39"/>
        <v/>
      </c>
      <c r="AO32" s="108" t="str">
        <f t="shared" si="40"/>
        <v/>
      </c>
      <c r="AP32" s="108" t="str">
        <f t="shared" si="40"/>
        <v/>
      </c>
      <c r="AQ32" s="108" t="str">
        <f t="shared" si="40"/>
        <v/>
      </c>
      <c r="AR32" s="108" t="str">
        <f t="shared" si="40"/>
        <v/>
      </c>
      <c r="AS32" s="108" t="str">
        <f t="shared" si="40"/>
        <v/>
      </c>
      <c r="AT32" s="108" t="str">
        <f t="shared" si="40"/>
        <v/>
      </c>
      <c r="AU32" s="108" t="str">
        <f t="shared" si="40"/>
        <v/>
      </c>
      <c r="AV32" s="108" t="str">
        <f t="shared" si="40"/>
        <v/>
      </c>
      <c r="AW32" s="108" t="str">
        <f t="shared" si="40"/>
        <v/>
      </c>
      <c r="AX32" s="108" t="str">
        <f t="shared" si="40"/>
        <v/>
      </c>
      <c r="AY32" s="108" t="str">
        <f t="shared" si="41"/>
        <v/>
      </c>
      <c r="AZ32" s="108" t="str">
        <f t="shared" si="41"/>
        <v/>
      </c>
      <c r="BA32" s="108" t="str">
        <f t="shared" si="41"/>
        <v/>
      </c>
      <c r="BB32" s="108" t="str">
        <f t="shared" si="41"/>
        <v/>
      </c>
      <c r="BC32" s="108" t="str">
        <f t="shared" si="41"/>
        <v/>
      </c>
      <c r="BD32" s="108" t="str">
        <f t="shared" si="41"/>
        <v/>
      </c>
      <c r="BE32" s="108" t="str">
        <f t="shared" si="41"/>
        <v/>
      </c>
      <c r="BF32" s="108" t="str">
        <f t="shared" si="41"/>
        <v/>
      </c>
      <c r="BG32" s="108" t="str">
        <f t="shared" si="41"/>
        <v/>
      </c>
      <c r="BH32" s="108" t="str">
        <f t="shared" si="41"/>
        <v/>
      </c>
      <c r="BI32" s="108" t="str">
        <f t="shared" si="42"/>
        <v/>
      </c>
      <c r="BJ32" s="108" t="str">
        <f t="shared" si="42"/>
        <v/>
      </c>
      <c r="BK32" s="108" t="str">
        <f t="shared" si="42"/>
        <v/>
      </c>
      <c r="BL32" s="108" t="str">
        <f t="shared" si="42"/>
        <v/>
      </c>
      <c r="BM32" s="108" t="str">
        <f t="shared" si="42"/>
        <v/>
      </c>
      <c r="BN32" s="108" t="str">
        <f t="shared" si="42"/>
        <v/>
      </c>
      <c r="BO32" s="108" t="str">
        <f t="shared" si="42"/>
        <v/>
      </c>
      <c r="BP32" s="108" t="str">
        <f t="shared" si="42"/>
        <v/>
      </c>
      <c r="BQ32" s="108" t="str">
        <f t="shared" si="42"/>
        <v/>
      </c>
      <c r="BR32" s="108" t="str">
        <f t="shared" si="42"/>
        <v/>
      </c>
      <c r="BS32" s="108" t="str">
        <f t="shared" si="43"/>
        <v/>
      </c>
      <c r="BT32" s="108" t="str">
        <f t="shared" si="43"/>
        <v/>
      </c>
      <c r="BU32" s="108" t="str">
        <f t="shared" si="43"/>
        <v/>
      </c>
      <c r="BV32" s="108" t="str">
        <f t="shared" si="43"/>
        <v/>
      </c>
      <c r="BW32" s="108" t="str">
        <f t="shared" si="43"/>
        <v/>
      </c>
      <c r="BX32" s="108" t="str">
        <f t="shared" si="43"/>
        <v/>
      </c>
      <c r="BY32" s="108" t="str">
        <f t="shared" si="43"/>
        <v/>
      </c>
      <c r="BZ32" s="108" t="str">
        <f t="shared" si="43"/>
        <v/>
      </c>
      <c r="CA32" s="108" t="str">
        <f t="shared" si="43"/>
        <v/>
      </c>
      <c r="CB32" s="108" t="str">
        <f t="shared" si="43"/>
        <v/>
      </c>
      <c r="CC32" s="108" t="str">
        <f t="shared" si="44"/>
        <v/>
      </c>
      <c r="CD32" s="108" t="str">
        <f t="shared" si="44"/>
        <v/>
      </c>
      <c r="CE32" s="108" t="str">
        <f t="shared" si="44"/>
        <v/>
      </c>
      <c r="CF32" s="108" t="str">
        <f t="shared" si="44"/>
        <v/>
      </c>
      <c r="CG32" s="108" t="str">
        <f t="shared" si="44"/>
        <v/>
      </c>
      <c r="CH32" s="108" t="str">
        <f t="shared" si="44"/>
        <v/>
      </c>
      <c r="CI32" s="108" t="str">
        <f t="shared" si="44"/>
        <v/>
      </c>
      <c r="CJ32" s="108" t="str">
        <f t="shared" si="44"/>
        <v/>
      </c>
      <c r="CK32" s="108" t="str">
        <f t="shared" si="44"/>
        <v/>
      </c>
      <c r="CL32" s="108" t="str">
        <f t="shared" si="44"/>
        <v/>
      </c>
      <c r="CM32" s="108" t="str">
        <f t="shared" si="45"/>
        <v/>
      </c>
      <c r="CN32" s="108" t="str">
        <f t="shared" si="45"/>
        <v/>
      </c>
      <c r="CO32" s="108" t="str">
        <f t="shared" si="45"/>
        <v/>
      </c>
      <c r="CP32" s="108" t="str">
        <f t="shared" si="45"/>
        <v/>
      </c>
      <c r="CQ32" s="108" t="str">
        <f t="shared" si="45"/>
        <v/>
      </c>
      <c r="CR32" s="109" t="str">
        <f t="shared" si="45"/>
        <v/>
      </c>
      <c r="CS32" s="108" t="str">
        <f t="shared" si="45"/>
        <v/>
      </c>
      <c r="CT32" s="108" t="str">
        <f t="shared" si="45"/>
        <v/>
      </c>
      <c r="CU32" s="108" t="str">
        <f t="shared" si="45"/>
        <v/>
      </c>
      <c r="CV32" s="108" t="str">
        <f t="shared" si="45"/>
        <v/>
      </c>
      <c r="CW32" s="108" t="str">
        <f t="shared" si="46"/>
        <v/>
      </c>
      <c r="CX32" s="108" t="str">
        <f t="shared" si="46"/>
        <v/>
      </c>
      <c r="CY32" s="108" t="str">
        <f t="shared" si="46"/>
        <v/>
      </c>
      <c r="CZ32" s="109" t="str">
        <f t="shared" si="46"/>
        <v/>
      </c>
      <c r="DA32" s="108" t="str">
        <f t="shared" si="46"/>
        <v/>
      </c>
      <c r="DB32" s="108" t="str">
        <f t="shared" si="46"/>
        <v/>
      </c>
      <c r="DC32" s="108" t="str">
        <f t="shared" si="46"/>
        <v/>
      </c>
      <c r="DD32" s="108" t="str">
        <f t="shared" si="46"/>
        <v/>
      </c>
      <c r="DE32" s="108" t="str">
        <f t="shared" si="46"/>
        <v/>
      </c>
      <c r="DF32" s="108" t="str">
        <f t="shared" si="46"/>
        <v/>
      </c>
      <c r="DG32" s="108" t="str">
        <f t="shared" si="47"/>
        <v/>
      </c>
      <c r="DH32" s="109" t="str">
        <f t="shared" si="47"/>
        <v/>
      </c>
      <c r="DI32" s="108" t="str">
        <f t="shared" si="47"/>
        <v/>
      </c>
      <c r="DJ32" s="108" t="str">
        <f t="shared" si="47"/>
        <v/>
      </c>
      <c r="DK32" s="108" t="str">
        <f t="shared" si="47"/>
        <v/>
      </c>
      <c r="DL32" s="108" t="str">
        <f t="shared" si="47"/>
        <v/>
      </c>
      <c r="DM32" s="108" t="str">
        <f t="shared" si="47"/>
        <v/>
      </c>
      <c r="DN32" s="108" t="str">
        <f t="shared" si="47"/>
        <v/>
      </c>
      <c r="DO32" s="109" t="str">
        <f t="shared" si="47"/>
        <v/>
      </c>
      <c r="DP32" s="108" t="str">
        <f t="shared" si="47"/>
        <v/>
      </c>
      <c r="DQ32" s="108" t="str">
        <f t="shared" si="48"/>
        <v/>
      </c>
      <c r="DR32" s="108" t="str">
        <f t="shared" si="48"/>
        <v/>
      </c>
      <c r="DS32" s="108" t="str">
        <f t="shared" si="48"/>
        <v/>
      </c>
      <c r="DT32" s="108" t="str">
        <f t="shared" si="48"/>
        <v/>
      </c>
      <c r="DU32" s="108" t="str">
        <f t="shared" si="48"/>
        <v/>
      </c>
      <c r="DV32" s="108" t="str">
        <f t="shared" si="48"/>
        <v/>
      </c>
      <c r="DW32" s="109" t="str">
        <f t="shared" si="48"/>
        <v/>
      </c>
      <c r="DX32" s="108" t="str">
        <f t="shared" si="48"/>
        <v/>
      </c>
      <c r="DY32" s="108" t="str">
        <f t="shared" si="48"/>
        <v/>
      </c>
      <c r="DZ32" s="108" t="str">
        <f t="shared" si="48"/>
        <v/>
      </c>
      <c r="EA32" s="108" t="str">
        <f t="shared" si="49"/>
        <v/>
      </c>
      <c r="EB32" s="108" t="str">
        <f t="shared" si="49"/>
        <v/>
      </c>
      <c r="EC32" s="108" t="str">
        <f t="shared" si="49"/>
        <v/>
      </c>
      <c r="ED32" s="109" t="str">
        <f t="shared" si="49"/>
        <v/>
      </c>
      <c r="EE32" s="108" t="str">
        <f t="shared" si="49"/>
        <v/>
      </c>
      <c r="EF32" s="108" t="str">
        <f t="shared" si="49"/>
        <v/>
      </c>
      <c r="EG32" s="108" t="str">
        <f t="shared" si="49"/>
        <v/>
      </c>
      <c r="EH32" s="108" t="str">
        <f t="shared" si="49"/>
        <v/>
      </c>
      <c r="EI32" s="108" t="str">
        <f t="shared" si="49"/>
        <v/>
      </c>
      <c r="EJ32" s="108" t="str">
        <f t="shared" si="49"/>
        <v/>
      </c>
      <c r="EK32" s="108" t="str">
        <f t="shared" si="50"/>
        <v/>
      </c>
      <c r="EL32" s="108" t="str">
        <f t="shared" si="50"/>
        <v/>
      </c>
      <c r="EM32" s="108" t="str">
        <f t="shared" si="50"/>
        <v/>
      </c>
      <c r="EN32" s="108" t="str">
        <f t="shared" si="50"/>
        <v/>
      </c>
      <c r="EO32" s="108" t="str">
        <f t="shared" si="50"/>
        <v/>
      </c>
      <c r="EP32" s="108" t="str">
        <f t="shared" si="50"/>
        <v/>
      </c>
      <c r="EQ32" s="108" t="str">
        <f t="shared" si="50"/>
        <v/>
      </c>
      <c r="ER32" s="108" t="str">
        <f t="shared" si="50"/>
        <v/>
      </c>
      <c r="ES32" s="109" t="str">
        <f t="shared" si="50"/>
        <v/>
      </c>
      <c r="ET32" s="108" t="str">
        <f t="shared" si="50"/>
        <v/>
      </c>
      <c r="EU32" s="108" t="str">
        <f t="shared" si="51"/>
        <v/>
      </c>
      <c r="EV32" s="108" t="str">
        <f t="shared" si="51"/>
        <v/>
      </c>
      <c r="EW32" s="108" t="str">
        <f t="shared" si="51"/>
        <v/>
      </c>
      <c r="EX32" s="108" t="str">
        <f t="shared" si="51"/>
        <v/>
      </c>
      <c r="EY32" s="108" t="str">
        <f t="shared" si="51"/>
        <v/>
      </c>
      <c r="EZ32" s="108" t="str">
        <f t="shared" si="51"/>
        <v/>
      </c>
      <c r="FA32" s="108" t="str">
        <f t="shared" si="51"/>
        <v/>
      </c>
      <c r="FB32" s="108" t="str">
        <f t="shared" si="51"/>
        <v/>
      </c>
      <c r="FC32" s="108" t="str">
        <f t="shared" si="51"/>
        <v/>
      </c>
      <c r="FD32" s="108" t="str">
        <f t="shared" si="51"/>
        <v/>
      </c>
      <c r="FE32" s="108" t="str">
        <f t="shared" si="52"/>
        <v/>
      </c>
      <c r="FF32" s="109" t="str">
        <f t="shared" si="52"/>
        <v/>
      </c>
      <c r="FG32" s="108" t="str">
        <f t="shared" si="52"/>
        <v/>
      </c>
      <c r="FH32" s="108" t="str">
        <f t="shared" si="52"/>
        <v/>
      </c>
      <c r="FI32" s="108" t="str">
        <f t="shared" si="52"/>
        <v/>
      </c>
      <c r="FJ32" s="108" t="str">
        <f t="shared" si="52"/>
        <v/>
      </c>
      <c r="FK32" s="108" t="str">
        <f t="shared" si="52"/>
        <v/>
      </c>
      <c r="FL32" s="108" t="str">
        <f t="shared" si="52"/>
        <v/>
      </c>
      <c r="FM32" s="108" t="str">
        <f t="shared" si="52"/>
        <v/>
      </c>
      <c r="FN32" s="108" t="str">
        <f t="shared" si="52"/>
        <v/>
      </c>
      <c r="FO32" s="108" t="str">
        <f t="shared" si="53"/>
        <v/>
      </c>
      <c r="FP32" s="108" t="str">
        <f t="shared" si="53"/>
        <v/>
      </c>
      <c r="FQ32" s="108" t="str">
        <f t="shared" si="53"/>
        <v/>
      </c>
      <c r="FR32" s="108" t="str">
        <f t="shared" si="53"/>
        <v/>
      </c>
      <c r="FS32" s="108" t="str">
        <f t="shared" si="53"/>
        <v/>
      </c>
      <c r="FT32" s="108" t="str">
        <f t="shared" si="53"/>
        <v/>
      </c>
      <c r="FU32" s="108" t="str">
        <f t="shared" si="53"/>
        <v/>
      </c>
      <c r="FV32" s="108" t="str">
        <f t="shared" si="53"/>
        <v/>
      </c>
      <c r="FW32" s="110" t="str">
        <f t="shared" si="53"/>
        <v/>
      </c>
    </row>
    <row r="33" spans="2:179" s="101" customFormat="1" ht="21" customHeight="1" x14ac:dyDescent="0.35">
      <c r="B33" s="27" t="e">
        <f>Portfolio_Daten!#REF!</f>
        <v>#REF!</v>
      </c>
      <c r="C33" s="27">
        <f>Portfolio_Daten!B32</f>
        <v>0</v>
      </c>
      <c r="D33" s="28">
        <f>Portfolio_Daten!E32</f>
        <v>0</v>
      </c>
      <c r="E33" s="31">
        <f>Portfolio_Daten!T32</f>
        <v>0</v>
      </c>
      <c r="F33" s="31">
        <f>Portfolio_Daten!U32</f>
        <v>0</v>
      </c>
      <c r="G33" s="107">
        <f>IF(F33="","",NETWORKDAYS(E33,F33,Parameter!$C$4:$C$51))</f>
        <v>0</v>
      </c>
      <c r="H33" s="29">
        <f>Portfolio_Daten!AG32</f>
        <v>0</v>
      </c>
      <c r="I33" s="33">
        <f>Portfolio_Daten!AI32</f>
        <v>0</v>
      </c>
      <c r="J33" s="106"/>
      <c r="K33" s="108" t="str">
        <f t="shared" si="37"/>
        <v/>
      </c>
      <c r="L33" s="108" t="str">
        <f t="shared" si="37"/>
        <v/>
      </c>
      <c r="M33" s="108" t="str">
        <f t="shared" si="37"/>
        <v/>
      </c>
      <c r="N33" s="108" t="str">
        <f t="shared" si="37"/>
        <v/>
      </c>
      <c r="O33" s="108" t="str">
        <f t="shared" si="37"/>
        <v/>
      </c>
      <c r="P33" s="108" t="str">
        <f t="shared" si="37"/>
        <v/>
      </c>
      <c r="Q33" s="108" t="str">
        <f t="shared" si="37"/>
        <v/>
      </c>
      <c r="R33" s="108" t="str">
        <f t="shared" si="37"/>
        <v/>
      </c>
      <c r="S33" s="108" t="str">
        <f t="shared" si="37"/>
        <v/>
      </c>
      <c r="T33" s="108" t="str">
        <f t="shared" si="37"/>
        <v/>
      </c>
      <c r="U33" s="108" t="str">
        <f t="shared" si="38"/>
        <v/>
      </c>
      <c r="V33" s="108" t="str">
        <f t="shared" si="38"/>
        <v/>
      </c>
      <c r="W33" s="108" t="str">
        <f t="shared" si="38"/>
        <v/>
      </c>
      <c r="X33" s="108" t="str">
        <f t="shared" si="38"/>
        <v/>
      </c>
      <c r="Y33" s="108" t="str">
        <f t="shared" si="38"/>
        <v/>
      </c>
      <c r="Z33" s="108" t="str">
        <f t="shared" si="38"/>
        <v/>
      </c>
      <c r="AA33" s="108" t="str">
        <f t="shared" si="38"/>
        <v/>
      </c>
      <c r="AB33" s="108" t="str">
        <f t="shared" si="38"/>
        <v/>
      </c>
      <c r="AC33" s="108" t="str">
        <f t="shared" si="38"/>
        <v/>
      </c>
      <c r="AD33" s="108" t="str">
        <f t="shared" si="38"/>
        <v/>
      </c>
      <c r="AE33" s="108" t="str">
        <f t="shared" si="39"/>
        <v/>
      </c>
      <c r="AF33" s="108" t="str">
        <f t="shared" si="39"/>
        <v/>
      </c>
      <c r="AG33" s="108" t="str">
        <f t="shared" si="39"/>
        <v/>
      </c>
      <c r="AH33" s="108" t="str">
        <f t="shared" si="39"/>
        <v/>
      </c>
      <c r="AI33" s="108" t="str">
        <f t="shared" si="39"/>
        <v/>
      </c>
      <c r="AJ33" s="108" t="str">
        <f t="shared" si="39"/>
        <v/>
      </c>
      <c r="AK33" s="108" t="str">
        <f t="shared" si="39"/>
        <v/>
      </c>
      <c r="AL33" s="108" t="str">
        <f t="shared" si="39"/>
        <v/>
      </c>
      <c r="AM33" s="108" t="str">
        <f t="shared" si="39"/>
        <v/>
      </c>
      <c r="AN33" s="108" t="str">
        <f t="shared" si="39"/>
        <v/>
      </c>
      <c r="AO33" s="108" t="str">
        <f t="shared" si="40"/>
        <v/>
      </c>
      <c r="AP33" s="108" t="str">
        <f t="shared" si="40"/>
        <v/>
      </c>
      <c r="AQ33" s="108" t="str">
        <f t="shared" si="40"/>
        <v/>
      </c>
      <c r="AR33" s="108" t="str">
        <f t="shared" si="40"/>
        <v/>
      </c>
      <c r="AS33" s="108" t="str">
        <f t="shared" si="40"/>
        <v/>
      </c>
      <c r="AT33" s="108" t="str">
        <f t="shared" si="40"/>
        <v/>
      </c>
      <c r="AU33" s="108" t="str">
        <f t="shared" si="40"/>
        <v/>
      </c>
      <c r="AV33" s="108" t="str">
        <f t="shared" si="40"/>
        <v/>
      </c>
      <c r="AW33" s="108" t="str">
        <f t="shared" si="40"/>
        <v/>
      </c>
      <c r="AX33" s="108" t="str">
        <f t="shared" si="40"/>
        <v/>
      </c>
      <c r="AY33" s="108" t="str">
        <f t="shared" si="41"/>
        <v/>
      </c>
      <c r="AZ33" s="108" t="str">
        <f t="shared" si="41"/>
        <v/>
      </c>
      <c r="BA33" s="108" t="str">
        <f t="shared" si="41"/>
        <v/>
      </c>
      <c r="BB33" s="108" t="str">
        <f t="shared" si="41"/>
        <v/>
      </c>
      <c r="BC33" s="108" t="str">
        <f t="shared" si="41"/>
        <v/>
      </c>
      <c r="BD33" s="108" t="str">
        <f t="shared" si="41"/>
        <v/>
      </c>
      <c r="BE33" s="108" t="str">
        <f t="shared" si="41"/>
        <v/>
      </c>
      <c r="BF33" s="108" t="str">
        <f t="shared" si="41"/>
        <v/>
      </c>
      <c r="BG33" s="108" t="str">
        <f t="shared" si="41"/>
        <v/>
      </c>
      <c r="BH33" s="108" t="str">
        <f t="shared" si="41"/>
        <v/>
      </c>
      <c r="BI33" s="108" t="str">
        <f t="shared" si="42"/>
        <v/>
      </c>
      <c r="BJ33" s="108" t="str">
        <f t="shared" si="42"/>
        <v/>
      </c>
      <c r="BK33" s="108" t="str">
        <f t="shared" si="42"/>
        <v/>
      </c>
      <c r="BL33" s="108" t="str">
        <f t="shared" si="42"/>
        <v/>
      </c>
      <c r="BM33" s="108" t="str">
        <f t="shared" si="42"/>
        <v/>
      </c>
      <c r="BN33" s="108" t="str">
        <f t="shared" si="42"/>
        <v/>
      </c>
      <c r="BO33" s="108" t="str">
        <f t="shared" si="42"/>
        <v/>
      </c>
      <c r="BP33" s="108" t="str">
        <f t="shared" si="42"/>
        <v/>
      </c>
      <c r="BQ33" s="108" t="str">
        <f t="shared" si="42"/>
        <v/>
      </c>
      <c r="BR33" s="108" t="str">
        <f t="shared" si="42"/>
        <v/>
      </c>
      <c r="BS33" s="108" t="str">
        <f t="shared" si="43"/>
        <v/>
      </c>
      <c r="BT33" s="108" t="str">
        <f t="shared" si="43"/>
        <v/>
      </c>
      <c r="BU33" s="108" t="str">
        <f t="shared" si="43"/>
        <v/>
      </c>
      <c r="BV33" s="108" t="str">
        <f t="shared" si="43"/>
        <v/>
      </c>
      <c r="BW33" s="108" t="str">
        <f t="shared" si="43"/>
        <v/>
      </c>
      <c r="BX33" s="108" t="str">
        <f t="shared" si="43"/>
        <v/>
      </c>
      <c r="BY33" s="108" t="str">
        <f t="shared" si="43"/>
        <v/>
      </c>
      <c r="BZ33" s="108" t="str">
        <f t="shared" si="43"/>
        <v/>
      </c>
      <c r="CA33" s="108" t="str">
        <f t="shared" si="43"/>
        <v/>
      </c>
      <c r="CB33" s="108" t="str">
        <f t="shared" si="43"/>
        <v/>
      </c>
      <c r="CC33" s="108" t="str">
        <f t="shared" si="44"/>
        <v/>
      </c>
      <c r="CD33" s="108" t="str">
        <f t="shared" si="44"/>
        <v/>
      </c>
      <c r="CE33" s="108" t="str">
        <f t="shared" si="44"/>
        <v/>
      </c>
      <c r="CF33" s="108" t="str">
        <f t="shared" si="44"/>
        <v/>
      </c>
      <c r="CG33" s="108" t="str">
        <f t="shared" si="44"/>
        <v/>
      </c>
      <c r="CH33" s="108" t="str">
        <f t="shared" si="44"/>
        <v/>
      </c>
      <c r="CI33" s="108" t="str">
        <f t="shared" si="44"/>
        <v/>
      </c>
      <c r="CJ33" s="108" t="str">
        <f t="shared" si="44"/>
        <v/>
      </c>
      <c r="CK33" s="108" t="str">
        <f t="shared" si="44"/>
        <v/>
      </c>
      <c r="CL33" s="108" t="str">
        <f t="shared" si="44"/>
        <v/>
      </c>
      <c r="CM33" s="108" t="str">
        <f t="shared" si="45"/>
        <v/>
      </c>
      <c r="CN33" s="108" t="str">
        <f t="shared" si="45"/>
        <v/>
      </c>
      <c r="CO33" s="108" t="str">
        <f t="shared" si="45"/>
        <v/>
      </c>
      <c r="CP33" s="108" t="str">
        <f t="shared" si="45"/>
        <v/>
      </c>
      <c r="CQ33" s="108" t="str">
        <f t="shared" si="45"/>
        <v/>
      </c>
      <c r="CR33" s="109" t="str">
        <f t="shared" si="45"/>
        <v/>
      </c>
      <c r="CS33" s="108" t="str">
        <f t="shared" si="45"/>
        <v/>
      </c>
      <c r="CT33" s="108" t="str">
        <f t="shared" si="45"/>
        <v/>
      </c>
      <c r="CU33" s="108" t="str">
        <f t="shared" si="45"/>
        <v/>
      </c>
      <c r="CV33" s="108" t="str">
        <f t="shared" si="45"/>
        <v/>
      </c>
      <c r="CW33" s="108" t="str">
        <f t="shared" si="46"/>
        <v/>
      </c>
      <c r="CX33" s="108" t="str">
        <f t="shared" si="46"/>
        <v/>
      </c>
      <c r="CY33" s="108" t="str">
        <f t="shared" si="46"/>
        <v/>
      </c>
      <c r="CZ33" s="109" t="str">
        <f t="shared" si="46"/>
        <v/>
      </c>
      <c r="DA33" s="108" t="str">
        <f t="shared" si="46"/>
        <v/>
      </c>
      <c r="DB33" s="108" t="str">
        <f t="shared" si="46"/>
        <v/>
      </c>
      <c r="DC33" s="108" t="str">
        <f t="shared" si="46"/>
        <v/>
      </c>
      <c r="DD33" s="108" t="str">
        <f t="shared" si="46"/>
        <v/>
      </c>
      <c r="DE33" s="108" t="str">
        <f t="shared" si="46"/>
        <v/>
      </c>
      <c r="DF33" s="108" t="str">
        <f t="shared" si="46"/>
        <v/>
      </c>
      <c r="DG33" s="108" t="str">
        <f t="shared" si="47"/>
        <v/>
      </c>
      <c r="DH33" s="109" t="str">
        <f t="shared" si="47"/>
        <v/>
      </c>
      <c r="DI33" s="108" t="str">
        <f t="shared" si="47"/>
        <v/>
      </c>
      <c r="DJ33" s="108" t="str">
        <f t="shared" si="47"/>
        <v/>
      </c>
      <c r="DK33" s="108" t="str">
        <f t="shared" si="47"/>
        <v/>
      </c>
      <c r="DL33" s="108" t="str">
        <f t="shared" si="47"/>
        <v/>
      </c>
      <c r="DM33" s="108" t="str">
        <f t="shared" si="47"/>
        <v/>
      </c>
      <c r="DN33" s="108" t="str">
        <f t="shared" si="47"/>
        <v/>
      </c>
      <c r="DO33" s="109" t="str">
        <f t="shared" si="47"/>
        <v/>
      </c>
      <c r="DP33" s="108" t="str">
        <f t="shared" si="47"/>
        <v/>
      </c>
      <c r="DQ33" s="108" t="str">
        <f t="shared" si="48"/>
        <v/>
      </c>
      <c r="DR33" s="108" t="str">
        <f t="shared" si="48"/>
        <v/>
      </c>
      <c r="DS33" s="108" t="str">
        <f t="shared" si="48"/>
        <v/>
      </c>
      <c r="DT33" s="108" t="str">
        <f t="shared" si="48"/>
        <v/>
      </c>
      <c r="DU33" s="108" t="str">
        <f t="shared" si="48"/>
        <v/>
      </c>
      <c r="DV33" s="108" t="str">
        <f t="shared" si="48"/>
        <v/>
      </c>
      <c r="DW33" s="109" t="str">
        <f t="shared" si="48"/>
        <v/>
      </c>
      <c r="DX33" s="108" t="str">
        <f t="shared" si="48"/>
        <v/>
      </c>
      <c r="DY33" s="108" t="str">
        <f t="shared" si="48"/>
        <v/>
      </c>
      <c r="DZ33" s="108" t="str">
        <f t="shared" si="48"/>
        <v/>
      </c>
      <c r="EA33" s="108" t="str">
        <f t="shared" si="49"/>
        <v/>
      </c>
      <c r="EB33" s="108" t="str">
        <f t="shared" si="49"/>
        <v/>
      </c>
      <c r="EC33" s="108" t="str">
        <f t="shared" si="49"/>
        <v/>
      </c>
      <c r="ED33" s="109" t="str">
        <f t="shared" si="49"/>
        <v/>
      </c>
      <c r="EE33" s="108" t="str">
        <f t="shared" si="49"/>
        <v/>
      </c>
      <c r="EF33" s="108" t="str">
        <f t="shared" si="49"/>
        <v/>
      </c>
      <c r="EG33" s="108" t="str">
        <f t="shared" si="49"/>
        <v/>
      </c>
      <c r="EH33" s="108" t="str">
        <f t="shared" si="49"/>
        <v/>
      </c>
      <c r="EI33" s="108" t="str">
        <f t="shared" si="49"/>
        <v/>
      </c>
      <c r="EJ33" s="108" t="str">
        <f t="shared" si="49"/>
        <v/>
      </c>
      <c r="EK33" s="108" t="str">
        <f t="shared" si="50"/>
        <v/>
      </c>
      <c r="EL33" s="108" t="str">
        <f t="shared" si="50"/>
        <v/>
      </c>
      <c r="EM33" s="108" t="str">
        <f t="shared" si="50"/>
        <v/>
      </c>
      <c r="EN33" s="108" t="str">
        <f t="shared" si="50"/>
        <v/>
      </c>
      <c r="EO33" s="108" t="str">
        <f t="shared" si="50"/>
        <v/>
      </c>
      <c r="EP33" s="108" t="str">
        <f t="shared" si="50"/>
        <v/>
      </c>
      <c r="EQ33" s="108" t="str">
        <f t="shared" si="50"/>
        <v/>
      </c>
      <c r="ER33" s="108" t="str">
        <f t="shared" si="50"/>
        <v/>
      </c>
      <c r="ES33" s="109" t="str">
        <f t="shared" si="50"/>
        <v/>
      </c>
      <c r="ET33" s="108" t="str">
        <f t="shared" si="50"/>
        <v/>
      </c>
      <c r="EU33" s="108" t="str">
        <f t="shared" si="51"/>
        <v/>
      </c>
      <c r="EV33" s="108" t="str">
        <f t="shared" si="51"/>
        <v/>
      </c>
      <c r="EW33" s="108" t="str">
        <f t="shared" si="51"/>
        <v/>
      </c>
      <c r="EX33" s="108" t="str">
        <f t="shared" si="51"/>
        <v/>
      </c>
      <c r="EY33" s="108" t="str">
        <f t="shared" si="51"/>
        <v/>
      </c>
      <c r="EZ33" s="108" t="str">
        <f t="shared" si="51"/>
        <v/>
      </c>
      <c r="FA33" s="108" t="str">
        <f t="shared" si="51"/>
        <v/>
      </c>
      <c r="FB33" s="108" t="str">
        <f t="shared" si="51"/>
        <v/>
      </c>
      <c r="FC33" s="108" t="str">
        <f t="shared" si="51"/>
        <v/>
      </c>
      <c r="FD33" s="108" t="str">
        <f t="shared" si="51"/>
        <v/>
      </c>
      <c r="FE33" s="108" t="str">
        <f t="shared" si="52"/>
        <v/>
      </c>
      <c r="FF33" s="109" t="str">
        <f t="shared" si="52"/>
        <v/>
      </c>
      <c r="FG33" s="108" t="str">
        <f t="shared" si="52"/>
        <v/>
      </c>
      <c r="FH33" s="108" t="str">
        <f t="shared" si="52"/>
        <v/>
      </c>
      <c r="FI33" s="108" t="str">
        <f t="shared" si="52"/>
        <v/>
      </c>
      <c r="FJ33" s="108" t="str">
        <f t="shared" si="52"/>
        <v/>
      </c>
      <c r="FK33" s="108" t="str">
        <f t="shared" si="52"/>
        <v/>
      </c>
      <c r="FL33" s="108" t="str">
        <f t="shared" si="52"/>
        <v/>
      </c>
      <c r="FM33" s="108" t="str">
        <f t="shared" si="52"/>
        <v/>
      </c>
      <c r="FN33" s="108" t="str">
        <f t="shared" si="52"/>
        <v/>
      </c>
      <c r="FO33" s="108" t="str">
        <f t="shared" si="53"/>
        <v/>
      </c>
      <c r="FP33" s="108" t="str">
        <f t="shared" si="53"/>
        <v/>
      </c>
      <c r="FQ33" s="108" t="str">
        <f t="shared" si="53"/>
        <v/>
      </c>
      <c r="FR33" s="108" t="str">
        <f t="shared" si="53"/>
        <v/>
      </c>
      <c r="FS33" s="108" t="str">
        <f t="shared" si="53"/>
        <v/>
      </c>
      <c r="FT33" s="108" t="str">
        <f t="shared" si="53"/>
        <v/>
      </c>
      <c r="FU33" s="108" t="str">
        <f t="shared" si="53"/>
        <v/>
      </c>
      <c r="FV33" s="108" t="str">
        <f t="shared" si="53"/>
        <v/>
      </c>
      <c r="FW33" s="110" t="str">
        <f t="shared" si="53"/>
        <v/>
      </c>
    </row>
    <row r="34" spans="2:179" s="101" customFormat="1" ht="21" customHeight="1" x14ac:dyDescent="0.35">
      <c r="B34" s="27" t="e">
        <f>Portfolio_Daten!#REF!</f>
        <v>#REF!</v>
      </c>
      <c r="C34" s="27">
        <f>Portfolio_Daten!B33</f>
        <v>0</v>
      </c>
      <c r="D34" s="28">
        <f>Portfolio_Daten!E33</f>
        <v>0</v>
      </c>
      <c r="E34" s="31">
        <f>Portfolio_Daten!T33</f>
        <v>0</v>
      </c>
      <c r="F34" s="31">
        <f>Portfolio_Daten!U33</f>
        <v>0</v>
      </c>
      <c r="G34" s="107">
        <f>IF(F34="","",NETWORKDAYS(E34,F34,Parameter!$C$4:$C$51))</f>
        <v>0</v>
      </c>
      <c r="H34" s="29">
        <f>Portfolio_Daten!AG33</f>
        <v>0</v>
      </c>
      <c r="I34" s="33">
        <f>Portfolio_Daten!AI33</f>
        <v>0</v>
      </c>
      <c r="J34" s="106"/>
      <c r="K34" s="108" t="str">
        <f t="shared" si="37"/>
        <v/>
      </c>
      <c r="L34" s="108" t="str">
        <f t="shared" si="37"/>
        <v/>
      </c>
      <c r="M34" s="108" t="str">
        <f t="shared" si="37"/>
        <v/>
      </c>
      <c r="N34" s="108" t="str">
        <f t="shared" si="37"/>
        <v/>
      </c>
      <c r="O34" s="108" t="str">
        <f t="shared" si="37"/>
        <v/>
      </c>
      <c r="P34" s="108" t="str">
        <f t="shared" si="37"/>
        <v/>
      </c>
      <c r="Q34" s="108" t="str">
        <f t="shared" si="37"/>
        <v/>
      </c>
      <c r="R34" s="108" t="str">
        <f t="shared" si="37"/>
        <v/>
      </c>
      <c r="S34" s="108" t="str">
        <f t="shared" si="37"/>
        <v/>
      </c>
      <c r="T34" s="108" t="str">
        <f t="shared" si="37"/>
        <v/>
      </c>
      <c r="U34" s="108" t="str">
        <f t="shared" si="38"/>
        <v/>
      </c>
      <c r="V34" s="108" t="str">
        <f t="shared" si="38"/>
        <v/>
      </c>
      <c r="W34" s="108" t="str">
        <f t="shared" si="38"/>
        <v/>
      </c>
      <c r="X34" s="108" t="str">
        <f t="shared" si="38"/>
        <v/>
      </c>
      <c r="Y34" s="108" t="str">
        <f t="shared" si="38"/>
        <v/>
      </c>
      <c r="Z34" s="108" t="str">
        <f t="shared" si="38"/>
        <v/>
      </c>
      <c r="AA34" s="108" t="str">
        <f t="shared" si="38"/>
        <v/>
      </c>
      <c r="AB34" s="108" t="str">
        <f t="shared" si="38"/>
        <v/>
      </c>
      <c r="AC34" s="108" t="str">
        <f t="shared" si="38"/>
        <v/>
      </c>
      <c r="AD34" s="108" t="str">
        <f t="shared" si="38"/>
        <v/>
      </c>
      <c r="AE34" s="108" t="str">
        <f t="shared" si="39"/>
        <v/>
      </c>
      <c r="AF34" s="108" t="str">
        <f t="shared" si="39"/>
        <v/>
      </c>
      <c r="AG34" s="108" t="str">
        <f t="shared" si="39"/>
        <v/>
      </c>
      <c r="AH34" s="108" t="str">
        <f t="shared" si="39"/>
        <v/>
      </c>
      <c r="AI34" s="108" t="str">
        <f t="shared" si="39"/>
        <v/>
      </c>
      <c r="AJ34" s="108" t="str">
        <f t="shared" si="39"/>
        <v/>
      </c>
      <c r="AK34" s="108" t="str">
        <f t="shared" si="39"/>
        <v/>
      </c>
      <c r="AL34" s="108" t="str">
        <f t="shared" si="39"/>
        <v/>
      </c>
      <c r="AM34" s="108" t="str">
        <f t="shared" si="39"/>
        <v/>
      </c>
      <c r="AN34" s="108" t="str">
        <f t="shared" si="39"/>
        <v/>
      </c>
      <c r="AO34" s="108" t="str">
        <f t="shared" si="40"/>
        <v/>
      </c>
      <c r="AP34" s="108" t="str">
        <f t="shared" si="40"/>
        <v/>
      </c>
      <c r="AQ34" s="108" t="str">
        <f t="shared" si="40"/>
        <v/>
      </c>
      <c r="AR34" s="108" t="str">
        <f t="shared" si="40"/>
        <v/>
      </c>
      <c r="AS34" s="108" t="str">
        <f t="shared" si="40"/>
        <v/>
      </c>
      <c r="AT34" s="108" t="str">
        <f t="shared" si="40"/>
        <v/>
      </c>
      <c r="AU34" s="108" t="str">
        <f t="shared" si="40"/>
        <v/>
      </c>
      <c r="AV34" s="108" t="str">
        <f t="shared" si="40"/>
        <v/>
      </c>
      <c r="AW34" s="108" t="str">
        <f t="shared" si="40"/>
        <v/>
      </c>
      <c r="AX34" s="108" t="str">
        <f t="shared" si="40"/>
        <v/>
      </c>
      <c r="AY34" s="108" t="str">
        <f t="shared" si="41"/>
        <v/>
      </c>
      <c r="AZ34" s="108" t="str">
        <f t="shared" si="41"/>
        <v/>
      </c>
      <c r="BA34" s="108" t="str">
        <f t="shared" si="41"/>
        <v/>
      </c>
      <c r="BB34" s="108" t="str">
        <f t="shared" si="41"/>
        <v/>
      </c>
      <c r="BC34" s="108" t="str">
        <f t="shared" si="41"/>
        <v/>
      </c>
      <c r="BD34" s="108" t="str">
        <f t="shared" si="41"/>
        <v/>
      </c>
      <c r="BE34" s="108" t="str">
        <f t="shared" si="41"/>
        <v/>
      </c>
      <c r="BF34" s="108" t="str">
        <f t="shared" si="41"/>
        <v/>
      </c>
      <c r="BG34" s="108" t="str">
        <f t="shared" si="41"/>
        <v/>
      </c>
      <c r="BH34" s="108" t="str">
        <f t="shared" si="41"/>
        <v/>
      </c>
      <c r="BI34" s="108" t="str">
        <f t="shared" si="42"/>
        <v/>
      </c>
      <c r="BJ34" s="108" t="str">
        <f t="shared" si="42"/>
        <v/>
      </c>
      <c r="BK34" s="108" t="str">
        <f t="shared" si="42"/>
        <v/>
      </c>
      <c r="BL34" s="108" t="str">
        <f t="shared" si="42"/>
        <v/>
      </c>
      <c r="BM34" s="108" t="str">
        <f t="shared" si="42"/>
        <v/>
      </c>
      <c r="BN34" s="108" t="str">
        <f t="shared" si="42"/>
        <v/>
      </c>
      <c r="BO34" s="108" t="str">
        <f t="shared" si="42"/>
        <v/>
      </c>
      <c r="BP34" s="108" t="str">
        <f t="shared" si="42"/>
        <v/>
      </c>
      <c r="BQ34" s="108" t="str">
        <f t="shared" si="42"/>
        <v/>
      </c>
      <c r="BR34" s="108" t="str">
        <f t="shared" si="42"/>
        <v/>
      </c>
      <c r="BS34" s="108" t="str">
        <f t="shared" si="43"/>
        <v/>
      </c>
      <c r="BT34" s="108" t="str">
        <f t="shared" si="43"/>
        <v/>
      </c>
      <c r="BU34" s="108" t="str">
        <f t="shared" si="43"/>
        <v/>
      </c>
      <c r="BV34" s="108" t="str">
        <f t="shared" si="43"/>
        <v/>
      </c>
      <c r="BW34" s="108" t="str">
        <f t="shared" si="43"/>
        <v/>
      </c>
      <c r="BX34" s="108" t="str">
        <f t="shared" si="43"/>
        <v/>
      </c>
      <c r="BY34" s="108" t="str">
        <f t="shared" si="43"/>
        <v/>
      </c>
      <c r="BZ34" s="108" t="str">
        <f t="shared" si="43"/>
        <v/>
      </c>
      <c r="CA34" s="108" t="str">
        <f t="shared" si="43"/>
        <v/>
      </c>
      <c r="CB34" s="108" t="str">
        <f t="shared" si="43"/>
        <v/>
      </c>
      <c r="CC34" s="108" t="str">
        <f t="shared" si="44"/>
        <v/>
      </c>
      <c r="CD34" s="108" t="str">
        <f t="shared" si="44"/>
        <v/>
      </c>
      <c r="CE34" s="108" t="str">
        <f t="shared" si="44"/>
        <v/>
      </c>
      <c r="CF34" s="108" t="str">
        <f t="shared" si="44"/>
        <v/>
      </c>
      <c r="CG34" s="108" t="str">
        <f t="shared" si="44"/>
        <v/>
      </c>
      <c r="CH34" s="108" t="str">
        <f t="shared" si="44"/>
        <v/>
      </c>
      <c r="CI34" s="108" t="str">
        <f t="shared" si="44"/>
        <v/>
      </c>
      <c r="CJ34" s="108" t="str">
        <f t="shared" si="44"/>
        <v/>
      </c>
      <c r="CK34" s="108" t="str">
        <f t="shared" si="44"/>
        <v/>
      </c>
      <c r="CL34" s="108" t="str">
        <f t="shared" si="44"/>
        <v/>
      </c>
      <c r="CM34" s="108" t="str">
        <f t="shared" si="45"/>
        <v/>
      </c>
      <c r="CN34" s="108" t="str">
        <f t="shared" si="45"/>
        <v/>
      </c>
      <c r="CO34" s="108" t="str">
        <f t="shared" si="45"/>
        <v/>
      </c>
      <c r="CP34" s="108" t="str">
        <f t="shared" si="45"/>
        <v/>
      </c>
      <c r="CQ34" s="108" t="str">
        <f t="shared" si="45"/>
        <v/>
      </c>
      <c r="CR34" s="109" t="str">
        <f t="shared" si="45"/>
        <v/>
      </c>
      <c r="CS34" s="108" t="str">
        <f t="shared" si="45"/>
        <v/>
      </c>
      <c r="CT34" s="108" t="str">
        <f t="shared" si="45"/>
        <v/>
      </c>
      <c r="CU34" s="108" t="str">
        <f t="shared" si="45"/>
        <v/>
      </c>
      <c r="CV34" s="108" t="str">
        <f t="shared" si="45"/>
        <v/>
      </c>
      <c r="CW34" s="108" t="str">
        <f t="shared" si="46"/>
        <v/>
      </c>
      <c r="CX34" s="108" t="str">
        <f t="shared" si="46"/>
        <v/>
      </c>
      <c r="CY34" s="108" t="str">
        <f t="shared" si="46"/>
        <v/>
      </c>
      <c r="CZ34" s="109" t="str">
        <f t="shared" si="46"/>
        <v/>
      </c>
      <c r="DA34" s="108" t="str">
        <f t="shared" si="46"/>
        <v/>
      </c>
      <c r="DB34" s="108" t="str">
        <f t="shared" si="46"/>
        <v/>
      </c>
      <c r="DC34" s="108" t="str">
        <f t="shared" si="46"/>
        <v/>
      </c>
      <c r="DD34" s="108" t="str">
        <f t="shared" si="46"/>
        <v/>
      </c>
      <c r="DE34" s="108" t="str">
        <f t="shared" si="46"/>
        <v/>
      </c>
      <c r="DF34" s="108" t="str">
        <f t="shared" si="46"/>
        <v/>
      </c>
      <c r="DG34" s="108" t="str">
        <f t="shared" si="47"/>
        <v/>
      </c>
      <c r="DH34" s="109" t="str">
        <f t="shared" si="47"/>
        <v/>
      </c>
      <c r="DI34" s="108" t="str">
        <f t="shared" si="47"/>
        <v/>
      </c>
      <c r="DJ34" s="108" t="str">
        <f t="shared" si="47"/>
        <v/>
      </c>
      <c r="DK34" s="108" t="str">
        <f t="shared" si="47"/>
        <v/>
      </c>
      <c r="DL34" s="108" t="str">
        <f t="shared" si="47"/>
        <v/>
      </c>
      <c r="DM34" s="108" t="str">
        <f t="shared" si="47"/>
        <v/>
      </c>
      <c r="DN34" s="108" t="str">
        <f t="shared" si="47"/>
        <v/>
      </c>
      <c r="DO34" s="109" t="str">
        <f t="shared" si="47"/>
        <v/>
      </c>
      <c r="DP34" s="108" t="str">
        <f t="shared" si="47"/>
        <v/>
      </c>
      <c r="DQ34" s="108" t="str">
        <f t="shared" si="48"/>
        <v/>
      </c>
      <c r="DR34" s="108" t="str">
        <f t="shared" si="48"/>
        <v/>
      </c>
      <c r="DS34" s="108" t="str">
        <f t="shared" si="48"/>
        <v/>
      </c>
      <c r="DT34" s="108" t="str">
        <f t="shared" si="48"/>
        <v/>
      </c>
      <c r="DU34" s="108" t="str">
        <f t="shared" si="48"/>
        <v/>
      </c>
      <c r="DV34" s="108" t="str">
        <f t="shared" si="48"/>
        <v/>
      </c>
      <c r="DW34" s="109" t="str">
        <f t="shared" si="48"/>
        <v/>
      </c>
      <c r="DX34" s="108" t="str">
        <f t="shared" si="48"/>
        <v/>
      </c>
      <c r="DY34" s="108" t="str">
        <f t="shared" si="48"/>
        <v/>
      </c>
      <c r="DZ34" s="108" t="str">
        <f t="shared" si="48"/>
        <v/>
      </c>
      <c r="EA34" s="108" t="str">
        <f t="shared" si="49"/>
        <v/>
      </c>
      <c r="EB34" s="108" t="str">
        <f t="shared" si="49"/>
        <v/>
      </c>
      <c r="EC34" s="108" t="str">
        <f t="shared" si="49"/>
        <v/>
      </c>
      <c r="ED34" s="109" t="str">
        <f t="shared" si="49"/>
        <v/>
      </c>
      <c r="EE34" s="108" t="str">
        <f t="shared" si="49"/>
        <v/>
      </c>
      <c r="EF34" s="108" t="str">
        <f t="shared" si="49"/>
        <v/>
      </c>
      <c r="EG34" s="108" t="str">
        <f t="shared" si="49"/>
        <v/>
      </c>
      <c r="EH34" s="108" t="str">
        <f t="shared" si="49"/>
        <v/>
      </c>
      <c r="EI34" s="108" t="str">
        <f t="shared" si="49"/>
        <v/>
      </c>
      <c r="EJ34" s="108" t="str">
        <f t="shared" si="49"/>
        <v/>
      </c>
      <c r="EK34" s="108" t="str">
        <f t="shared" si="50"/>
        <v/>
      </c>
      <c r="EL34" s="108" t="str">
        <f t="shared" si="50"/>
        <v/>
      </c>
      <c r="EM34" s="108" t="str">
        <f t="shared" si="50"/>
        <v/>
      </c>
      <c r="EN34" s="108" t="str">
        <f t="shared" si="50"/>
        <v/>
      </c>
      <c r="EO34" s="108" t="str">
        <f t="shared" si="50"/>
        <v/>
      </c>
      <c r="EP34" s="108" t="str">
        <f t="shared" si="50"/>
        <v/>
      </c>
      <c r="EQ34" s="108" t="str">
        <f t="shared" si="50"/>
        <v/>
      </c>
      <c r="ER34" s="108" t="str">
        <f t="shared" si="50"/>
        <v/>
      </c>
      <c r="ES34" s="109" t="str">
        <f t="shared" si="50"/>
        <v/>
      </c>
      <c r="ET34" s="108" t="str">
        <f t="shared" si="50"/>
        <v/>
      </c>
      <c r="EU34" s="108" t="str">
        <f t="shared" si="51"/>
        <v/>
      </c>
      <c r="EV34" s="108" t="str">
        <f t="shared" si="51"/>
        <v/>
      </c>
      <c r="EW34" s="108" t="str">
        <f t="shared" si="51"/>
        <v/>
      </c>
      <c r="EX34" s="108" t="str">
        <f t="shared" si="51"/>
        <v/>
      </c>
      <c r="EY34" s="108" t="str">
        <f t="shared" si="51"/>
        <v/>
      </c>
      <c r="EZ34" s="108" t="str">
        <f t="shared" si="51"/>
        <v/>
      </c>
      <c r="FA34" s="108" t="str">
        <f t="shared" si="51"/>
        <v/>
      </c>
      <c r="FB34" s="108" t="str">
        <f t="shared" si="51"/>
        <v/>
      </c>
      <c r="FC34" s="108" t="str">
        <f t="shared" si="51"/>
        <v/>
      </c>
      <c r="FD34" s="108" t="str">
        <f t="shared" si="51"/>
        <v/>
      </c>
      <c r="FE34" s="108" t="str">
        <f t="shared" si="52"/>
        <v/>
      </c>
      <c r="FF34" s="109" t="str">
        <f t="shared" si="52"/>
        <v/>
      </c>
      <c r="FG34" s="108" t="str">
        <f t="shared" si="52"/>
        <v/>
      </c>
      <c r="FH34" s="108" t="str">
        <f t="shared" si="52"/>
        <v/>
      </c>
      <c r="FI34" s="108" t="str">
        <f t="shared" si="52"/>
        <v/>
      </c>
      <c r="FJ34" s="108" t="str">
        <f t="shared" si="52"/>
        <v/>
      </c>
      <c r="FK34" s="108" t="str">
        <f t="shared" si="52"/>
        <v/>
      </c>
      <c r="FL34" s="108" t="str">
        <f t="shared" si="52"/>
        <v/>
      </c>
      <c r="FM34" s="108" t="str">
        <f t="shared" si="52"/>
        <v/>
      </c>
      <c r="FN34" s="108" t="str">
        <f t="shared" si="52"/>
        <v/>
      </c>
      <c r="FO34" s="108" t="str">
        <f t="shared" si="53"/>
        <v/>
      </c>
      <c r="FP34" s="108" t="str">
        <f t="shared" si="53"/>
        <v/>
      </c>
      <c r="FQ34" s="108" t="str">
        <f t="shared" si="53"/>
        <v/>
      </c>
      <c r="FR34" s="108" t="str">
        <f t="shared" si="53"/>
        <v/>
      </c>
      <c r="FS34" s="108" t="str">
        <f t="shared" si="53"/>
        <v/>
      </c>
      <c r="FT34" s="108" t="str">
        <f t="shared" si="53"/>
        <v/>
      </c>
      <c r="FU34" s="108" t="str">
        <f t="shared" si="53"/>
        <v/>
      </c>
      <c r="FV34" s="108" t="str">
        <f t="shared" si="53"/>
        <v/>
      </c>
      <c r="FW34" s="110" t="str">
        <f t="shared" si="53"/>
        <v/>
      </c>
    </row>
    <row r="35" spans="2:179" s="101" customFormat="1" ht="21" customHeight="1" x14ac:dyDescent="0.35">
      <c r="B35" s="27" t="e">
        <f>Portfolio_Daten!#REF!</f>
        <v>#REF!</v>
      </c>
      <c r="C35" s="27">
        <f>Portfolio_Daten!B34</f>
        <v>0</v>
      </c>
      <c r="D35" s="28">
        <f>Portfolio_Daten!E34</f>
        <v>0</v>
      </c>
      <c r="E35" s="31">
        <f>Portfolio_Daten!T34</f>
        <v>0</v>
      </c>
      <c r="F35" s="31">
        <f>Portfolio_Daten!U34</f>
        <v>0</v>
      </c>
      <c r="G35" s="107">
        <f>IF(F35="","",NETWORKDAYS(E35,F35,Parameter!$C$4:$C$51))</f>
        <v>0</v>
      </c>
      <c r="H35" s="29">
        <f>Portfolio_Daten!AG34</f>
        <v>0</v>
      </c>
      <c r="I35" s="33">
        <f>Portfolio_Daten!AI34</f>
        <v>0</v>
      </c>
      <c r="J35" s="106"/>
      <c r="K35" s="108" t="str">
        <f t="shared" si="37"/>
        <v/>
      </c>
      <c r="L35" s="108" t="str">
        <f t="shared" si="37"/>
        <v/>
      </c>
      <c r="M35" s="108" t="str">
        <f t="shared" si="37"/>
        <v/>
      </c>
      <c r="N35" s="108" t="str">
        <f t="shared" si="37"/>
        <v/>
      </c>
      <c r="O35" s="108" t="str">
        <f t="shared" si="37"/>
        <v/>
      </c>
      <c r="P35" s="108" t="str">
        <f t="shared" si="37"/>
        <v/>
      </c>
      <c r="Q35" s="108" t="str">
        <f t="shared" si="37"/>
        <v/>
      </c>
      <c r="R35" s="108" t="str">
        <f t="shared" si="37"/>
        <v/>
      </c>
      <c r="S35" s="108" t="str">
        <f t="shared" si="37"/>
        <v/>
      </c>
      <c r="T35" s="108" t="str">
        <f t="shared" si="37"/>
        <v/>
      </c>
      <c r="U35" s="108" t="str">
        <f t="shared" si="38"/>
        <v/>
      </c>
      <c r="V35" s="108" t="str">
        <f t="shared" si="38"/>
        <v/>
      </c>
      <c r="W35" s="108" t="str">
        <f t="shared" si="38"/>
        <v/>
      </c>
      <c r="X35" s="108" t="str">
        <f t="shared" si="38"/>
        <v/>
      </c>
      <c r="Y35" s="108" t="str">
        <f t="shared" si="38"/>
        <v/>
      </c>
      <c r="Z35" s="108" t="str">
        <f t="shared" si="38"/>
        <v/>
      </c>
      <c r="AA35" s="108" t="str">
        <f t="shared" si="38"/>
        <v/>
      </c>
      <c r="AB35" s="108" t="str">
        <f t="shared" si="38"/>
        <v/>
      </c>
      <c r="AC35" s="108" t="str">
        <f t="shared" si="38"/>
        <v/>
      </c>
      <c r="AD35" s="108" t="str">
        <f t="shared" si="38"/>
        <v/>
      </c>
      <c r="AE35" s="108" t="str">
        <f t="shared" si="39"/>
        <v/>
      </c>
      <c r="AF35" s="108" t="str">
        <f t="shared" si="39"/>
        <v/>
      </c>
      <c r="AG35" s="108" t="str">
        <f t="shared" si="39"/>
        <v/>
      </c>
      <c r="AH35" s="108" t="str">
        <f t="shared" si="39"/>
        <v/>
      </c>
      <c r="AI35" s="108" t="str">
        <f t="shared" si="39"/>
        <v/>
      </c>
      <c r="AJ35" s="108" t="str">
        <f t="shared" si="39"/>
        <v/>
      </c>
      <c r="AK35" s="108" t="str">
        <f t="shared" si="39"/>
        <v/>
      </c>
      <c r="AL35" s="108" t="str">
        <f t="shared" si="39"/>
        <v/>
      </c>
      <c r="AM35" s="108" t="str">
        <f t="shared" si="39"/>
        <v/>
      </c>
      <c r="AN35" s="108" t="str">
        <f t="shared" si="39"/>
        <v/>
      </c>
      <c r="AO35" s="108" t="str">
        <f t="shared" si="40"/>
        <v/>
      </c>
      <c r="AP35" s="108" t="str">
        <f t="shared" si="40"/>
        <v/>
      </c>
      <c r="AQ35" s="108" t="str">
        <f t="shared" si="40"/>
        <v/>
      </c>
      <c r="AR35" s="108" t="str">
        <f t="shared" si="40"/>
        <v/>
      </c>
      <c r="AS35" s="108" t="str">
        <f t="shared" si="40"/>
        <v/>
      </c>
      <c r="AT35" s="108" t="str">
        <f t="shared" si="40"/>
        <v/>
      </c>
      <c r="AU35" s="108" t="str">
        <f t="shared" si="40"/>
        <v/>
      </c>
      <c r="AV35" s="108" t="str">
        <f t="shared" si="40"/>
        <v/>
      </c>
      <c r="AW35" s="108" t="str">
        <f t="shared" si="40"/>
        <v/>
      </c>
      <c r="AX35" s="108" t="str">
        <f t="shared" si="40"/>
        <v/>
      </c>
      <c r="AY35" s="108" t="str">
        <f t="shared" si="41"/>
        <v/>
      </c>
      <c r="AZ35" s="108" t="str">
        <f t="shared" si="41"/>
        <v/>
      </c>
      <c r="BA35" s="108" t="str">
        <f t="shared" si="41"/>
        <v/>
      </c>
      <c r="BB35" s="108" t="str">
        <f t="shared" si="41"/>
        <v/>
      </c>
      <c r="BC35" s="108" t="str">
        <f t="shared" si="41"/>
        <v/>
      </c>
      <c r="BD35" s="108" t="str">
        <f t="shared" si="41"/>
        <v/>
      </c>
      <c r="BE35" s="108" t="str">
        <f t="shared" si="41"/>
        <v/>
      </c>
      <c r="BF35" s="108" t="str">
        <f t="shared" si="41"/>
        <v/>
      </c>
      <c r="BG35" s="108" t="str">
        <f t="shared" si="41"/>
        <v/>
      </c>
      <c r="BH35" s="108" t="str">
        <f t="shared" si="41"/>
        <v/>
      </c>
      <c r="BI35" s="108" t="str">
        <f t="shared" si="42"/>
        <v/>
      </c>
      <c r="BJ35" s="108" t="str">
        <f t="shared" si="42"/>
        <v/>
      </c>
      <c r="BK35" s="108" t="str">
        <f t="shared" si="42"/>
        <v/>
      </c>
      <c r="BL35" s="108" t="str">
        <f t="shared" si="42"/>
        <v/>
      </c>
      <c r="BM35" s="108" t="str">
        <f t="shared" si="42"/>
        <v/>
      </c>
      <c r="BN35" s="108" t="str">
        <f t="shared" si="42"/>
        <v/>
      </c>
      <c r="BO35" s="108" t="str">
        <f t="shared" si="42"/>
        <v/>
      </c>
      <c r="BP35" s="108" t="str">
        <f t="shared" si="42"/>
        <v/>
      </c>
      <c r="BQ35" s="108" t="str">
        <f t="shared" si="42"/>
        <v/>
      </c>
      <c r="BR35" s="108" t="str">
        <f t="shared" si="42"/>
        <v/>
      </c>
      <c r="BS35" s="108" t="str">
        <f t="shared" si="43"/>
        <v/>
      </c>
      <c r="BT35" s="108" t="str">
        <f t="shared" si="43"/>
        <v/>
      </c>
      <c r="BU35" s="108" t="str">
        <f t="shared" si="43"/>
        <v/>
      </c>
      <c r="BV35" s="108" t="str">
        <f t="shared" si="43"/>
        <v/>
      </c>
      <c r="BW35" s="108" t="str">
        <f t="shared" si="43"/>
        <v/>
      </c>
      <c r="BX35" s="108" t="str">
        <f t="shared" si="43"/>
        <v/>
      </c>
      <c r="BY35" s="108" t="str">
        <f t="shared" si="43"/>
        <v/>
      </c>
      <c r="BZ35" s="108" t="str">
        <f t="shared" si="43"/>
        <v/>
      </c>
      <c r="CA35" s="108" t="str">
        <f t="shared" si="43"/>
        <v/>
      </c>
      <c r="CB35" s="108" t="str">
        <f t="shared" si="43"/>
        <v/>
      </c>
      <c r="CC35" s="108" t="str">
        <f t="shared" si="44"/>
        <v/>
      </c>
      <c r="CD35" s="108" t="str">
        <f t="shared" si="44"/>
        <v/>
      </c>
      <c r="CE35" s="108" t="str">
        <f t="shared" si="44"/>
        <v/>
      </c>
      <c r="CF35" s="108" t="str">
        <f t="shared" si="44"/>
        <v/>
      </c>
      <c r="CG35" s="108" t="str">
        <f t="shared" si="44"/>
        <v/>
      </c>
      <c r="CH35" s="108" t="str">
        <f t="shared" si="44"/>
        <v/>
      </c>
      <c r="CI35" s="108" t="str">
        <f t="shared" si="44"/>
        <v/>
      </c>
      <c r="CJ35" s="108" t="str">
        <f t="shared" si="44"/>
        <v/>
      </c>
      <c r="CK35" s="108" t="str">
        <f t="shared" si="44"/>
        <v/>
      </c>
      <c r="CL35" s="108" t="str">
        <f t="shared" si="44"/>
        <v/>
      </c>
      <c r="CM35" s="108" t="str">
        <f t="shared" si="45"/>
        <v/>
      </c>
      <c r="CN35" s="108" t="str">
        <f t="shared" si="45"/>
        <v/>
      </c>
      <c r="CO35" s="108" t="str">
        <f t="shared" si="45"/>
        <v/>
      </c>
      <c r="CP35" s="108" t="str">
        <f t="shared" si="45"/>
        <v/>
      </c>
      <c r="CQ35" s="108" t="str">
        <f t="shared" si="45"/>
        <v/>
      </c>
      <c r="CR35" s="109" t="str">
        <f t="shared" si="45"/>
        <v/>
      </c>
      <c r="CS35" s="108" t="str">
        <f t="shared" si="45"/>
        <v/>
      </c>
      <c r="CT35" s="108" t="str">
        <f t="shared" si="45"/>
        <v/>
      </c>
      <c r="CU35" s="108" t="str">
        <f t="shared" si="45"/>
        <v/>
      </c>
      <c r="CV35" s="108" t="str">
        <f t="shared" si="45"/>
        <v/>
      </c>
      <c r="CW35" s="108" t="str">
        <f t="shared" si="46"/>
        <v/>
      </c>
      <c r="CX35" s="108" t="str">
        <f t="shared" si="46"/>
        <v/>
      </c>
      <c r="CY35" s="108" t="str">
        <f t="shared" si="46"/>
        <v/>
      </c>
      <c r="CZ35" s="109" t="str">
        <f t="shared" si="46"/>
        <v/>
      </c>
      <c r="DA35" s="108" t="str">
        <f t="shared" si="46"/>
        <v/>
      </c>
      <c r="DB35" s="108" t="str">
        <f t="shared" si="46"/>
        <v/>
      </c>
      <c r="DC35" s="108" t="str">
        <f t="shared" si="46"/>
        <v/>
      </c>
      <c r="DD35" s="108" t="str">
        <f t="shared" si="46"/>
        <v/>
      </c>
      <c r="DE35" s="108" t="str">
        <f t="shared" si="46"/>
        <v/>
      </c>
      <c r="DF35" s="108" t="str">
        <f t="shared" si="46"/>
        <v/>
      </c>
      <c r="DG35" s="108" t="str">
        <f t="shared" si="47"/>
        <v/>
      </c>
      <c r="DH35" s="109" t="str">
        <f t="shared" si="47"/>
        <v/>
      </c>
      <c r="DI35" s="108" t="str">
        <f t="shared" si="47"/>
        <v/>
      </c>
      <c r="DJ35" s="108" t="str">
        <f t="shared" si="47"/>
        <v/>
      </c>
      <c r="DK35" s="108" t="str">
        <f t="shared" si="47"/>
        <v/>
      </c>
      <c r="DL35" s="108" t="str">
        <f t="shared" si="47"/>
        <v/>
      </c>
      <c r="DM35" s="108" t="str">
        <f t="shared" si="47"/>
        <v/>
      </c>
      <c r="DN35" s="108" t="str">
        <f t="shared" si="47"/>
        <v/>
      </c>
      <c r="DO35" s="109" t="str">
        <f t="shared" si="47"/>
        <v/>
      </c>
      <c r="DP35" s="108" t="str">
        <f t="shared" si="47"/>
        <v/>
      </c>
      <c r="DQ35" s="108" t="str">
        <f t="shared" si="48"/>
        <v/>
      </c>
      <c r="DR35" s="108" t="str">
        <f t="shared" si="48"/>
        <v/>
      </c>
      <c r="DS35" s="108" t="str">
        <f t="shared" si="48"/>
        <v/>
      </c>
      <c r="DT35" s="108" t="str">
        <f t="shared" si="48"/>
        <v/>
      </c>
      <c r="DU35" s="108" t="str">
        <f t="shared" si="48"/>
        <v/>
      </c>
      <c r="DV35" s="108" t="str">
        <f t="shared" si="48"/>
        <v/>
      </c>
      <c r="DW35" s="109" t="str">
        <f t="shared" si="48"/>
        <v/>
      </c>
      <c r="DX35" s="108" t="str">
        <f t="shared" si="48"/>
        <v/>
      </c>
      <c r="DY35" s="108" t="str">
        <f t="shared" si="48"/>
        <v/>
      </c>
      <c r="DZ35" s="108" t="str">
        <f t="shared" si="48"/>
        <v/>
      </c>
      <c r="EA35" s="108" t="str">
        <f t="shared" si="49"/>
        <v/>
      </c>
      <c r="EB35" s="108" t="str">
        <f t="shared" si="49"/>
        <v/>
      </c>
      <c r="EC35" s="108" t="str">
        <f t="shared" si="49"/>
        <v/>
      </c>
      <c r="ED35" s="109" t="str">
        <f t="shared" si="49"/>
        <v/>
      </c>
      <c r="EE35" s="108" t="str">
        <f t="shared" si="49"/>
        <v/>
      </c>
      <c r="EF35" s="108" t="str">
        <f t="shared" si="49"/>
        <v/>
      </c>
      <c r="EG35" s="108" t="str">
        <f t="shared" si="49"/>
        <v/>
      </c>
      <c r="EH35" s="108" t="str">
        <f t="shared" si="49"/>
        <v/>
      </c>
      <c r="EI35" s="108" t="str">
        <f t="shared" si="49"/>
        <v/>
      </c>
      <c r="EJ35" s="108" t="str">
        <f t="shared" si="49"/>
        <v/>
      </c>
      <c r="EK35" s="108" t="str">
        <f t="shared" si="50"/>
        <v/>
      </c>
      <c r="EL35" s="108" t="str">
        <f t="shared" si="50"/>
        <v/>
      </c>
      <c r="EM35" s="108" t="str">
        <f t="shared" si="50"/>
        <v/>
      </c>
      <c r="EN35" s="108" t="str">
        <f t="shared" si="50"/>
        <v/>
      </c>
      <c r="EO35" s="108" t="str">
        <f t="shared" si="50"/>
        <v/>
      </c>
      <c r="EP35" s="108" t="str">
        <f t="shared" si="50"/>
        <v/>
      </c>
      <c r="EQ35" s="108" t="str">
        <f t="shared" si="50"/>
        <v/>
      </c>
      <c r="ER35" s="108" t="str">
        <f t="shared" si="50"/>
        <v/>
      </c>
      <c r="ES35" s="109" t="str">
        <f t="shared" si="50"/>
        <v/>
      </c>
      <c r="ET35" s="108" t="str">
        <f t="shared" si="50"/>
        <v/>
      </c>
      <c r="EU35" s="108" t="str">
        <f t="shared" si="51"/>
        <v/>
      </c>
      <c r="EV35" s="108" t="str">
        <f t="shared" si="51"/>
        <v/>
      </c>
      <c r="EW35" s="108" t="str">
        <f t="shared" si="51"/>
        <v/>
      </c>
      <c r="EX35" s="108" t="str">
        <f t="shared" si="51"/>
        <v/>
      </c>
      <c r="EY35" s="108" t="str">
        <f t="shared" si="51"/>
        <v/>
      </c>
      <c r="EZ35" s="108" t="str">
        <f t="shared" si="51"/>
        <v/>
      </c>
      <c r="FA35" s="108" t="str">
        <f t="shared" si="51"/>
        <v/>
      </c>
      <c r="FB35" s="108" t="str">
        <f t="shared" si="51"/>
        <v/>
      </c>
      <c r="FC35" s="108" t="str">
        <f t="shared" si="51"/>
        <v/>
      </c>
      <c r="FD35" s="108" t="str">
        <f t="shared" si="51"/>
        <v/>
      </c>
      <c r="FE35" s="108" t="str">
        <f t="shared" si="52"/>
        <v/>
      </c>
      <c r="FF35" s="109" t="str">
        <f t="shared" si="52"/>
        <v/>
      </c>
      <c r="FG35" s="108" t="str">
        <f t="shared" si="52"/>
        <v/>
      </c>
      <c r="FH35" s="108" t="str">
        <f t="shared" si="52"/>
        <v/>
      </c>
      <c r="FI35" s="108" t="str">
        <f t="shared" si="52"/>
        <v/>
      </c>
      <c r="FJ35" s="108" t="str">
        <f t="shared" si="52"/>
        <v/>
      </c>
      <c r="FK35" s="108" t="str">
        <f t="shared" si="52"/>
        <v/>
      </c>
      <c r="FL35" s="108" t="str">
        <f t="shared" si="52"/>
        <v/>
      </c>
      <c r="FM35" s="108" t="str">
        <f t="shared" si="52"/>
        <v/>
      </c>
      <c r="FN35" s="108" t="str">
        <f t="shared" si="52"/>
        <v/>
      </c>
      <c r="FO35" s="108" t="str">
        <f t="shared" si="53"/>
        <v/>
      </c>
      <c r="FP35" s="108" t="str">
        <f t="shared" si="53"/>
        <v/>
      </c>
      <c r="FQ35" s="108" t="str">
        <f t="shared" si="53"/>
        <v/>
      </c>
      <c r="FR35" s="108" t="str">
        <f t="shared" si="53"/>
        <v/>
      </c>
      <c r="FS35" s="108" t="str">
        <f t="shared" si="53"/>
        <v/>
      </c>
      <c r="FT35" s="108" t="str">
        <f t="shared" si="53"/>
        <v/>
      </c>
      <c r="FU35" s="108" t="str">
        <f t="shared" si="53"/>
        <v/>
      </c>
      <c r="FV35" s="108" t="str">
        <f t="shared" si="53"/>
        <v/>
      </c>
      <c r="FW35" s="110" t="str">
        <f t="shared" si="53"/>
        <v/>
      </c>
    </row>
    <row r="36" spans="2:179" s="101" customFormat="1" ht="21" customHeight="1" x14ac:dyDescent="0.35">
      <c r="B36" s="27" t="e">
        <f>Portfolio_Daten!#REF!</f>
        <v>#REF!</v>
      </c>
      <c r="C36" s="27">
        <f>Portfolio_Daten!B35</f>
        <v>0</v>
      </c>
      <c r="D36" s="28">
        <f>Portfolio_Daten!E35</f>
        <v>0</v>
      </c>
      <c r="E36" s="31">
        <f>Portfolio_Daten!T35</f>
        <v>0</v>
      </c>
      <c r="F36" s="31">
        <f>Portfolio_Daten!U35</f>
        <v>0</v>
      </c>
      <c r="G36" s="107">
        <f>IF(F36="","",NETWORKDAYS(E36,F36,Parameter!$C$4:$C$51))</f>
        <v>0</v>
      </c>
      <c r="H36" s="29">
        <f>Portfolio_Daten!AG35</f>
        <v>0</v>
      </c>
      <c r="I36" s="33">
        <f>Portfolio_Daten!AI35</f>
        <v>0</v>
      </c>
      <c r="J36" s="106"/>
      <c r="K36" s="108" t="str">
        <f t="shared" si="37"/>
        <v/>
      </c>
      <c r="L36" s="108" t="str">
        <f t="shared" si="37"/>
        <v/>
      </c>
      <c r="M36" s="108" t="str">
        <f t="shared" si="37"/>
        <v/>
      </c>
      <c r="N36" s="108" t="str">
        <f t="shared" si="37"/>
        <v/>
      </c>
      <c r="O36" s="108" t="str">
        <f t="shared" si="37"/>
        <v/>
      </c>
      <c r="P36" s="108" t="str">
        <f t="shared" si="37"/>
        <v/>
      </c>
      <c r="Q36" s="108" t="str">
        <f t="shared" si="37"/>
        <v/>
      </c>
      <c r="R36" s="108" t="str">
        <f t="shared" si="37"/>
        <v/>
      </c>
      <c r="S36" s="108" t="str">
        <f t="shared" si="37"/>
        <v/>
      </c>
      <c r="T36" s="108" t="str">
        <f t="shared" si="37"/>
        <v/>
      </c>
      <c r="U36" s="108" t="str">
        <f t="shared" si="38"/>
        <v/>
      </c>
      <c r="V36" s="108" t="str">
        <f t="shared" si="38"/>
        <v/>
      </c>
      <c r="W36" s="108" t="str">
        <f t="shared" si="38"/>
        <v/>
      </c>
      <c r="X36" s="108" t="str">
        <f t="shared" si="38"/>
        <v/>
      </c>
      <c r="Y36" s="108" t="str">
        <f t="shared" si="38"/>
        <v/>
      </c>
      <c r="Z36" s="108" t="str">
        <f t="shared" si="38"/>
        <v/>
      </c>
      <c r="AA36" s="108" t="str">
        <f t="shared" si="38"/>
        <v/>
      </c>
      <c r="AB36" s="108" t="str">
        <f t="shared" si="38"/>
        <v/>
      </c>
      <c r="AC36" s="108" t="str">
        <f t="shared" si="38"/>
        <v/>
      </c>
      <c r="AD36" s="108" t="str">
        <f t="shared" si="38"/>
        <v/>
      </c>
      <c r="AE36" s="108" t="str">
        <f t="shared" si="39"/>
        <v/>
      </c>
      <c r="AF36" s="108" t="str">
        <f t="shared" si="39"/>
        <v/>
      </c>
      <c r="AG36" s="108" t="str">
        <f t="shared" si="39"/>
        <v/>
      </c>
      <c r="AH36" s="108" t="str">
        <f t="shared" si="39"/>
        <v/>
      </c>
      <c r="AI36" s="108" t="str">
        <f t="shared" si="39"/>
        <v/>
      </c>
      <c r="AJ36" s="108" t="str">
        <f t="shared" si="39"/>
        <v/>
      </c>
      <c r="AK36" s="108" t="str">
        <f t="shared" si="39"/>
        <v/>
      </c>
      <c r="AL36" s="108" t="str">
        <f t="shared" si="39"/>
        <v/>
      </c>
      <c r="AM36" s="108" t="str">
        <f t="shared" si="39"/>
        <v/>
      </c>
      <c r="AN36" s="108" t="str">
        <f t="shared" si="39"/>
        <v/>
      </c>
      <c r="AO36" s="108" t="str">
        <f t="shared" si="40"/>
        <v/>
      </c>
      <c r="AP36" s="108" t="str">
        <f t="shared" si="40"/>
        <v/>
      </c>
      <c r="AQ36" s="108" t="str">
        <f t="shared" si="40"/>
        <v/>
      </c>
      <c r="AR36" s="108" t="str">
        <f t="shared" si="40"/>
        <v/>
      </c>
      <c r="AS36" s="108" t="str">
        <f t="shared" si="40"/>
        <v/>
      </c>
      <c r="AT36" s="108" t="str">
        <f t="shared" si="40"/>
        <v/>
      </c>
      <c r="AU36" s="108" t="str">
        <f t="shared" si="40"/>
        <v/>
      </c>
      <c r="AV36" s="108" t="str">
        <f t="shared" si="40"/>
        <v/>
      </c>
      <c r="AW36" s="108" t="str">
        <f t="shared" si="40"/>
        <v/>
      </c>
      <c r="AX36" s="108" t="str">
        <f t="shared" si="40"/>
        <v/>
      </c>
      <c r="AY36" s="108" t="str">
        <f t="shared" si="41"/>
        <v/>
      </c>
      <c r="AZ36" s="108" t="str">
        <f t="shared" si="41"/>
        <v/>
      </c>
      <c r="BA36" s="108" t="str">
        <f t="shared" si="41"/>
        <v/>
      </c>
      <c r="BB36" s="108" t="str">
        <f t="shared" si="41"/>
        <v/>
      </c>
      <c r="BC36" s="108" t="str">
        <f t="shared" si="41"/>
        <v/>
      </c>
      <c r="BD36" s="108" t="str">
        <f t="shared" si="41"/>
        <v/>
      </c>
      <c r="BE36" s="108" t="str">
        <f t="shared" si="41"/>
        <v/>
      </c>
      <c r="BF36" s="108" t="str">
        <f t="shared" si="41"/>
        <v/>
      </c>
      <c r="BG36" s="108" t="str">
        <f t="shared" si="41"/>
        <v/>
      </c>
      <c r="BH36" s="108" t="str">
        <f t="shared" si="41"/>
        <v/>
      </c>
      <c r="BI36" s="108" t="str">
        <f t="shared" si="42"/>
        <v/>
      </c>
      <c r="BJ36" s="108" t="str">
        <f t="shared" si="42"/>
        <v/>
      </c>
      <c r="BK36" s="108" t="str">
        <f t="shared" si="42"/>
        <v/>
      </c>
      <c r="BL36" s="108" t="str">
        <f t="shared" si="42"/>
        <v/>
      </c>
      <c r="BM36" s="108" t="str">
        <f t="shared" si="42"/>
        <v/>
      </c>
      <c r="BN36" s="108" t="str">
        <f t="shared" si="42"/>
        <v/>
      </c>
      <c r="BO36" s="108" t="str">
        <f t="shared" si="42"/>
        <v/>
      </c>
      <c r="BP36" s="108" t="str">
        <f t="shared" si="42"/>
        <v/>
      </c>
      <c r="BQ36" s="108" t="str">
        <f t="shared" si="42"/>
        <v/>
      </c>
      <c r="BR36" s="108" t="str">
        <f t="shared" si="42"/>
        <v/>
      </c>
      <c r="BS36" s="108" t="str">
        <f t="shared" si="43"/>
        <v/>
      </c>
      <c r="BT36" s="108" t="str">
        <f t="shared" si="43"/>
        <v/>
      </c>
      <c r="BU36" s="108" t="str">
        <f t="shared" si="43"/>
        <v/>
      </c>
      <c r="BV36" s="108" t="str">
        <f t="shared" si="43"/>
        <v/>
      </c>
      <c r="BW36" s="108" t="str">
        <f t="shared" si="43"/>
        <v/>
      </c>
      <c r="BX36" s="108" t="str">
        <f t="shared" si="43"/>
        <v/>
      </c>
      <c r="BY36" s="108" t="str">
        <f t="shared" si="43"/>
        <v/>
      </c>
      <c r="BZ36" s="108" t="str">
        <f t="shared" si="43"/>
        <v/>
      </c>
      <c r="CA36" s="108" t="str">
        <f t="shared" si="43"/>
        <v/>
      </c>
      <c r="CB36" s="108" t="str">
        <f t="shared" si="43"/>
        <v/>
      </c>
      <c r="CC36" s="108" t="str">
        <f t="shared" si="44"/>
        <v/>
      </c>
      <c r="CD36" s="108" t="str">
        <f t="shared" si="44"/>
        <v/>
      </c>
      <c r="CE36" s="108" t="str">
        <f t="shared" si="44"/>
        <v/>
      </c>
      <c r="CF36" s="108" t="str">
        <f t="shared" si="44"/>
        <v/>
      </c>
      <c r="CG36" s="108" t="str">
        <f t="shared" si="44"/>
        <v/>
      </c>
      <c r="CH36" s="108" t="str">
        <f t="shared" si="44"/>
        <v/>
      </c>
      <c r="CI36" s="108" t="str">
        <f t="shared" si="44"/>
        <v/>
      </c>
      <c r="CJ36" s="108" t="str">
        <f t="shared" si="44"/>
        <v/>
      </c>
      <c r="CK36" s="108" t="str">
        <f t="shared" si="44"/>
        <v/>
      </c>
      <c r="CL36" s="108" t="str">
        <f t="shared" si="44"/>
        <v/>
      </c>
      <c r="CM36" s="108" t="str">
        <f t="shared" si="45"/>
        <v/>
      </c>
      <c r="CN36" s="108" t="str">
        <f t="shared" si="45"/>
        <v/>
      </c>
      <c r="CO36" s="108" t="str">
        <f t="shared" si="45"/>
        <v/>
      </c>
      <c r="CP36" s="108" t="str">
        <f t="shared" si="45"/>
        <v/>
      </c>
      <c r="CQ36" s="108" t="str">
        <f t="shared" si="45"/>
        <v/>
      </c>
      <c r="CR36" s="109" t="str">
        <f t="shared" si="45"/>
        <v/>
      </c>
      <c r="CS36" s="108" t="str">
        <f t="shared" si="45"/>
        <v/>
      </c>
      <c r="CT36" s="108" t="str">
        <f t="shared" si="45"/>
        <v/>
      </c>
      <c r="CU36" s="108" t="str">
        <f t="shared" si="45"/>
        <v/>
      </c>
      <c r="CV36" s="108" t="str">
        <f t="shared" si="45"/>
        <v/>
      </c>
      <c r="CW36" s="108" t="str">
        <f t="shared" si="46"/>
        <v/>
      </c>
      <c r="CX36" s="108" t="str">
        <f t="shared" si="46"/>
        <v/>
      </c>
      <c r="CY36" s="108" t="str">
        <f t="shared" si="46"/>
        <v/>
      </c>
      <c r="CZ36" s="109" t="str">
        <f t="shared" si="46"/>
        <v/>
      </c>
      <c r="DA36" s="108" t="str">
        <f t="shared" si="46"/>
        <v/>
      </c>
      <c r="DB36" s="108" t="str">
        <f t="shared" si="46"/>
        <v/>
      </c>
      <c r="DC36" s="108" t="str">
        <f t="shared" si="46"/>
        <v/>
      </c>
      <c r="DD36" s="108" t="str">
        <f t="shared" si="46"/>
        <v/>
      </c>
      <c r="DE36" s="108" t="str">
        <f t="shared" si="46"/>
        <v/>
      </c>
      <c r="DF36" s="108" t="str">
        <f t="shared" si="46"/>
        <v/>
      </c>
      <c r="DG36" s="108" t="str">
        <f t="shared" si="47"/>
        <v/>
      </c>
      <c r="DH36" s="109" t="str">
        <f t="shared" si="47"/>
        <v/>
      </c>
      <c r="DI36" s="108" t="str">
        <f t="shared" si="47"/>
        <v/>
      </c>
      <c r="DJ36" s="108" t="str">
        <f t="shared" si="47"/>
        <v/>
      </c>
      <c r="DK36" s="108" t="str">
        <f t="shared" si="47"/>
        <v/>
      </c>
      <c r="DL36" s="108" t="str">
        <f t="shared" si="47"/>
        <v/>
      </c>
      <c r="DM36" s="108" t="str">
        <f t="shared" si="47"/>
        <v/>
      </c>
      <c r="DN36" s="108" t="str">
        <f t="shared" si="47"/>
        <v/>
      </c>
      <c r="DO36" s="109" t="str">
        <f t="shared" si="47"/>
        <v/>
      </c>
      <c r="DP36" s="108" t="str">
        <f t="shared" si="47"/>
        <v/>
      </c>
      <c r="DQ36" s="108" t="str">
        <f t="shared" si="48"/>
        <v/>
      </c>
      <c r="DR36" s="108" t="str">
        <f t="shared" si="48"/>
        <v/>
      </c>
      <c r="DS36" s="108" t="str">
        <f t="shared" si="48"/>
        <v/>
      </c>
      <c r="DT36" s="108" t="str">
        <f t="shared" si="48"/>
        <v/>
      </c>
      <c r="DU36" s="108" t="str">
        <f t="shared" si="48"/>
        <v/>
      </c>
      <c r="DV36" s="108" t="str">
        <f t="shared" si="48"/>
        <v/>
      </c>
      <c r="DW36" s="109" t="str">
        <f t="shared" si="48"/>
        <v/>
      </c>
      <c r="DX36" s="108" t="str">
        <f t="shared" si="48"/>
        <v/>
      </c>
      <c r="DY36" s="108" t="str">
        <f t="shared" si="48"/>
        <v/>
      </c>
      <c r="DZ36" s="108" t="str">
        <f t="shared" si="48"/>
        <v/>
      </c>
      <c r="EA36" s="108" t="str">
        <f t="shared" si="49"/>
        <v/>
      </c>
      <c r="EB36" s="108" t="str">
        <f t="shared" si="49"/>
        <v/>
      </c>
      <c r="EC36" s="108" t="str">
        <f t="shared" si="49"/>
        <v/>
      </c>
      <c r="ED36" s="109" t="str">
        <f t="shared" si="49"/>
        <v/>
      </c>
      <c r="EE36" s="108" t="str">
        <f t="shared" si="49"/>
        <v/>
      </c>
      <c r="EF36" s="108" t="str">
        <f t="shared" si="49"/>
        <v/>
      </c>
      <c r="EG36" s="108" t="str">
        <f t="shared" si="49"/>
        <v/>
      </c>
      <c r="EH36" s="108" t="str">
        <f t="shared" si="49"/>
        <v/>
      </c>
      <c r="EI36" s="108" t="str">
        <f t="shared" si="49"/>
        <v/>
      </c>
      <c r="EJ36" s="108" t="str">
        <f t="shared" si="49"/>
        <v/>
      </c>
      <c r="EK36" s="108" t="str">
        <f t="shared" si="50"/>
        <v/>
      </c>
      <c r="EL36" s="108" t="str">
        <f t="shared" si="50"/>
        <v/>
      </c>
      <c r="EM36" s="108" t="str">
        <f t="shared" si="50"/>
        <v/>
      </c>
      <c r="EN36" s="108" t="str">
        <f t="shared" si="50"/>
        <v/>
      </c>
      <c r="EO36" s="108" t="str">
        <f t="shared" si="50"/>
        <v/>
      </c>
      <c r="EP36" s="108" t="str">
        <f t="shared" si="50"/>
        <v/>
      </c>
      <c r="EQ36" s="108" t="str">
        <f t="shared" si="50"/>
        <v/>
      </c>
      <c r="ER36" s="108" t="str">
        <f t="shared" si="50"/>
        <v/>
      </c>
      <c r="ES36" s="109" t="str">
        <f t="shared" si="50"/>
        <v/>
      </c>
      <c r="ET36" s="108" t="str">
        <f t="shared" si="50"/>
        <v/>
      </c>
      <c r="EU36" s="108" t="str">
        <f t="shared" si="51"/>
        <v/>
      </c>
      <c r="EV36" s="108" t="str">
        <f t="shared" si="51"/>
        <v/>
      </c>
      <c r="EW36" s="108" t="str">
        <f t="shared" si="51"/>
        <v/>
      </c>
      <c r="EX36" s="108" t="str">
        <f t="shared" si="51"/>
        <v/>
      </c>
      <c r="EY36" s="108" t="str">
        <f t="shared" si="51"/>
        <v/>
      </c>
      <c r="EZ36" s="108" t="str">
        <f t="shared" si="51"/>
        <v/>
      </c>
      <c r="FA36" s="108" t="str">
        <f t="shared" si="51"/>
        <v/>
      </c>
      <c r="FB36" s="108" t="str">
        <f t="shared" si="51"/>
        <v/>
      </c>
      <c r="FC36" s="108" t="str">
        <f t="shared" si="51"/>
        <v/>
      </c>
      <c r="FD36" s="108" t="str">
        <f t="shared" si="51"/>
        <v/>
      </c>
      <c r="FE36" s="108" t="str">
        <f t="shared" si="52"/>
        <v/>
      </c>
      <c r="FF36" s="109" t="str">
        <f t="shared" si="52"/>
        <v/>
      </c>
      <c r="FG36" s="108" t="str">
        <f t="shared" si="52"/>
        <v/>
      </c>
      <c r="FH36" s="108" t="str">
        <f t="shared" si="52"/>
        <v/>
      </c>
      <c r="FI36" s="108" t="str">
        <f t="shared" si="52"/>
        <v/>
      </c>
      <c r="FJ36" s="108" t="str">
        <f t="shared" si="52"/>
        <v/>
      </c>
      <c r="FK36" s="108" t="str">
        <f t="shared" si="52"/>
        <v/>
      </c>
      <c r="FL36" s="108" t="str">
        <f t="shared" si="52"/>
        <v/>
      </c>
      <c r="FM36" s="108" t="str">
        <f t="shared" si="52"/>
        <v/>
      </c>
      <c r="FN36" s="108" t="str">
        <f t="shared" si="52"/>
        <v/>
      </c>
      <c r="FO36" s="108" t="str">
        <f t="shared" si="53"/>
        <v/>
      </c>
      <c r="FP36" s="108" t="str">
        <f t="shared" si="53"/>
        <v/>
      </c>
      <c r="FQ36" s="108" t="str">
        <f t="shared" si="53"/>
        <v/>
      </c>
      <c r="FR36" s="108" t="str">
        <f t="shared" si="53"/>
        <v/>
      </c>
      <c r="FS36" s="108" t="str">
        <f t="shared" si="53"/>
        <v/>
      </c>
      <c r="FT36" s="108" t="str">
        <f t="shared" si="53"/>
        <v/>
      </c>
      <c r="FU36" s="108" t="str">
        <f t="shared" si="53"/>
        <v/>
      </c>
      <c r="FV36" s="108" t="str">
        <f t="shared" si="53"/>
        <v/>
      </c>
      <c r="FW36" s="110" t="str">
        <f t="shared" si="53"/>
        <v/>
      </c>
    </row>
    <row r="37" spans="2:179" s="101" customFormat="1" ht="21" customHeight="1" x14ac:dyDescent="0.35">
      <c r="B37" s="27" t="e">
        <f>Portfolio_Daten!#REF!</f>
        <v>#REF!</v>
      </c>
      <c r="C37" s="27">
        <f>Portfolio_Daten!B36</f>
        <v>0</v>
      </c>
      <c r="D37" s="28">
        <f>Portfolio_Daten!E36</f>
        <v>0</v>
      </c>
      <c r="E37" s="31">
        <f>Portfolio_Daten!T36</f>
        <v>0</v>
      </c>
      <c r="F37" s="31">
        <f>Portfolio_Daten!U36</f>
        <v>0</v>
      </c>
      <c r="G37" s="107">
        <f>IF(F37="","",NETWORKDAYS(E37,F37,Parameter!$C$4:$C$51))</f>
        <v>0</v>
      </c>
      <c r="H37" s="29">
        <f>Portfolio_Daten!AG36</f>
        <v>0</v>
      </c>
      <c r="I37" s="33">
        <f>Portfolio_Daten!AI36</f>
        <v>0</v>
      </c>
      <c r="J37" s="106"/>
      <c r="K37" s="108" t="str">
        <f t="shared" ref="K37:T46" si="54">IF(K$5=($F37-WEEKDAY($F37,2)+1),"u","")</f>
        <v/>
      </c>
      <c r="L37" s="108" t="str">
        <f t="shared" si="54"/>
        <v/>
      </c>
      <c r="M37" s="108" t="str">
        <f t="shared" si="54"/>
        <v/>
      </c>
      <c r="N37" s="108" t="str">
        <f t="shared" si="54"/>
        <v/>
      </c>
      <c r="O37" s="108" t="str">
        <f t="shared" si="54"/>
        <v/>
      </c>
      <c r="P37" s="108" t="str">
        <f t="shared" si="54"/>
        <v/>
      </c>
      <c r="Q37" s="108" t="str">
        <f t="shared" si="54"/>
        <v/>
      </c>
      <c r="R37" s="108" t="str">
        <f t="shared" si="54"/>
        <v/>
      </c>
      <c r="S37" s="108" t="str">
        <f t="shared" si="54"/>
        <v/>
      </c>
      <c r="T37" s="108" t="str">
        <f t="shared" si="54"/>
        <v/>
      </c>
      <c r="U37" s="108" t="str">
        <f t="shared" ref="U37:AD46" si="55">IF(U$5=($F37-WEEKDAY($F37,2)+1),"u","")</f>
        <v/>
      </c>
      <c r="V37" s="108" t="str">
        <f t="shared" si="55"/>
        <v/>
      </c>
      <c r="W37" s="108" t="str">
        <f t="shared" si="55"/>
        <v/>
      </c>
      <c r="X37" s="108" t="str">
        <f t="shared" si="55"/>
        <v/>
      </c>
      <c r="Y37" s="108" t="str">
        <f t="shared" si="55"/>
        <v/>
      </c>
      <c r="Z37" s="108" t="str">
        <f t="shared" si="55"/>
        <v/>
      </c>
      <c r="AA37" s="108" t="str">
        <f t="shared" si="55"/>
        <v/>
      </c>
      <c r="AB37" s="108" t="str">
        <f t="shared" si="55"/>
        <v/>
      </c>
      <c r="AC37" s="108" t="str">
        <f t="shared" si="55"/>
        <v/>
      </c>
      <c r="AD37" s="108" t="str">
        <f t="shared" si="55"/>
        <v/>
      </c>
      <c r="AE37" s="108" t="str">
        <f t="shared" ref="AE37:AN46" si="56">IF(AE$5=($F37-WEEKDAY($F37,2)+1),"u","")</f>
        <v/>
      </c>
      <c r="AF37" s="108" t="str">
        <f t="shared" si="56"/>
        <v/>
      </c>
      <c r="AG37" s="108" t="str">
        <f t="shared" si="56"/>
        <v/>
      </c>
      <c r="AH37" s="108" t="str">
        <f t="shared" si="56"/>
        <v/>
      </c>
      <c r="AI37" s="108" t="str">
        <f t="shared" si="56"/>
        <v/>
      </c>
      <c r="AJ37" s="108" t="str">
        <f t="shared" si="56"/>
        <v/>
      </c>
      <c r="AK37" s="108" t="str">
        <f t="shared" si="56"/>
        <v/>
      </c>
      <c r="AL37" s="108" t="str">
        <f t="shared" si="56"/>
        <v/>
      </c>
      <c r="AM37" s="108" t="str">
        <f t="shared" si="56"/>
        <v/>
      </c>
      <c r="AN37" s="108" t="str">
        <f t="shared" si="56"/>
        <v/>
      </c>
      <c r="AO37" s="108" t="str">
        <f t="shared" ref="AO37:AX46" si="57">IF(AO$5=($F37-WEEKDAY($F37,2)+1),"u","")</f>
        <v/>
      </c>
      <c r="AP37" s="108" t="str">
        <f t="shared" si="57"/>
        <v/>
      </c>
      <c r="AQ37" s="108" t="str">
        <f t="shared" si="57"/>
        <v/>
      </c>
      <c r="AR37" s="108" t="str">
        <f t="shared" si="57"/>
        <v/>
      </c>
      <c r="AS37" s="108" t="str">
        <f t="shared" si="57"/>
        <v/>
      </c>
      <c r="AT37" s="108" t="str">
        <f t="shared" si="57"/>
        <v/>
      </c>
      <c r="AU37" s="108" t="str">
        <f t="shared" si="57"/>
        <v/>
      </c>
      <c r="AV37" s="108" t="str">
        <f t="shared" si="57"/>
        <v/>
      </c>
      <c r="AW37" s="108" t="str">
        <f t="shared" si="57"/>
        <v/>
      </c>
      <c r="AX37" s="108" t="str">
        <f t="shared" si="57"/>
        <v/>
      </c>
      <c r="AY37" s="108" t="str">
        <f t="shared" ref="AY37:BH46" si="58">IF(AY$5=($F37-WEEKDAY($F37,2)+1),"u","")</f>
        <v/>
      </c>
      <c r="AZ37" s="108" t="str">
        <f t="shared" si="58"/>
        <v/>
      </c>
      <c r="BA37" s="108" t="str">
        <f t="shared" si="58"/>
        <v/>
      </c>
      <c r="BB37" s="108" t="str">
        <f t="shared" si="58"/>
        <v/>
      </c>
      <c r="BC37" s="108" t="str">
        <f t="shared" si="58"/>
        <v/>
      </c>
      <c r="BD37" s="108" t="str">
        <f t="shared" si="58"/>
        <v/>
      </c>
      <c r="BE37" s="108" t="str">
        <f t="shared" si="58"/>
        <v/>
      </c>
      <c r="BF37" s="108" t="str">
        <f t="shared" si="58"/>
        <v/>
      </c>
      <c r="BG37" s="108" t="str">
        <f t="shared" si="58"/>
        <v/>
      </c>
      <c r="BH37" s="108" t="str">
        <f t="shared" si="58"/>
        <v/>
      </c>
      <c r="BI37" s="108" t="str">
        <f t="shared" ref="BI37:BR46" si="59">IF(BI$5=($F37-WEEKDAY($F37,2)+1),"u","")</f>
        <v/>
      </c>
      <c r="BJ37" s="108" t="str">
        <f t="shared" si="59"/>
        <v/>
      </c>
      <c r="BK37" s="108" t="str">
        <f t="shared" si="59"/>
        <v/>
      </c>
      <c r="BL37" s="108" t="str">
        <f t="shared" si="59"/>
        <v/>
      </c>
      <c r="BM37" s="108" t="str">
        <f t="shared" si="59"/>
        <v/>
      </c>
      <c r="BN37" s="108" t="str">
        <f t="shared" si="59"/>
        <v/>
      </c>
      <c r="BO37" s="108" t="str">
        <f t="shared" si="59"/>
        <v/>
      </c>
      <c r="BP37" s="108" t="str">
        <f t="shared" si="59"/>
        <v/>
      </c>
      <c r="BQ37" s="108" t="str">
        <f t="shared" si="59"/>
        <v/>
      </c>
      <c r="BR37" s="108" t="str">
        <f t="shared" si="59"/>
        <v/>
      </c>
      <c r="BS37" s="108" t="str">
        <f t="shared" ref="BS37:CB46" si="60">IF(BS$5=($F37-WEEKDAY($F37,2)+1),"u","")</f>
        <v/>
      </c>
      <c r="BT37" s="108" t="str">
        <f t="shared" si="60"/>
        <v/>
      </c>
      <c r="BU37" s="108" t="str">
        <f t="shared" si="60"/>
        <v/>
      </c>
      <c r="BV37" s="108" t="str">
        <f t="shared" si="60"/>
        <v/>
      </c>
      <c r="BW37" s="108" t="str">
        <f t="shared" si="60"/>
        <v/>
      </c>
      <c r="BX37" s="108" t="str">
        <f t="shared" si="60"/>
        <v/>
      </c>
      <c r="BY37" s="108" t="str">
        <f t="shared" si="60"/>
        <v/>
      </c>
      <c r="BZ37" s="108" t="str">
        <f t="shared" si="60"/>
        <v/>
      </c>
      <c r="CA37" s="108" t="str">
        <f t="shared" si="60"/>
        <v/>
      </c>
      <c r="CB37" s="108" t="str">
        <f t="shared" si="60"/>
        <v/>
      </c>
      <c r="CC37" s="108" t="str">
        <f t="shared" ref="CC37:CL46" si="61">IF(CC$5=($F37-WEEKDAY($F37,2)+1),"u","")</f>
        <v/>
      </c>
      <c r="CD37" s="108" t="str">
        <f t="shared" si="61"/>
        <v/>
      </c>
      <c r="CE37" s="108" t="str">
        <f t="shared" si="61"/>
        <v/>
      </c>
      <c r="CF37" s="108" t="str">
        <f t="shared" si="61"/>
        <v/>
      </c>
      <c r="CG37" s="108" t="str">
        <f t="shared" si="61"/>
        <v/>
      </c>
      <c r="CH37" s="108" t="str">
        <f t="shared" si="61"/>
        <v/>
      </c>
      <c r="CI37" s="108" t="str">
        <f t="shared" si="61"/>
        <v/>
      </c>
      <c r="CJ37" s="108" t="str">
        <f t="shared" si="61"/>
        <v/>
      </c>
      <c r="CK37" s="108" t="str">
        <f t="shared" si="61"/>
        <v/>
      </c>
      <c r="CL37" s="108" t="str">
        <f t="shared" si="61"/>
        <v/>
      </c>
      <c r="CM37" s="108" t="str">
        <f t="shared" ref="CM37:CV46" si="62">IF(CM$5=($F37-WEEKDAY($F37,2)+1),"u","")</f>
        <v/>
      </c>
      <c r="CN37" s="108" t="str">
        <f t="shared" si="62"/>
        <v/>
      </c>
      <c r="CO37" s="108" t="str">
        <f t="shared" si="62"/>
        <v/>
      </c>
      <c r="CP37" s="108" t="str">
        <f t="shared" si="62"/>
        <v/>
      </c>
      <c r="CQ37" s="108" t="str">
        <f t="shared" si="62"/>
        <v/>
      </c>
      <c r="CR37" s="109" t="str">
        <f t="shared" si="62"/>
        <v/>
      </c>
      <c r="CS37" s="108" t="str">
        <f t="shared" si="62"/>
        <v/>
      </c>
      <c r="CT37" s="108" t="str">
        <f t="shared" si="62"/>
        <v/>
      </c>
      <c r="CU37" s="108" t="str">
        <f t="shared" si="62"/>
        <v/>
      </c>
      <c r="CV37" s="108" t="str">
        <f t="shared" si="62"/>
        <v/>
      </c>
      <c r="CW37" s="108" t="str">
        <f t="shared" ref="CW37:DF46" si="63">IF(CW$5=($F37-WEEKDAY($F37,2)+1),"u","")</f>
        <v/>
      </c>
      <c r="CX37" s="108" t="str">
        <f t="shared" si="63"/>
        <v/>
      </c>
      <c r="CY37" s="108" t="str">
        <f t="shared" si="63"/>
        <v/>
      </c>
      <c r="CZ37" s="109" t="str">
        <f t="shared" si="63"/>
        <v/>
      </c>
      <c r="DA37" s="108" t="str">
        <f t="shared" si="63"/>
        <v/>
      </c>
      <c r="DB37" s="108" t="str">
        <f t="shared" si="63"/>
        <v/>
      </c>
      <c r="DC37" s="108" t="str">
        <f t="shared" si="63"/>
        <v/>
      </c>
      <c r="DD37" s="108" t="str">
        <f t="shared" si="63"/>
        <v/>
      </c>
      <c r="DE37" s="108" t="str">
        <f t="shared" si="63"/>
        <v/>
      </c>
      <c r="DF37" s="108" t="str">
        <f t="shared" si="63"/>
        <v/>
      </c>
      <c r="DG37" s="108" t="str">
        <f t="shared" ref="DG37:DP46" si="64">IF(DG$5=($F37-WEEKDAY($F37,2)+1),"u","")</f>
        <v/>
      </c>
      <c r="DH37" s="109" t="str">
        <f t="shared" si="64"/>
        <v/>
      </c>
      <c r="DI37" s="108" t="str">
        <f t="shared" si="64"/>
        <v/>
      </c>
      <c r="DJ37" s="108" t="str">
        <f t="shared" si="64"/>
        <v/>
      </c>
      <c r="DK37" s="108" t="str">
        <f t="shared" si="64"/>
        <v/>
      </c>
      <c r="DL37" s="108" t="str">
        <f t="shared" si="64"/>
        <v/>
      </c>
      <c r="DM37" s="108" t="str">
        <f t="shared" si="64"/>
        <v/>
      </c>
      <c r="DN37" s="108" t="str">
        <f t="shared" si="64"/>
        <v/>
      </c>
      <c r="DO37" s="109" t="str">
        <f t="shared" si="64"/>
        <v/>
      </c>
      <c r="DP37" s="108" t="str">
        <f t="shared" si="64"/>
        <v/>
      </c>
      <c r="DQ37" s="108" t="str">
        <f t="shared" ref="DQ37:DZ46" si="65">IF(DQ$5=($F37-WEEKDAY($F37,2)+1),"u","")</f>
        <v/>
      </c>
      <c r="DR37" s="108" t="str">
        <f t="shared" si="65"/>
        <v/>
      </c>
      <c r="DS37" s="108" t="str">
        <f t="shared" si="65"/>
        <v/>
      </c>
      <c r="DT37" s="108" t="str">
        <f t="shared" si="65"/>
        <v/>
      </c>
      <c r="DU37" s="108" t="str">
        <f t="shared" si="65"/>
        <v/>
      </c>
      <c r="DV37" s="108" t="str">
        <f t="shared" si="65"/>
        <v/>
      </c>
      <c r="DW37" s="109" t="str">
        <f t="shared" si="65"/>
        <v/>
      </c>
      <c r="DX37" s="108" t="str">
        <f t="shared" si="65"/>
        <v/>
      </c>
      <c r="DY37" s="108" t="str">
        <f t="shared" si="65"/>
        <v/>
      </c>
      <c r="DZ37" s="108" t="str">
        <f t="shared" si="65"/>
        <v/>
      </c>
      <c r="EA37" s="108" t="str">
        <f t="shared" ref="EA37:EJ46" si="66">IF(EA$5=($F37-WEEKDAY($F37,2)+1),"u","")</f>
        <v/>
      </c>
      <c r="EB37" s="108" t="str">
        <f t="shared" si="66"/>
        <v/>
      </c>
      <c r="EC37" s="108" t="str">
        <f t="shared" si="66"/>
        <v/>
      </c>
      <c r="ED37" s="109" t="str">
        <f t="shared" si="66"/>
        <v/>
      </c>
      <c r="EE37" s="108" t="str">
        <f t="shared" si="66"/>
        <v/>
      </c>
      <c r="EF37" s="108" t="str">
        <f t="shared" si="66"/>
        <v/>
      </c>
      <c r="EG37" s="108" t="str">
        <f t="shared" si="66"/>
        <v/>
      </c>
      <c r="EH37" s="108" t="str">
        <f t="shared" si="66"/>
        <v/>
      </c>
      <c r="EI37" s="108" t="str">
        <f t="shared" si="66"/>
        <v/>
      </c>
      <c r="EJ37" s="108" t="str">
        <f t="shared" si="66"/>
        <v/>
      </c>
      <c r="EK37" s="108" t="str">
        <f t="shared" ref="EK37:ET46" si="67">IF(EK$5=($F37-WEEKDAY($F37,2)+1),"u","")</f>
        <v/>
      </c>
      <c r="EL37" s="108" t="str">
        <f t="shared" si="67"/>
        <v/>
      </c>
      <c r="EM37" s="108" t="str">
        <f t="shared" si="67"/>
        <v/>
      </c>
      <c r="EN37" s="108" t="str">
        <f t="shared" si="67"/>
        <v/>
      </c>
      <c r="EO37" s="108" t="str">
        <f t="shared" si="67"/>
        <v/>
      </c>
      <c r="EP37" s="108" t="str">
        <f t="shared" si="67"/>
        <v/>
      </c>
      <c r="EQ37" s="108" t="str">
        <f t="shared" si="67"/>
        <v/>
      </c>
      <c r="ER37" s="108" t="str">
        <f t="shared" si="67"/>
        <v/>
      </c>
      <c r="ES37" s="109" t="str">
        <f t="shared" si="67"/>
        <v/>
      </c>
      <c r="ET37" s="108" t="str">
        <f t="shared" si="67"/>
        <v/>
      </c>
      <c r="EU37" s="108" t="str">
        <f t="shared" ref="EU37:FD46" si="68">IF(EU$5=($F37-WEEKDAY($F37,2)+1),"u","")</f>
        <v/>
      </c>
      <c r="EV37" s="108" t="str">
        <f t="shared" si="68"/>
        <v/>
      </c>
      <c r="EW37" s="108" t="str">
        <f t="shared" si="68"/>
        <v/>
      </c>
      <c r="EX37" s="108" t="str">
        <f t="shared" si="68"/>
        <v/>
      </c>
      <c r="EY37" s="108" t="str">
        <f t="shared" si="68"/>
        <v/>
      </c>
      <c r="EZ37" s="108" t="str">
        <f t="shared" si="68"/>
        <v/>
      </c>
      <c r="FA37" s="108" t="str">
        <f t="shared" si="68"/>
        <v/>
      </c>
      <c r="FB37" s="108" t="str">
        <f t="shared" si="68"/>
        <v/>
      </c>
      <c r="FC37" s="108" t="str">
        <f t="shared" si="68"/>
        <v/>
      </c>
      <c r="FD37" s="108" t="str">
        <f t="shared" si="68"/>
        <v/>
      </c>
      <c r="FE37" s="108" t="str">
        <f t="shared" ref="FE37:FN46" si="69">IF(FE$5=($F37-WEEKDAY($F37,2)+1),"u","")</f>
        <v/>
      </c>
      <c r="FF37" s="109" t="str">
        <f t="shared" si="69"/>
        <v/>
      </c>
      <c r="FG37" s="108" t="str">
        <f t="shared" si="69"/>
        <v/>
      </c>
      <c r="FH37" s="108" t="str">
        <f t="shared" si="69"/>
        <v/>
      </c>
      <c r="FI37" s="108" t="str">
        <f t="shared" si="69"/>
        <v/>
      </c>
      <c r="FJ37" s="108" t="str">
        <f t="shared" si="69"/>
        <v/>
      </c>
      <c r="FK37" s="108" t="str">
        <f t="shared" si="69"/>
        <v/>
      </c>
      <c r="FL37" s="108" t="str">
        <f t="shared" si="69"/>
        <v/>
      </c>
      <c r="FM37" s="108" t="str">
        <f t="shared" si="69"/>
        <v/>
      </c>
      <c r="FN37" s="108" t="str">
        <f t="shared" si="69"/>
        <v/>
      </c>
      <c r="FO37" s="108" t="str">
        <f t="shared" ref="FO37:FW46" si="70">IF(FO$5=($F37-WEEKDAY($F37,2)+1),"u","")</f>
        <v/>
      </c>
      <c r="FP37" s="108" t="str">
        <f t="shared" si="70"/>
        <v/>
      </c>
      <c r="FQ37" s="108" t="str">
        <f t="shared" si="70"/>
        <v/>
      </c>
      <c r="FR37" s="108" t="str">
        <f t="shared" si="70"/>
        <v/>
      </c>
      <c r="FS37" s="108" t="str">
        <f t="shared" si="70"/>
        <v/>
      </c>
      <c r="FT37" s="108" t="str">
        <f t="shared" si="70"/>
        <v/>
      </c>
      <c r="FU37" s="108" t="str">
        <f t="shared" si="70"/>
        <v/>
      </c>
      <c r="FV37" s="108" t="str">
        <f t="shared" si="70"/>
        <v/>
      </c>
      <c r="FW37" s="110" t="str">
        <f t="shared" si="70"/>
        <v/>
      </c>
    </row>
    <row r="38" spans="2:179" s="101" customFormat="1" ht="21" customHeight="1" x14ac:dyDescent="0.35">
      <c r="B38" s="27" t="e">
        <f>Portfolio_Daten!#REF!</f>
        <v>#REF!</v>
      </c>
      <c r="C38" s="27">
        <f>Portfolio_Daten!B37</f>
        <v>0</v>
      </c>
      <c r="D38" s="28">
        <f>Portfolio_Daten!E37</f>
        <v>0</v>
      </c>
      <c r="E38" s="31">
        <f>Portfolio_Daten!T37</f>
        <v>0</v>
      </c>
      <c r="F38" s="31">
        <f>Portfolio_Daten!U37</f>
        <v>0</v>
      </c>
      <c r="G38" s="107">
        <f>IF(F38="","",NETWORKDAYS(E38,F38,Parameter!$C$4:$C$51))</f>
        <v>0</v>
      </c>
      <c r="H38" s="29">
        <f>Portfolio_Daten!AG37</f>
        <v>0</v>
      </c>
      <c r="I38" s="33">
        <f>Portfolio_Daten!AI37</f>
        <v>0</v>
      </c>
      <c r="J38" s="106"/>
      <c r="K38" s="108" t="str">
        <f t="shared" si="54"/>
        <v/>
      </c>
      <c r="L38" s="108" t="str">
        <f t="shared" si="54"/>
        <v/>
      </c>
      <c r="M38" s="108" t="str">
        <f t="shared" si="54"/>
        <v/>
      </c>
      <c r="N38" s="108" t="str">
        <f t="shared" si="54"/>
        <v/>
      </c>
      <c r="O38" s="108" t="str">
        <f t="shared" si="54"/>
        <v/>
      </c>
      <c r="P38" s="108" t="str">
        <f t="shared" si="54"/>
        <v/>
      </c>
      <c r="Q38" s="108" t="str">
        <f t="shared" si="54"/>
        <v/>
      </c>
      <c r="R38" s="108" t="str">
        <f t="shared" si="54"/>
        <v/>
      </c>
      <c r="S38" s="108" t="str">
        <f t="shared" si="54"/>
        <v/>
      </c>
      <c r="T38" s="108" t="str">
        <f t="shared" si="54"/>
        <v/>
      </c>
      <c r="U38" s="108" t="str">
        <f t="shared" si="55"/>
        <v/>
      </c>
      <c r="V38" s="108" t="str">
        <f t="shared" si="55"/>
        <v/>
      </c>
      <c r="W38" s="108" t="str">
        <f t="shared" si="55"/>
        <v/>
      </c>
      <c r="X38" s="108" t="str">
        <f t="shared" si="55"/>
        <v/>
      </c>
      <c r="Y38" s="108" t="str">
        <f t="shared" si="55"/>
        <v/>
      </c>
      <c r="Z38" s="108" t="str">
        <f t="shared" si="55"/>
        <v/>
      </c>
      <c r="AA38" s="108" t="str">
        <f t="shared" si="55"/>
        <v/>
      </c>
      <c r="AB38" s="108" t="str">
        <f t="shared" si="55"/>
        <v/>
      </c>
      <c r="AC38" s="108" t="str">
        <f t="shared" si="55"/>
        <v/>
      </c>
      <c r="AD38" s="108" t="str">
        <f t="shared" si="55"/>
        <v/>
      </c>
      <c r="AE38" s="108" t="str">
        <f t="shared" si="56"/>
        <v/>
      </c>
      <c r="AF38" s="108" t="str">
        <f t="shared" si="56"/>
        <v/>
      </c>
      <c r="AG38" s="108" t="str">
        <f t="shared" si="56"/>
        <v/>
      </c>
      <c r="AH38" s="108" t="str">
        <f t="shared" si="56"/>
        <v/>
      </c>
      <c r="AI38" s="108" t="str">
        <f t="shared" si="56"/>
        <v/>
      </c>
      <c r="AJ38" s="108" t="str">
        <f t="shared" si="56"/>
        <v/>
      </c>
      <c r="AK38" s="108" t="str">
        <f t="shared" si="56"/>
        <v/>
      </c>
      <c r="AL38" s="108" t="str">
        <f t="shared" si="56"/>
        <v/>
      </c>
      <c r="AM38" s="108" t="str">
        <f t="shared" si="56"/>
        <v/>
      </c>
      <c r="AN38" s="108" t="str">
        <f t="shared" si="56"/>
        <v/>
      </c>
      <c r="AO38" s="108" t="str">
        <f t="shared" si="57"/>
        <v/>
      </c>
      <c r="AP38" s="108" t="str">
        <f t="shared" si="57"/>
        <v/>
      </c>
      <c r="AQ38" s="108" t="str">
        <f t="shared" si="57"/>
        <v/>
      </c>
      <c r="AR38" s="108" t="str">
        <f t="shared" si="57"/>
        <v/>
      </c>
      <c r="AS38" s="108" t="str">
        <f t="shared" si="57"/>
        <v/>
      </c>
      <c r="AT38" s="108" t="str">
        <f t="shared" si="57"/>
        <v/>
      </c>
      <c r="AU38" s="108" t="str">
        <f t="shared" si="57"/>
        <v/>
      </c>
      <c r="AV38" s="108" t="str">
        <f t="shared" si="57"/>
        <v/>
      </c>
      <c r="AW38" s="108" t="str">
        <f t="shared" si="57"/>
        <v/>
      </c>
      <c r="AX38" s="108" t="str">
        <f t="shared" si="57"/>
        <v/>
      </c>
      <c r="AY38" s="108" t="str">
        <f t="shared" si="58"/>
        <v/>
      </c>
      <c r="AZ38" s="108" t="str">
        <f t="shared" si="58"/>
        <v/>
      </c>
      <c r="BA38" s="108" t="str">
        <f t="shared" si="58"/>
        <v/>
      </c>
      <c r="BB38" s="108" t="str">
        <f t="shared" si="58"/>
        <v/>
      </c>
      <c r="BC38" s="108" t="str">
        <f t="shared" si="58"/>
        <v/>
      </c>
      <c r="BD38" s="108" t="str">
        <f t="shared" si="58"/>
        <v/>
      </c>
      <c r="BE38" s="108" t="str">
        <f t="shared" si="58"/>
        <v/>
      </c>
      <c r="BF38" s="108" t="str">
        <f t="shared" si="58"/>
        <v/>
      </c>
      <c r="BG38" s="108" t="str">
        <f t="shared" si="58"/>
        <v/>
      </c>
      <c r="BH38" s="108" t="str">
        <f t="shared" si="58"/>
        <v/>
      </c>
      <c r="BI38" s="108" t="str">
        <f t="shared" si="59"/>
        <v/>
      </c>
      <c r="BJ38" s="108" t="str">
        <f t="shared" si="59"/>
        <v/>
      </c>
      <c r="BK38" s="108" t="str">
        <f t="shared" si="59"/>
        <v/>
      </c>
      <c r="BL38" s="108" t="str">
        <f t="shared" si="59"/>
        <v/>
      </c>
      <c r="BM38" s="108" t="str">
        <f t="shared" si="59"/>
        <v/>
      </c>
      <c r="BN38" s="108" t="str">
        <f t="shared" si="59"/>
        <v/>
      </c>
      <c r="BO38" s="108" t="str">
        <f t="shared" si="59"/>
        <v/>
      </c>
      <c r="BP38" s="108" t="str">
        <f t="shared" si="59"/>
        <v/>
      </c>
      <c r="BQ38" s="108" t="str">
        <f t="shared" si="59"/>
        <v/>
      </c>
      <c r="BR38" s="108" t="str">
        <f t="shared" si="59"/>
        <v/>
      </c>
      <c r="BS38" s="108" t="str">
        <f t="shared" si="60"/>
        <v/>
      </c>
      <c r="BT38" s="108" t="str">
        <f t="shared" si="60"/>
        <v/>
      </c>
      <c r="BU38" s="108" t="str">
        <f t="shared" si="60"/>
        <v/>
      </c>
      <c r="BV38" s="108" t="str">
        <f t="shared" si="60"/>
        <v/>
      </c>
      <c r="BW38" s="108" t="str">
        <f t="shared" si="60"/>
        <v/>
      </c>
      <c r="BX38" s="108" t="str">
        <f t="shared" si="60"/>
        <v/>
      </c>
      <c r="BY38" s="108" t="str">
        <f t="shared" si="60"/>
        <v/>
      </c>
      <c r="BZ38" s="108" t="str">
        <f t="shared" si="60"/>
        <v/>
      </c>
      <c r="CA38" s="108" t="str">
        <f t="shared" si="60"/>
        <v/>
      </c>
      <c r="CB38" s="108" t="str">
        <f t="shared" si="60"/>
        <v/>
      </c>
      <c r="CC38" s="108" t="str">
        <f t="shared" si="61"/>
        <v/>
      </c>
      <c r="CD38" s="108" t="str">
        <f t="shared" si="61"/>
        <v/>
      </c>
      <c r="CE38" s="108" t="str">
        <f t="shared" si="61"/>
        <v/>
      </c>
      <c r="CF38" s="108" t="str">
        <f t="shared" si="61"/>
        <v/>
      </c>
      <c r="CG38" s="108" t="str">
        <f t="shared" si="61"/>
        <v/>
      </c>
      <c r="CH38" s="108" t="str">
        <f t="shared" si="61"/>
        <v/>
      </c>
      <c r="CI38" s="108" t="str">
        <f t="shared" si="61"/>
        <v/>
      </c>
      <c r="CJ38" s="108" t="str">
        <f t="shared" si="61"/>
        <v/>
      </c>
      <c r="CK38" s="108" t="str">
        <f t="shared" si="61"/>
        <v/>
      </c>
      <c r="CL38" s="108" t="str">
        <f t="shared" si="61"/>
        <v/>
      </c>
      <c r="CM38" s="108" t="str">
        <f t="shared" si="62"/>
        <v/>
      </c>
      <c r="CN38" s="108" t="str">
        <f t="shared" si="62"/>
        <v/>
      </c>
      <c r="CO38" s="108" t="str">
        <f t="shared" si="62"/>
        <v/>
      </c>
      <c r="CP38" s="108" t="str">
        <f t="shared" si="62"/>
        <v/>
      </c>
      <c r="CQ38" s="108" t="str">
        <f t="shared" si="62"/>
        <v/>
      </c>
      <c r="CR38" s="109" t="str">
        <f t="shared" si="62"/>
        <v/>
      </c>
      <c r="CS38" s="108" t="str">
        <f t="shared" si="62"/>
        <v/>
      </c>
      <c r="CT38" s="108" t="str">
        <f t="shared" si="62"/>
        <v/>
      </c>
      <c r="CU38" s="108" t="str">
        <f t="shared" si="62"/>
        <v/>
      </c>
      <c r="CV38" s="108" t="str">
        <f t="shared" si="62"/>
        <v/>
      </c>
      <c r="CW38" s="108" t="str">
        <f t="shared" si="63"/>
        <v/>
      </c>
      <c r="CX38" s="108" t="str">
        <f t="shared" si="63"/>
        <v/>
      </c>
      <c r="CY38" s="108" t="str">
        <f t="shared" si="63"/>
        <v/>
      </c>
      <c r="CZ38" s="109" t="str">
        <f t="shared" si="63"/>
        <v/>
      </c>
      <c r="DA38" s="108" t="str">
        <f t="shared" si="63"/>
        <v/>
      </c>
      <c r="DB38" s="108" t="str">
        <f t="shared" si="63"/>
        <v/>
      </c>
      <c r="DC38" s="108" t="str">
        <f t="shared" si="63"/>
        <v/>
      </c>
      <c r="DD38" s="108" t="str">
        <f t="shared" si="63"/>
        <v/>
      </c>
      <c r="DE38" s="108" t="str">
        <f t="shared" si="63"/>
        <v/>
      </c>
      <c r="DF38" s="108" t="str">
        <f t="shared" si="63"/>
        <v/>
      </c>
      <c r="DG38" s="108" t="str">
        <f t="shared" si="64"/>
        <v/>
      </c>
      <c r="DH38" s="109" t="str">
        <f t="shared" si="64"/>
        <v/>
      </c>
      <c r="DI38" s="108" t="str">
        <f t="shared" si="64"/>
        <v/>
      </c>
      <c r="DJ38" s="108" t="str">
        <f t="shared" si="64"/>
        <v/>
      </c>
      <c r="DK38" s="108" t="str">
        <f t="shared" si="64"/>
        <v/>
      </c>
      <c r="DL38" s="108" t="str">
        <f t="shared" si="64"/>
        <v/>
      </c>
      <c r="DM38" s="108" t="str">
        <f t="shared" si="64"/>
        <v/>
      </c>
      <c r="DN38" s="108" t="str">
        <f t="shared" si="64"/>
        <v/>
      </c>
      <c r="DO38" s="109" t="str">
        <f t="shared" si="64"/>
        <v/>
      </c>
      <c r="DP38" s="108" t="str">
        <f t="shared" si="64"/>
        <v/>
      </c>
      <c r="DQ38" s="108" t="str">
        <f t="shared" si="65"/>
        <v/>
      </c>
      <c r="DR38" s="108" t="str">
        <f t="shared" si="65"/>
        <v/>
      </c>
      <c r="DS38" s="108" t="str">
        <f t="shared" si="65"/>
        <v/>
      </c>
      <c r="DT38" s="108" t="str">
        <f t="shared" si="65"/>
        <v/>
      </c>
      <c r="DU38" s="108" t="str">
        <f t="shared" si="65"/>
        <v/>
      </c>
      <c r="DV38" s="108" t="str">
        <f t="shared" si="65"/>
        <v/>
      </c>
      <c r="DW38" s="109" t="str">
        <f t="shared" si="65"/>
        <v/>
      </c>
      <c r="DX38" s="108" t="str">
        <f t="shared" si="65"/>
        <v/>
      </c>
      <c r="DY38" s="108" t="str">
        <f t="shared" si="65"/>
        <v/>
      </c>
      <c r="DZ38" s="108" t="str">
        <f t="shared" si="65"/>
        <v/>
      </c>
      <c r="EA38" s="108" t="str">
        <f t="shared" si="66"/>
        <v/>
      </c>
      <c r="EB38" s="108" t="str">
        <f t="shared" si="66"/>
        <v/>
      </c>
      <c r="EC38" s="108" t="str">
        <f t="shared" si="66"/>
        <v/>
      </c>
      <c r="ED38" s="109" t="str">
        <f t="shared" si="66"/>
        <v/>
      </c>
      <c r="EE38" s="108" t="str">
        <f t="shared" si="66"/>
        <v/>
      </c>
      <c r="EF38" s="108" t="str">
        <f t="shared" si="66"/>
        <v/>
      </c>
      <c r="EG38" s="108" t="str">
        <f t="shared" si="66"/>
        <v/>
      </c>
      <c r="EH38" s="108" t="str">
        <f t="shared" si="66"/>
        <v/>
      </c>
      <c r="EI38" s="108" t="str">
        <f t="shared" si="66"/>
        <v/>
      </c>
      <c r="EJ38" s="108" t="str">
        <f t="shared" si="66"/>
        <v/>
      </c>
      <c r="EK38" s="108" t="str">
        <f t="shared" si="67"/>
        <v/>
      </c>
      <c r="EL38" s="108" t="str">
        <f t="shared" si="67"/>
        <v/>
      </c>
      <c r="EM38" s="108" t="str">
        <f t="shared" si="67"/>
        <v/>
      </c>
      <c r="EN38" s="108" t="str">
        <f t="shared" si="67"/>
        <v/>
      </c>
      <c r="EO38" s="108" t="str">
        <f t="shared" si="67"/>
        <v/>
      </c>
      <c r="EP38" s="108" t="str">
        <f t="shared" si="67"/>
        <v/>
      </c>
      <c r="EQ38" s="108" t="str">
        <f t="shared" si="67"/>
        <v/>
      </c>
      <c r="ER38" s="108" t="str">
        <f t="shared" si="67"/>
        <v/>
      </c>
      <c r="ES38" s="109" t="str">
        <f t="shared" si="67"/>
        <v/>
      </c>
      <c r="ET38" s="108" t="str">
        <f t="shared" si="67"/>
        <v/>
      </c>
      <c r="EU38" s="108" t="str">
        <f t="shared" si="68"/>
        <v/>
      </c>
      <c r="EV38" s="108" t="str">
        <f t="shared" si="68"/>
        <v/>
      </c>
      <c r="EW38" s="108" t="str">
        <f t="shared" si="68"/>
        <v/>
      </c>
      <c r="EX38" s="108" t="str">
        <f t="shared" si="68"/>
        <v/>
      </c>
      <c r="EY38" s="108" t="str">
        <f t="shared" si="68"/>
        <v/>
      </c>
      <c r="EZ38" s="108" t="str">
        <f t="shared" si="68"/>
        <v/>
      </c>
      <c r="FA38" s="108" t="str">
        <f t="shared" si="68"/>
        <v/>
      </c>
      <c r="FB38" s="108" t="str">
        <f t="shared" si="68"/>
        <v/>
      </c>
      <c r="FC38" s="108" t="str">
        <f t="shared" si="68"/>
        <v/>
      </c>
      <c r="FD38" s="108" t="str">
        <f t="shared" si="68"/>
        <v/>
      </c>
      <c r="FE38" s="108" t="str">
        <f t="shared" si="69"/>
        <v/>
      </c>
      <c r="FF38" s="109" t="str">
        <f t="shared" si="69"/>
        <v/>
      </c>
      <c r="FG38" s="108" t="str">
        <f t="shared" si="69"/>
        <v/>
      </c>
      <c r="FH38" s="108" t="str">
        <f t="shared" si="69"/>
        <v/>
      </c>
      <c r="FI38" s="108" t="str">
        <f t="shared" si="69"/>
        <v/>
      </c>
      <c r="FJ38" s="108" t="str">
        <f t="shared" si="69"/>
        <v/>
      </c>
      <c r="FK38" s="108" t="str">
        <f t="shared" si="69"/>
        <v/>
      </c>
      <c r="FL38" s="108" t="str">
        <f t="shared" si="69"/>
        <v/>
      </c>
      <c r="FM38" s="108" t="str">
        <f t="shared" si="69"/>
        <v/>
      </c>
      <c r="FN38" s="108" t="str">
        <f t="shared" si="69"/>
        <v/>
      </c>
      <c r="FO38" s="108" t="str">
        <f t="shared" si="70"/>
        <v/>
      </c>
      <c r="FP38" s="108" t="str">
        <f t="shared" si="70"/>
        <v/>
      </c>
      <c r="FQ38" s="108" t="str">
        <f t="shared" si="70"/>
        <v/>
      </c>
      <c r="FR38" s="108" t="str">
        <f t="shared" si="70"/>
        <v/>
      </c>
      <c r="FS38" s="108" t="str">
        <f t="shared" si="70"/>
        <v/>
      </c>
      <c r="FT38" s="108" t="str">
        <f t="shared" si="70"/>
        <v/>
      </c>
      <c r="FU38" s="108" t="str">
        <f t="shared" si="70"/>
        <v/>
      </c>
      <c r="FV38" s="108" t="str">
        <f t="shared" si="70"/>
        <v/>
      </c>
      <c r="FW38" s="110" t="str">
        <f t="shared" si="70"/>
        <v/>
      </c>
    </row>
    <row r="39" spans="2:179" s="101" customFormat="1" ht="21" customHeight="1" x14ac:dyDescent="0.35">
      <c r="B39" s="27" t="e">
        <f>Portfolio_Daten!#REF!</f>
        <v>#REF!</v>
      </c>
      <c r="C39" s="27">
        <f>Portfolio_Daten!B38</f>
        <v>0</v>
      </c>
      <c r="D39" s="28">
        <f>Portfolio_Daten!E38</f>
        <v>0</v>
      </c>
      <c r="E39" s="31">
        <f>Portfolio_Daten!T38</f>
        <v>0</v>
      </c>
      <c r="F39" s="31">
        <f>Portfolio_Daten!U38</f>
        <v>0</v>
      </c>
      <c r="G39" s="107">
        <f>IF(F39="","",NETWORKDAYS(E39,F39,Parameter!$C$4:$C$51))</f>
        <v>0</v>
      </c>
      <c r="H39" s="29">
        <f>Portfolio_Daten!AG38</f>
        <v>0</v>
      </c>
      <c r="I39" s="33">
        <f>Portfolio_Daten!AI38</f>
        <v>0</v>
      </c>
      <c r="J39" s="106"/>
      <c r="K39" s="108" t="str">
        <f t="shared" si="54"/>
        <v/>
      </c>
      <c r="L39" s="108" t="str">
        <f t="shared" si="54"/>
        <v/>
      </c>
      <c r="M39" s="108" t="str">
        <f t="shared" si="54"/>
        <v/>
      </c>
      <c r="N39" s="108" t="str">
        <f t="shared" si="54"/>
        <v/>
      </c>
      <c r="O39" s="108" t="str">
        <f t="shared" si="54"/>
        <v/>
      </c>
      <c r="P39" s="108" t="str">
        <f t="shared" si="54"/>
        <v/>
      </c>
      <c r="Q39" s="108" t="str">
        <f t="shared" si="54"/>
        <v/>
      </c>
      <c r="R39" s="108" t="str">
        <f t="shared" si="54"/>
        <v/>
      </c>
      <c r="S39" s="108" t="str">
        <f t="shared" si="54"/>
        <v/>
      </c>
      <c r="T39" s="108" t="str">
        <f t="shared" si="54"/>
        <v/>
      </c>
      <c r="U39" s="108" t="str">
        <f t="shared" si="55"/>
        <v/>
      </c>
      <c r="V39" s="108" t="str">
        <f t="shared" si="55"/>
        <v/>
      </c>
      <c r="W39" s="108" t="str">
        <f t="shared" si="55"/>
        <v/>
      </c>
      <c r="X39" s="108" t="str">
        <f t="shared" si="55"/>
        <v/>
      </c>
      <c r="Y39" s="108" t="str">
        <f t="shared" si="55"/>
        <v/>
      </c>
      <c r="Z39" s="108" t="str">
        <f t="shared" si="55"/>
        <v/>
      </c>
      <c r="AA39" s="108" t="str">
        <f t="shared" si="55"/>
        <v/>
      </c>
      <c r="AB39" s="108" t="str">
        <f t="shared" si="55"/>
        <v/>
      </c>
      <c r="AC39" s="108" t="str">
        <f t="shared" si="55"/>
        <v/>
      </c>
      <c r="AD39" s="108" t="str">
        <f t="shared" si="55"/>
        <v/>
      </c>
      <c r="AE39" s="108" t="str">
        <f t="shared" si="56"/>
        <v/>
      </c>
      <c r="AF39" s="108" t="str">
        <f t="shared" si="56"/>
        <v/>
      </c>
      <c r="AG39" s="108" t="str">
        <f t="shared" si="56"/>
        <v/>
      </c>
      <c r="AH39" s="108" t="str">
        <f t="shared" si="56"/>
        <v/>
      </c>
      <c r="AI39" s="108" t="str">
        <f t="shared" si="56"/>
        <v/>
      </c>
      <c r="AJ39" s="108" t="str">
        <f t="shared" si="56"/>
        <v/>
      </c>
      <c r="AK39" s="108" t="str">
        <f t="shared" si="56"/>
        <v/>
      </c>
      <c r="AL39" s="108" t="str">
        <f t="shared" si="56"/>
        <v/>
      </c>
      <c r="AM39" s="108" t="str">
        <f t="shared" si="56"/>
        <v/>
      </c>
      <c r="AN39" s="108" t="str">
        <f t="shared" si="56"/>
        <v/>
      </c>
      <c r="AO39" s="108" t="str">
        <f t="shared" si="57"/>
        <v/>
      </c>
      <c r="AP39" s="108" t="str">
        <f t="shared" si="57"/>
        <v/>
      </c>
      <c r="AQ39" s="108" t="str">
        <f t="shared" si="57"/>
        <v/>
      </c>
      <c r="AR39" s="108" t="str">
        <f t="shared" si="57"/>
        <v/>
      </c>
      <c r="AS39" s="108" t="str">
        <f t="shared" si="57"/>
        <v/>
      </c>
      <c r="AT39" s="108" t="str">
        <f t="shared" si="57"/>
        <v/>
      </c>
      <c r="AU39" s="108" t="str">
        <f t="shared" si="57"/>
        <v/>
      </c>
      <c r="AV39" s="108" t="str">
        <f t="shared" si="57"/>
        <v/>
      </c>
      <c r="AW39" s="108" t="str">
        <f t="shared" si="57"/>
        <v/>
      </c>
      <c r="AX39" s="108" t="str">
        <f t="shared" si="57"/>
        <v/>
      </c>
      <c r="AY39" s="108" t="str">
        <f t="shared" si="58"/>
        <v/>
      </c>
      <c r="AZ39" s="108" t="str">
        <f t="shared" si="58"/>
        <v/>
      </c>
      <c r="BA39" s="108" t="str">
        <f t="shared" si="58"/>
        <v/>
      </c>
      <c r="BB39" s="108" t="str">
        <f t="shared" si="58"/>
        <v/>
      </c>
      <c r="BC39" s="108" t="str">
        <f t="shared" si="58"/>
        <v/>
      </c>
      <c r="BD39" s="108" t="str">
        <f t="shared" si="58"/>
        <v/>
      </c>
      <c r="BE39" s="108" t="str">
        <f t="shared" si="58"/>
        <v/>
      </c>
      <c r="BF39" s="108" t="str">
        <f t="shared" si="58"/>
        <v/>
      </c>
      <c r="BG39" s="108" t="str">
        <f t="shared" si="58"/>
        <v/>
      </c>
      <c r="BH39" s="108" t="str">
        <f t="shared" si="58"/>
        <v/>
      </c>
      <c r="BI39" s="108" t="str">
        <f t="shared" si="59"/>
        <v/>
      </c>
      <c r="BJ39" s="108" t="str">
        <f t="shared" si="59"/>
        <v/>
      </c>
      <c r="BK39" s="108" t="str">
        <f t="shared" si="59"/>
        <v/>
      </c>
      <c r="BL39" s="108" t="str">
        <f t="shared" si="59"/>
        <v/>
      </c>
      <c r="BM39" s="108" t="str">
        <f t="shared" si="59"/>
        <v/>
      </c>
      <c r="BN39" s="108" t="str">
        <f t="shared" si="59"/>
        <v/>
      </c>
      <c r="BO39" s="108" t="str">
        <f t="shared" si="59"/>
        <v/>
      </c>
      <c r="BP39" s="108" t="str">
        <f t="shared" si="59"/>
        <v/>
      </c>
      <c r="BQ39" s="108" t="str">
        <f t="shared" si="59"/>
        <v/>
      </c>
      <c r="BR39" s="108" t="str">
        <f t="shared" si="59"/>
        <v/>
      </c>
      <c r="BS39" s="108" t="str">
        <f t="shared" si="60"/>
        <v/>
      </c>
      <c r="BT39" s="108" t="str">
        <f t="shared" si="60"/>
        <v/>
      </c>
      <c r="BU39" s="108" t="str">
        <f t="shared" si="60"/>
        <v/>
      </c>
      <c r="BV39" s="108" t="str">
        <f t="shared" si="60"/>
        <v/>
      </c>
      <c r="BW39" s="108" t="str">
        <f t="shared" si="60"/>
        <v/>
      </c>
      <c r="BX39" s="108" t="str">
        <f t="shared" si="60"/>
        <v/>
      </c>
      <c r="BY39" s="108" t="str">
        <f t="shared" si="60"/>
        <v/>
      </c>
      <c r="BZ39" s="108" t="str">
        <f t="shared" si="60"/>
        <v/>
      </c>
      <c r="CA39" s="108" t="str">
        <f t="shared" si="60"/>
        <v/>
      </c>
      <c r="CB39" s="108" t="str">
        <f t="shared" si="60"/>
        <v/>
      </c>
      <c r="CC39" s="108" t="str">
        <f t="shared" si="61"/>
        <v/>
      </c>
      <c r="CD39" s="108" t="str">
        <f t="shared" si="61"/>
        <v/>
      </c>
      <c r="CE39" s="108" t="str">
        <f t="shared" si="61"/>
        <v/>
      </c>
      <c r="CF39" s="108" t="str">
        <f t="shared" si="61"/>
        <v/>
      </c>
      <c r="CG39" s="108" t="str">
        <f t="shared" si="61"/>
        <v/>
      </c>
      <c r="CH39" s="108" t="str">
        <f t="shared" si="61"/>
        <v/>
      </c>
      <c r="CI39" s="108" t="str">
        <f t="shared" si="61"/>
        <v/>
      </c>
      <c r="CJ39" s="108" t="str">
        <f t="shared" si="61"/>
        <v/>
      </c>
      <c r="CK39" s="108" t="str">
        <f t="shared" si="61"/>
        <v/>
      </c>
      <c r="CL39" s="108" t="str">
        <f t="shared" si="61"/>
        <v/>
      </c>
      <c r="CM39" s="108" t="str">
        <f t="shared" si="62"/>
        <v/>
      </c>
      <c r="CN39" s="108" t="str">
        <f t="shared" si="62"/>
        <v/>
      </c>
      <c r="CO39" s="108" t="str">
        <f t="shared" si="62"/>
        <v/>
      </c>
      <c r="CP39" s="108" t="str">
        <f t="shared" si="62"/>
        <v/>
      </c>
      <c r="CQ39" s="108" t="str">
        <f t="shared" si="62"/>
        <v/>
      </c>
      <c r="CR39" s="109" t="str">
        <f t="shared" si="62"/>
        <v/>
      </c>
      <c r="CS39" s="108" t="str">
        <f t="shared" si="62"/>
        <v/>
      </c>
      <c r="CT39" s="108" t="str">
        <f t="shared" si="62"/>
        <v/>
      </c>
      <c r="CU39" s="108" t="str">
        <f t="shared" si="62"/>
        <v/>
      </c>
      <c r="CV39" s="108" t="str">
        <f t="shared" si="62"/>
        <v/>
      </c>
      <c r="CW39" s="108" t="str">
        <f t="shared" si="63"/>
        <v/>
      </c>
      <c r="CX39" s="108" t="str">
        <f t="shared" si="63"/>
        <v/>
      </c>
      <c r="CY39" s="108" t="str">
        <f t="shared" si="63"/>
        <v/>
      </c>
      <c r="CZ39" s="109" t="str">
        <f t="shared" si="63"/>
        <v/>
      </c>
      <c r="DA39" s="108" t="str">
        <f t="shared" si="63"/>
        <v/>
      </c>
      <c r="DB39" s="108" t="str">
        <f t="shared" si="63"/>
        <v/>
      </c>
      <c r="DC39" s="108" t="str">
        <f t="shared" si="63"/>
        <v/>
      </c>
      <c r="DD39" s="108" t="str">
        <f t="shared" si="63"/>
        <v/>
      </c>
      <c r="DE39" s="108" t="str">
        <f t="shared" si="63"/>
        <v/>
      </c>
      <c r="DF39" s="108" t="str">
        <f t="shared" si="63"/>
        <v/>
      </c>
      <c r="DG39" s="108" t="str">
        <f t="shared" si="64"/>
        <v/>
      </c>
      <c r="DH39" s="109" t="str">
        <f t="shared" si="64"/>
        <v/>
      </c>
      <c r="DI39" s="108" t="str">
        <f t="shared" si="64"/>
        <v/>
      </c>
      <c r="DJ39" s="108" t="str">
        <f t="shared" si="64"/>
        <v/>
      </c>
      <c r="DK39" s="108" t="str">
        <f t="shared" si="64"/>
        <v/>
      </c>
      <c r="DL39" s="108" t="str">
        <f t="shared" si="64"/>
        <v/>
      </c>
      <c r="DM39" s="108" t="str">
        <f t="shared" si="64"/>
        <v/>
      </c>
      <c r="DN39" s="108" t="str">
        <f t="shared" si="64"/>
        <v/>
      </c>
      <c r="DO39" s="109" t="str">
        <f t="shared" si="64"/>
        <v/>
      </c>
      <c r="DP39" s="108" t="str">
        <f t="shared" si="64"/>
        <v/>
      </c>
      <c r="DQ39" s="108" t="str">
        <f t="shared" si="65"/>
        <v/>
      </c>
      <c r="DR39" s="108" t="str">
        <f t="shared" si="65"/>
        <v/>
      </c>
      <c r="DS39" s="108" t="str">
        <f t="shared" si="65"/>
        <v/>
      </c>
      <c r="DT39" s="108" t="str">
        <f t="shared" si="65"/>
        <v/>
      </c>
      <c r="DU39" s="108" t="str">
        <f t="shared" si="65"/>
        <v/>
      </c>
      <c r="DV39" s="108" t="str">
        <f t="shared" si="65"/>
        <v/>
      </c>
      <c r="DW39" s="109" t="str">
        <f t="shared" si="65"/>
        <v/>
      </c>
      <c r="DX39" s="108" t="str">
        <f t="shared" si="65"/>
        <v/>
      </c>
      <c r="DY39" s="108" t="str">
        <f t="shared" si="65"/>
        <v/>
      </c>
      <c r="DZ39" s="108" t="str">
        <f t="shared" si="65"/>
        <v/>
      </c>
      <c r="EA39" s="108" t="str">
        <f t="shared" si="66"/>
        <v/>
      </c>
      <c r="EB39" s="108" t="str">
        <f t="shared" si="66"/>
        <v/>
      </c>
      <c r="EC39" s="108" t="str">
        <f t="shared" si="66"/>
        <v/>
      </c>
      <c r="ED39" s="109" t="str">
        <f t="shared" si="66"/>
        <v/>
      </c>
      <c r="EE39" s="108" t="str">
        <f t="shared" si="66"/>
        <v/>
      </c>
      <c r="EF39" s="108" t="str">
        <f t="shared" si="66"/>
        <v/>
      </c>
      <c r="EG39" s="108" t="str">
        <f t="shared" si="66"/>
        <v/>
      </c>
      <c r="EH39" s="108" t="str">
        <f t="shared" si="66"/>
        <v/>
      </c>
      <c r="EI39" s="108" t="str">
        <f t="shared" si="66"/>
        <v/>
      </c>
      <c r="EJ39" s="108" t="str">
        <f t="shared" si="66"/>
        <v/>
      </c>
      <c r="EK39" s="108" t="str">
        <f t="shared" si="67"/>
        <v/>
      </c>
      <c r="EL39" s="108" t="str">
        <f t="shared" si="67"/>
        <v/>
      </c>
      <c r="EM39" s="108" t="str">
        <f t="shared" si="67"/>
        <v/>
      </c>
      <c r="EN39" s="108" t="str">
        <f t="shared" si="67"/>
        <v/>
      </c>
      <c r="EO39" s="108" t="str">
        <f t="shared" si="67"/>
        <v/>
      </c>
      <c r="EP39" s="108" t="str">
        <f t="shared" si="67"/>
        <v/>
      </c>
      <c r="EQ39" s="108" t="str">
        <f t="shared" si="67"/>
        <v/>
      </c>
      <c r="ER39" s="108" t="str">
        <f t="shared" si="67"/>
        <v/>
      </c>
      <c r="ES39" s="109" t="str">
        <f t="shared" si="67"/>
        <v/>
      </c>
      <c r="ET39" s="108" t="str">
        <f t="shared" si="67"/>
        <v/>
      </c>
      <c r="EU39" s="108" t="str">
        <f t="shared" si="68"/>
        <v/>
      </c>
      <c r="EV39" s="108" t="str">
        <f t="shared" si="68"/>
        <v/>
      </c>
      <c r="EW39" s="108" t="str">
        <f t="shared" si="68"/>
        <v/>
      </c>
      <c r="EX39" s="108" t="str">
        <f t="shared" si="68"/>
        <v/>
      </c>
      <c r="EY39" s="108" t="str">
        <f t="shared" si="68"/>
        <v/>
      </c>
      <c r="EZ39" s="108" t="str">
        <f t="shared" si="68"/>
        <v/>
      </c>
      <c r="FA39" s="108" t="str">
        <f t="shared" si="68"/>
        <v/>
      </c>
      <c r="FB39" s="108" t="str">
        <f t="shared" si="68"/>
        <v/>
      </c>
      <c r="FC39" s="108" t="str">
        <f t="shared" si="68"/>
        <v/>
      </c>
      <c r="FD39" s="108" t="str">
        <f t="shared" si="68"/>
        <v/>
      </c>
      <c r="FE39" s="108" t="str">
        <f t="shared" si="69"/>
        <v/>
      </c>
      <c r="FF39" s="109" t="str">
        <f t="shared" si="69"/>
        <v/>
      </c>
      <c r="FG39" s="108" t="str">
        <f t="shared" si="69"/>
        <v/>
      </c>
      <c r="FH39" s="108" t="str">
        <f t="shared" si="69"/>
        <v/>
      </c>
      <c r="FI39" s="108" t="str">
        <f t="shared" si="69"/>
        <v/>
      </c>
      <c r="FJ39" s="108" t="str">
        <f t="shared" si="69"/>
        <v/>
      </c>
      <c r="FK39" s="108" t="str">
        <f t="shared" si="69"/>
        <v/>
      </c>
      <c r="FL39" s="108" t="str">
        <f t="shared" si="69"/>
        <v/>
      </c>
      <c r="FM39" s="108" t="str">
        <f t="shared" si="69"/>
        <v/>
      </c>
      <c r="FN39" s="108" t="str">
        <f t="shared" si="69"/>
        <v/>
      </c>
      <c r="FO39" s="108" t="str">
        <f t="shared" si="70"/>
        <v/>
      </c>
      <c r="FP39" s="108" t="str">
        <f t="shared" si="70"/>
        <v/>
      </c>
      <c r="FQ39" s="108" t="str">
        <f t="shared" si="70"/>
        <v/>
      </c>
      <c r="FR39" s="108" t="str">
        <f t="shared" si="70"/>
        <v/>
      </c>
      <c r="FS39" s="108" t="str">
        <f t="shared" si="70"/>
        <v/>
      </c>
      <c r="FT39" s="108" t="str">
        <f t="shared" si="70"/>
        <v/>
      </c>
      <c r="FU39" s="108" t="str">
        <f t="shared" si="70"/>
        <v/>
      </c>
      <c r="FV39" s="108" t="str">
        <f t="shared" si="70"/>
        <v/>
      </c>
      <c r="FW39" s="110" t="str">
        <f t="shared" si="70"/>
        <v/>
      </c>
    </row>
    <row r="40" spans="2:179" s="101" customFormat="1" ht="21" customHeight="1" x14ac:dyDescent="0.35">
      <c r="B40" s="27" t="e">
        <f>Portfolio_Daten!#REF!</f>
        <v>#REF!</v>
      </c>
      <c r="C40" s="27">
        <f>Portfolio_Daten!B39</f>
        <v>0</v>
      </c>
      <c r="D40" s="28">
        <f>Portfolio_Daten!E39</f>
        <v>0</v>
      </c>
      <c r="E40" s="31">
        <f>Portfolio_Daten!T39</f>
        <v>0</v>
      </c>
      <c r="F40" s="31">
        <f>Portfolio_Daten!U39</f>
        <v>0</v>
      </c>
      <c r="G40" s="107">
        <f>IF(F40="","",NETWORKDAYS(E40,F40,Parameter!$C$4:$C$51))</f>
        <v>0</v>
      </c>
      <c r="H40" s="29">
        <f>Portfolio_Daten!AG39</f>
        <v>0</v>
      </c>
      <c r="I40" s="33">
        <f>Portfolio_Daten!AI39</f>
        <v>0</v>
      </c>
      <c r="J40" s="106"/>
      <c r="K40" s="108" t="str">
        <f t="shared" si="54"/>
        <v/>
      </c>
      <c r="L40" s="108" t="str">
        <f t="shared" si="54"/>
        <v/>
      </c>
      <c r="M40" s="108" t="str">
        <f t="shared" si="54"/>
        <v/>
      </c>
      <c r="N40" s="108" t="str">
        <f t="shared" si="54"/>
        <v/>
      </c>
      <c r="O40" s="108" t="str">
        <f t="shared" si="54"/>
        <v/>
      </c>
      <c r="P40" s="108" t="str">
        <f t="shared" si="54"/>
        <v/>
      </c>
      <c r="Q40" s="108" t="str">
        <f t="shared" si="54"/>
        <v/>
      </c>
      <c r="R40" s="108" t="str">
        <f t="shared" si="54"/>
        <v/>
      </c>
      <c r="S40" s="108" t="str">
        <f t="shared" si="54"/>
        <v/>
      </c>
      <c r="T40" s="108" t="str">
        <f t="shared" si="54"/>
        <v/>
      </c>
      <c r="U40" s="108" t="str">
        <f t="shared" si="55"/>
        <v/>
      </c>
      <c r="V40" s="108" t="str">
        <f t="shared" si="55"/>
        <v/>
      </c>
      <c r="W40" s="108" t="str">
        <f t="shared" si="55"/>
        <v/>
      </c>
      <c r="X40" s="108" t="str">
        <f t="shared" si="55"/>
        <v/>
      </c>
      <c r="Y40" s="108" t="str">
        <f t="shared" si="55"/>
        <v/>
      </c>
      <c r="Z40" s="108" t="str">
        <f t="shared" si="55"/>
        <v/>
      </c>
      <c r="AA40" s="108" t="str">
        <f t="shared" si="55"/>
        <v/>
      </c>
      <c r="AB40" s="108" t="str">
        <f t="shared" si="55"/>
        <v/>
      </c>
      <c r="AC40" s="108" t="str">
        <f t="shared" si="55"/>
        <v/>
      </c>
      <c r="AD40" s="108" t="str">
        <f t="shared" si="55"/>
        <v/>
      </c>
      <c r="AE40" s="108" t="str">
        <f t="shared" si="56"/>
        <v/>
      </c>
      <c r="AF40" s="108" t="str">
        <f t="shared" si="56"/>
        <v/>
      </c>
      <c r="AG40" s="108" t="str">
        <f t="shared" si="56"/>
        <v/>
      </c>
      <c r="AH40" s="108" t="str">
        <f t="shared" si="56"/>
        <v/>
      </c>
      <c r="AI40" s="108" t="str">
        <f t="shared" si="56"/>
        <v/>
      </c>
      <c r="AJ40" s="108" t="str">
        <f t="shared" si="56"/>
        <v/>
      </c>
      <c r="AK40" s="108" t="str">
        <f t="shared" si="56"/>
        <v/>
      </c>
      <c r="AL40" s="108" t="str">
        <f t="shared" si="56"/>
        <v/>
      </c>
      <c r="AM40" s="108" t="str">
        <f t="shared" si="56"/>
        <v/>
      </c>
      <c r="AN40" s="108" t="str">
        <f t="shared" si="56"/>
        <v/>
      </c>
      <c r="AO40" s="108" t="str">
        <f t="shared" si="57"/>
        <v/>
      </c>
      <c r="AP40" s="108" t="str">
        <f t="shared" si="57"/>
        <v/>
      </c>
      <c r="AQ40" s="108" t="str">
        <f t="shared" si="57"/>
        <v/>
      </c>
      <c r="AR40" s="108" t="str">
        <f t="shared" si="57"/>
        <v/>
      </c>
      <c r="AS40" s="108" t="str">
        <f t="shared" si="57"/>
        <v/>
      </c>
      <c r="AT40" s="108" t="str">
        <f t="shared" si="57"/>
        <v/>
      </c>
      <c r="AU40" s="108" t="str">
        <f t="shared" si="57"/>
        <v/>
      </c>
      <c r="AV40" s="108" t="str">
        <f t="shared" si="57"/>
        <v/>
      </c>
      <c r="AW40" s="108" t="str">
        <f t="shared" si="57"/>
        <v/>
      </c>
      <c r="AX40" s="108" t="str">
        <f t="shared" si="57"/>
        <v/>
      </c>
      <c r="AY40" s="108" t="str">
        <f t="shared" si="58"/>
        <v/>
      </c>
      <c r="AZ40" s="108" t="str">
        <f t="shared" si="58"/>
        <v/>
      </c>
      <c r="BA40" s="108" t="str">
        <f t="shared" si="58"/>
        <v/>
      </c>
      <c r="BB40" s="108" t="str">
        <f t="shared" si="58"/>
        <v/>
      </c>
      <c r="BC40" s="108" t="str">
        <f t="shared" si="58"/>
        <v/>
      </c>
      <c r="BD40" s="108" t="str">
        <f t="shared" si="58"/>
        <v/>
      </c>
      <c r="BE40" s="108" t="str">
        <f t="shared" si="58"/>
        <v/>
      </c>
      <c r="BF40" s="108" t="str">
        <f t="shared" si="58"/>
        <v/>
      </c>
      <c r="BG40" s="108" t="str">
        <f t="shared" si="58"/>
        <v/>
      </c>
      <c r="BH40" s="108" t="str">
        <f t="shared" si="58"/>
        <v/>
      </c>
      <c r="BI40" s="108" t="str">
        <f t="shared" si="59"/>
        <v/>
      </c>
      <c r="BJ40" s="108" t="str">
        <f t="shared" si="59"/>
        <v/>
      </c>
      <c r="BK40" s="108" t="str">
        <f t="shared" si="59"/>
        <v/>
      </c>
      <c r="BL40" s="108" t="str">
        <f t="shared" si="59"/>
        <v/>
      </c>
      <c r="BM40" s="108" t="str">
        <f t="shared" si="59"/>
        <v/>
      </c>
      <c r="BN40" s="108" t="str">
        <f t="shared" si="59"/>
        <v/>
      </c>
      <c r="BO40" s="108" t="str">
        <f t="shared" si="59"/>
        <v/>
      </c>
      <c r="BP40" s="108" t="str">
        <f t="shared" si="59"/>
        <v/>
      </c>
      <c r="BQ40" s="108" t="str">
        <f t="shared" si="59"/>
        <v/>
      </c>
      <c r="BR40" s="108" t="str">
        <f t="shared" si="59"/>
        <v/>
      </c>
      <c r="BS40" s="108" t="str">
        <f t="shared" si="60"/>
        <v/>
      </c>
      <c r="BT40" s="108" t="str">
        <f t="shared" si="60"/>
        <v/>
      </c>
      <c r="BU40" s="108" t="str">
        <f t="shared" si="60"/>
        <v/>
      </c>
      <c r="BV40" s="108" t="str">
        <f t="shared" si="60"/>
        <v/>
      </c>
      <c r="BW40" s="108" t="str">
        <f t="shared" si="60"/>
        <v/>
      </c>
      <c r="BX40" s="108" t="str">
        <f t="shared" si="60"/>
        <v/>
      </c>
      <c r="BY40" s="108" t="str">
        <f t="shared" si="60"/>
        <v/>
      </c>
      <c r="BZ40" s="108" t="str">
        <f t="shared" si="60"/>
        <v/>
      </c>
      <c r="CA40" s="108" t="str">
        <f t="shared" si="60"/>
        <v/>
      </c>
      <c r="CB40" s="108" t="str">
        <f t="shared" si="60"/>
        <v/>
      </c>
      <c r="CC40" s="108" t="str">
        <f t="shared" si="61"/>
        <v/>
      </c>
      <c r="CD40" s="108" t="str">
        <f t="shared" si="61"/>
        <v/>
      </c>
      <c r="CE40" s="108" t="str">
        <f t="shared" si="61"/>
        <v/>
      </c>
      <c r="CF40" s="108" t="str">
        <f t="shared" si="61"/>
        <v/>
      </c>
      <c r="CG40" s="108" t="str">
        <f t="shared" si="61"/>
        <v/>
      </c>
      <c r="CH40" s="108" t="str">
        <f t="shared" si="61"/>
        <v/>
      </c>
      <c r="CI40" s="108" t="str">
        <f t="shared" si="61"/>
        <v/>
      </c>
      <c r="CJ40" s="108" t="str">
        <f t="shared" si="61"/>
        <v/>
      </c>
      <c r="CK40" s="108" t="str">
        <f t="shared" si="61"/>
        <v/>
      </c>
      <c r="CL40" s="108" t="str">
        <f t="shared" si="61"/>
        <v/>
      </c>
      <c r="CM40" s="108" t="str">
        <f t="shared" si="62"/>
        <v/>
      </c>
      <c r="CN40" s="108" t="str">
        <f t="shared" si="62"/>
        <v/>
      </c>
      <c r="CO40" s="108" t="str">
        <f t="shared" si="62"/>
        <v/>
      </c>
      <c r="CP40" s="108" t="str">
        <f t="shared" si="62"/>
        <v/>
      </c>
      <c r="CQ40" s="108" t="str">
        <f t="shared" si="62"/>
        <v/>
      </c>
      <c r="CR40" s="109" t="str">
        <f t="shared" si="62"/>
        <v/>
      </c>
      <c r="CS40" s="108" t="str">
        <f t="shared" si="62"/>
        <v/>
      </c>
      <c r="CT40" s="108" t="str">
        <f t="shared" si="62"/>
        <v/>
      </c>
      <c r="CU40" s="108" t="str">
        <f t="shared" si="62"/>
        <v/>
      </c>
      <c r="CV40" s="108" t="str">
        <f t="shared" si="62"/>
        <v/>
      </c>
      <c r="CW40" s="108" t="str">
        <f t="shared" si="63"/>
        <v/>
      </c>
      <c r="CX40" s="108" t="str">
        <f t="shared" si="63"/>
        <v/>
      </c>
      <c r="CY40" s="108" t="str">
        <f t="shared" si="63"/>
        <v/>
      </c>
      <c r="CZ40" s="109" t="str">
        <f t="shared" si="63"/>
        <v/>
      </c>
      <c r="DA40" s="108" t="str">
        <f t="shared" si="63"/>
        <v/>
      </c>
      <c r="DB40" s="108" t="str">
        <f t="shared" si="63"/>
        <v/>
      </c>
      <c r="DC40" s="108" t="str">
        <f t="shared" si="63"/>
        <v/>
      </c>
      <c r="DD40" s="108" t="str">
        <f t="shared" si="63"/>
        <v/>
      </c>
      <c r="DE40" s="108" t="str">
        <f t="shared" si="63"/>
        <v/>
      </c>
      <c r="DF40" s="108" t="str">
        <f t="shared" si="63"/>
        <v/>
      </c>
      <c r="DG40" s="108" t="str">
        <f t="shared" si="64"/>
        <v/>
      </c>
      <c r="DH40" s="109" t="str">
        <f t="shared" si="64"/>
        <v/>
      </c>
      <c r="DI40" s="108" t="str">
        <f t="shared" si="64"/>
        <v/>
      </c>
      <c r="DJ40" s="108" t="str">
        <f t="shared" si="64"/>
        <v/>
      </c>
      <c r="DK40" s="108" t="str">
        <f t="shared" si="64"/>
        <v/>
      </c>
      <c r="DL40" s="108" t="str">
        <f t="shared" si="64"/>
        <v/>
      </c>
      <c r="DM40" s="108" t="str">
        <f t="shared" si="64"/>
        <v/>
      </c>
      <c r="DN40" s="108" t="str">
        <f t="shared" si="64"/>
        <v/>
      </c>
      <c r="DO40" s="109" t="str">
        <f t="shared" si="64"/>
        <v/>
      </c>
      <c r="DP40" s="108" t="str">
        <f t="shared" si="64"/>
        <v/>
      </c>
      <c r="DQ40" s="108" t="str">
        <f t="shared" si="65"/>
        <v/>
      </c>
      <c r="DR40" s="108" t="str">
        <f t="shared" si="65"/>
        <v/>
      </c>
      <c r="DS40" s="108" t="str">
        <f t="shared" si="65"/>
        <v/>
      </c>
      <c r="DT40" s="108" t="str">
        <f t="shared" si="65"/>
        <v/>
      </c>
      <c r="DU40" s="108" t="str">
        <f t="shared" si="65"/>
        <v/>
      </c>
      <c r="DV40" s="108" t="str">
        <f t="shared" si="65"/>
        <v/>
      </c>
      <c r="DW40" s="109" t="str">
        <f t="shared" si="65"/>
        <v/>
      </c>
      <c r="DX40" s="108" t="str">
        <f t="shared" si="65"/>
        <v/>
      </c>
      <c r="DY40" s="108" t="str">
        <f t="shared" si="65"/>
        <v/>
      </c>
      <c r="DZ40" s="108" t="str">
        <f t="shared" si="65"/>
        <v/>
      </c>
      <c r="EA40" s="108" t="str">
        <f t="shared" si="66"/>
        <v/>
      </c>
      <c r="EB40" s="108" t="str">
        <f t="shared" si="66"/>
        <v/>
      </c>
      <c r="EC40" s="108" t="str">
        <f t="shared" si="66"/>
        <v/>
      </c>
      <c r="ED40" s="109" t="str">
        <f t="shared" si="66"/>
        <v/>
      </c>
      <c r="EE40" s="108" t="str">
        <f t="shared" si="66"/>
        <v/>
      </c>
      <c r="EF40" s="108" t="str">
        <f t="shared" si="66"/>
        <v/>
      </c>
      <c r="EG40" s="108" t="str">
        <f t="shared" si="66"/>
        <v/>
      </c>
      <c r="EH40" s="108" t="str">
        <f t="shared" si="66"/>
        <v/>
      </c>
      <c r="EI40" s="108" t="str">
        <f t="shared" si="66"/>
        <v/>
      </c>
      <c r="EJ40" s="108" t="str">
        <f t="shared" si="66"/>
        <v/>
      </c>
      <c r="EK40" s="108" t="str">
        <f t="shared" si="67"/>
        <v/>
      </c>
      <c r="EL40" s="108" t="str">
        <f t="shared" si="67"/>
        <v/>
      </c>
      <c r="EM40" s="108" t="str">
        <f t="shared" si="67"/>
        <v/>
      </c>
      <c r="EN40" s="108" t="str">
        <f t="shared" si="67"/>
        <v/>
      </c>
      <c r="EO40" s="108" t="str">
        <f t="shared" si="67"/>
        <v/>
      </c>
      <c r="EP40" s="108" t="str">
        <f t="shared" si="67"/>
        <v/>
      </c>
      <c r="EQ40" s="108" t="str">
        <f t="shared" si="67"/>
        <v/>
      </c>
      <c r="ER40" s="108" t="str">
        <f t="shared" si="67"/>
        <v/>
      </c>
      <c r="ES40" s="109" t="str">
        <f t="shared" si="67"/>
        <v/>
      </c>
      <c r="ET40" s="108" t="str">
        <f t="shared" si="67"/>
        <v/>
      </c>
      <c r="EU40" s="108" t="str">
        <f t="shared" si="68"/>
        <v/>
      </c>
      <c r="EV40" s="108" t="str">
        <f t="shared" si="68"/>
        <v/>
      </c>
      <c r="EW40" s="108" t="str">
        <f t="shared" si="68"/>
        <v/>
      </c>
      <c r="EX40" s="108" t="str">
        <f t="shared" si="68"/>
        <v/>
      </c>
      <c r="EY40" s="108" t="str">
        <f t="shared" si="68"/>
        <v/>
      </c>
      <c r="EZ40" s="108" t="str">
        <f t="shared" si="68"/>
        <v/>
      </c>
      <c r="FA40" s="108" t="str">
        <f t="shared" si="68"/>
        <v/>
      </c>
      <c r="FB40" s="108" t="str">
        <f t="shared" si="68"/>
        <v/>
      </c>
      <c r="FC40" s="108" t="str">
        <f t="shared" si="68"/>
        <v/>
      </c>
      <c r="FD40" s="108" t="str">
        <f t="shared" si="68"/>
        <v/>
      </c>
      <c r="FE40" s="108" t="str">
        <f t="shared" si="69"/>
        <v/>
      </c>
      <c r="FF40" s="109" t="str">
        <f t="shared" si="69"/>
        <v/>
      </c>
      <c r="FG40" s="108" t="str">
        <f t="shared" si="69"/>
        <v/>
      </c>
      <c r="FH40" s="108" t="str">
        <f t="shared" si="69"/>
        <v/>
      </c>
      <c r="FI40" s="108" t="str">
        <f t="shared" si="69"/>
        <v/>
      </c>
      <c r="FJ40" s="108" t="str">
        <f t="shared" si="69"/>
        <v/>
      </c>
      <c r="FK40" s="108" t="str">
        <f t="shared" si="69"/>
        <v/>
      </c>
      <c r="FL40" s="108" t="str">
        <f t="shared" si="69"/>
        <v/>
      </c>
      <c r="FM40" s="108" t="str">
        <f t="shared" si="69"/>
        <v/>
      </c>
      <c r="FN40" s="108" t="str">
        <f t="shared" si="69"/>
        <v/>
      </c>
      <c r="FO40" s="108" t="str">
        <f t="shared" si="70"/>
        <v/>
      </c>
      <c r="FP40" s="108" t="str">
        <f t="shared" si="70"/>
        <v/>
      </c>
      <c r="FQ40" s="108" t="str">
        <f t="shared" si="70"/>
        <v/>
      </c>
      <c r="FR40" s="108" t="str">
        <f t="shared" si="70"/>
        <v/>
      </c>
      <c r="FS40" s="108" t="str">
        <f t="shared" si="70"/>
        <v/>
      </c>
      <c r="FT40" s="108" t="str">
        <f t="shared" si="70"/>
        <v/>
      </c>
      <c r="FU40" s="108" t="str">
        <f t="shared" si="70"/>
        <v/>
      </c>
      <c r="FV40" s="108" t="str">
        <f t="shared" si="70"/>
        <v/>
      </c>
      <c r="FW40" s="110" t="str">
        <f t="shared" si="70"/>
        <v/>
      </c>
    </row>
    <row r="41" spans="2:179" s="101" customFormat="1" ht="21" customHeight="1" x14ac:dyDescent="0.35">
      <c r="B41" s="27" t="e">
        <f>Portfolio_Daten!#REF!</f>
        <v>#REF!</v>
      </c>
      <c r="C41" s="27">
        <f>Portfolio_Daten!B40</f>
        <v>0</v>
      </c>
      <c r="D41" s="28">
        <f>Portfolio_Daten!E40</f>
        <v>0</v>
      </c>
      <c r="E41" s="31">
        <f>Portfolio_Daten!T40</f>
        <v>0</v>
      </c>
      <c r="F41" s="31">
        <f>Portfolio_Daten!U40</f>
        <v>0</v>
      </c>
      <c r="G41" s="107">
        <f>IF(F41="","",NETWORKDAYS(E41,F41,Parameter!$C$4:$C$51))</f>
        <v>0</v>
      </c>
      <c r="H41" s="29">
        <f>Portfolio_Daten!AG40</f>
        <v>0</v>
      </c>
      <c r="I41" s="33">
        <f>Portfolio_Daten!AI40</f>
        <v>0</v>
      </c>
      <c r="J41" s="106"/>
      <c r="K41" s="108" t="str">
        <f t="shared" si="54"/>
        <v/>
      </c>
      <c r="L41" s="108" t="str">
        <f t="shared" si="54"/>
        <v/>
      </c>
      <c r="M41" s="108" t="str">
        <f t="shared" si="54"/>
        <v/>
      </c>
      <c r="N41" s="108" t="str">
        <f t="shared" si="54"/>
        <v/>
      </c>
      <c r="O41" s="108" t="str">
        <f t="shared" si="54"/>
        <v/>
      </c>
      <c r="P41" s="108" t="str">
        <f t="shared" si="54"/>
        <v/>
      </c>
      <c r="Q41" s="108" t="str">
        <f t="shared" si="54"/>
        <v/>
      </c>
      <c r="R41" s="108" t="str">
        <f t="shared" si="54"/>
        <v/>
      </c>
      <c r="S41" s="108" t="str">
        <f t="shared" si="54"/>
        <v/>
      </c>
      <c r="T41" s="108" t="str">
        <f t="shared" si="54"/>
        <v/>
      </c>
      <c r="U41" s="108" t="str">
        <f t="shared" si="55"/>
        <v/>
      </c>
      <c r="V41" s="108" t="str">
        <f t="shared" si="55"/>
        <v/>
      </c>
      <c r="W41" s="108" t="str">
        <f t="shared" si="55"/>
        <v/>
      </c>
      <c r="X41" s="108" t="str">
        <f t="shared" si="55"/>
        <v/>
      </c>
      <c r="Y41" s="108" t="str">
        <f t="shared" si="55"/>
        <v/>
      </c>
      <c r="Z41" s="108" t="str">
        <f t="shared" si="55"/>
        <v/>
      </c>
      <c r="AA41" s="108" t="str">
        <f t="shared" si="55"/>
        <v/>
      </c>
      <c r="AB41" s="108" t="str">
        <f t="shared" si="55"/>
        <v/>
      </c>
      <c r="AC41" s="108" t="str">
        <f t="shared" si="55"/>
        <v/>
      </c>
      <c r="AD41" s="108" t="str">
        <f t="shared" si="55"/>
        <v/>
      </c>
      <c r="AE41" s="108" t="str">
        <f t="shared" si="56"/>
        <v/>
      </c>
      <c r="AF41" s="108" t="str">
        <f t="shared" si="56"/>
        <v/>
      </c>
      <c r="AG41" s="108" t="str">
        <f t="shared" si="56"/>
        <v/>
      </c>
      <c r="AH41" s="108" t="str">
        <f t="shared" si="56"/>
        <v/>
      </c>
      <c r="AI41" s="108" t="str">
        <f t="shared" si="56"/>
        <v/>
      </c>
      <c r="AJ41" s="108" t="str">
        <f t="shared" si="56"/>
        <v/>
      </c>
      <c r="AK41" s="108" t="str">
        <f t="shared" si="56"/>
        <v/>
      </c>
      <c r="AL41" s="108" t="str">
        <f t="shared" si="56"/>
        <v/>
      </c>
      <c r="AM41" s="108" t="str">
        <f t="shared" si="56"/>
        <v/>
      </c>
      <c r="AN41" s="108" t="str">
        <f t="shared" si="56"/>
        <v/>
      </c>
      <c r="AO41" s="108" t="str">
        <f t="shared" si="57"/>
        <v/>
      </c>
      <c r="AP41" s="108" t="str">
        <f t="shared" si="57"/>
        <v/>
      </c>
      <c r="AQ41" s="108" t="str">
        <f t="shared" si="57"/>
        <v/>
      </c>
      <c r="AR41" s="108" t="str">
        <f t="shared" si="57"/>
        <v/>
      </c>
      <c r="AS41" s="108" t="str">
        <f t="shared" si="57"/>
        <v/>
      </c>
      <c r="AT41" s="108" t="str">
        <f t="shared" si="57"/>
        <v/>
      </c>
      <c r="AU41" s="108" t="str">
        <f t="shared" si="57"/>
        <v/>
      </c>
      <c r="AV41" s="108" t="str">
        <f t="shared" si="57"/>
        <v/>
      </c>
      <c r="AW41" s="108" t="str">
        <f t="shared" si="57"/>
        <v/>
      </c>
      <c r="AX41" s="108" t="str">
        <f t="shared" si="57"/>
        <v/>
      </c>
      <c r="AY41" s="108" t="str">
        <f t="shared" si="58"/>
        <v/>
      </c>
      <c r="AZ41" s="108" t="str">
        <f t="shared" si="58"/>
        <v/>
      </c>
      <c r="BA41" s="108" t="str">
        <f t="shared" si="58"/>
        <v/>
      </c>
      <c r="BB41" s="108" t="str">
        <f t="shared" si="58"/>
        <v/>
      </c>
      <c r="BC41" s="108" t="str">
        <f t="shared" si="58"/>
        <v/>
      </c>
      <c r="BD41" s="108" t="str">
        <f t="shared" si="58"/>
        <v/>
      </c>
      <c r="BE41" s="108" t="str">
        <f t="shared" si="58"/>
        <v/>
      </c>
      <c r="BF41" s="108" t="str">
        <f t="shared" si="58"/>
        <v/>
      </c>
      <c r="BG41" s="108" t="str">
        <f t="shared" si="58"/>
        <v/>
      </c>
      <c r="BH41" s="108" t="str">
        <f t="shared" si="58"/>
        <v/>
      </c>
      <c r="BI41" s="108" t="str">
        <f t="shared" si="59"/>
        <v/>
      </c>
      <c r="BJ41" s="108" t="str">
        <f t="shared" si="59"/>
        <v/>
      </c>
      <c r="BK41" s="108" t="str">
        <f t="shared" si="59"/>
        <v/>
      </c>
      <c r="BL41" s="108" t="str">
        <f t="shared" si="59"/>
        <v/>
      </c>
      <c r="BM41" s="108" t="str">
        <f t="shared" si="59"/>
        <v/>
      </c>
      <c r="BN41" s="108" t="str">
        <f t="shared" si="59"/>
        <v/>
      </c>
      <c r="BO41" s="108" t="str">
        <f t="shared" si="59"/>
        <v/>
      </c>
      <c r="BP41" s="108" t="str">
        <f t="shared" si="59"/>
        <v/>
      </c>
      <c r="BQ41" s="108" t="str">
        <f t="shared" si="59"/>
        <v/>
      </c>
      <c r="BR41" s="108" t="str">
        <f t="shared" si="59"/>
        <v/>
      </c>
      <c r="BS41" s="108" t="str">
        <f t="shared" si="60"/>
        <v/>
      </c>
      <c r="BT41" s="108" t="str">
        <f t="shared" si="60"/>
        <v/>
      </c>
      <c r="BU41" s="108" t="str">
        <f t="shared" si="60"/>
        <v/>
      </c>
      <c r="BV41" s="108" t="str">
        <f t="shared" si="60"/>
        <v/>
      </c>
      <c r="BW41" s="108" t="str">
        <f t="shared" si="60"/>
        <v/>
      </c>
      <c r="BX41" s="108" t="str">
        <f t="shared" si="60"/>
        <v/>
      </c>
      <c r="BY41" s="108" t="str">
        <f t="shared" si="60"/>
        <v/>
      </c>
      <c r="BZ41" s="108" t="str">
        <f t="shared" si="60"/>
        <v/>
      </c>
      <c r="CA41" s="108" t="str">
        <f t="shared" si="60"/>
        <v/>
      </c>
      <c r="CB41" s="108" t="str">
        <f t="shared" si="60"/>
        <v/>
      </c>
      <c r="CC41" s="108" t="str">
        <f t="shared" si="61"/>
        <v/>
      </c>
      <c r="CD41" s="108" t="str">
        <f t="shared" si="61"/>
        <v/>
      </c>
      <c r="CE41" s="108" t="str">
        <f t="shared" si="61"/>
        <v/>
      </c>
      <c r="CF41" s="108" t="str">
        <f t="shared" si="61"/>
        <v/>
      </c>
      <c r="CG41" s="108" t="str">
        <f t="shared" si="61"/>
        <v/>
      </c>
      <c r="CH41" s="108" t="str">
        <f t="shared" si="61"/>
        <v/>
      </c>
      <c r="CI41" s="108" t="str">
        <f t="shared" si="61"/>
        <v/>
      </c>
      <c r="CJ41" s="108" t="str">
        <f t="shared" si="61"/>
        <v/>
      </c>
      <c r="CK41" s="108" t="str">
        <f t="shared" si="61"/>
        <v/>
      </c>
      <c r="CL41" s="108" t="str">
        <f t="shared" si="61"/>
        <v/>
      </c>
      <c r="CM41" s="108" t="str">
        <f t="shared" si="62"/>
        <v/>
      </c>
      <c r="CN41" s="108" t="str">
        <f t="shared" si="62"/>
        <v/>
      </c>
      <c r="CO41" s="108" t="str">
        <f t="shared" si="62"/>
        <v/>
      </c>
      <c r="CP41" s="108" t="str">
        <f t="shared" si="62"/>
        <v/>
      </c>
      <c r="CQ41" s="108" t="str">
        <f t="shared" si="62"/>
        <v/>
      </c>
      <c r="CR41" s="109" t="str">
        <f t="shared" si="62"/>
        <v/>
      </c>
      <c r="CS41" s="108" t="str">
        <f t="shared" si="62"/>
        <v/>
      </c>
      <c r="CT41" s="108" t="str">
        <f t="shared" si="62"/>
        <v/>
      </c>
      <c r="CU41" s="108" t="str">
        <f t="shared" si="62"/>
        <v/>
      </c>
      <c r="CV41" s="108" t="str">
        <f t="shared" si="62"/>
        <v/>
      </c>
      <c r="CW41" s="108" t="str">
        <f t="shared" si="63"/>
        <v/>
      </c>
      <c r="CX41" s="108" t="str">
        <f t="shared" si="63"/>
        <v/>
      </c>
      <c r="CY41" s="108" t="str">
        <f t="shared" si="63"/>
        <v/>
      </c>
      <c r="CZ41" s="109" t="str">
        <f t="shared" si="63"/>
        <v/>
      </c>
      <c r="DA41" s="108" t="str">
        <f t="shared" si="63"/>
        <v/>
      </c>
      <c r="DB41" s="108" t="str">
        <f t="shared" si="63"/>
        <v/>
      </c>
      <c r="DC41" s="108" t="str">
        <f t="shared" si="63"/>
        <v/>
      </c>
      <c r="DD41" s="108" t="str">
        <f t="shared" si="63"/>
        <v/>
      </c>
      <c r="DE41" s="108" t="str">
        <f t="shared" si="63"/>
        <v/>
      </c>
      <c r="DF41" s="108" t="str">
        <f t="shared" si="63"/>
        <v/>
      </c>
      <c r="DG41" s="108" t="str">
        <f t="shared" si="64"/>
        <v/>
      </c>
      <c r="DH41" s="109" t="str">
        <f t="shared" si="64"/>
        <v/>
      </c>
      <c r="DI41" s="108" t="str">
        <f t="shared" si="64"/>
        <v/>
      </c>
      <c r="DJ41" s="108" t="str">
        <f t="shared" si="64"/>
        <v/>
      </c>
      <c r="DK41" s="108" t="str">
        <f t="shared" si="64"/>
        <v/>
      </c>
      <c r="DL41" s="108" t="str">
        <f t="shared" si="64"/>
        <v/>
      </c>
      <c r="DM41" s="108" t="str">
        <f t="shared" si="64"/>
        <v/>
      </c>
      <c r="DN41" s="108" t="str">
        <f t="shared" si="64"/>
        <v/>
      </c>
      <c r="DO41" s="109" t="str">
        <f t="shared" si="64"/>
        <v/>
      </c>
      <c r="DP41" s="108" t="str">
        <f t="shared" si="64"/>
        <v/>
      </c>
      <c r="DQ41" s="108" t="str">
        <f t="shared" si="65"/>
        <v/>
      </c>
      <c r="DR41" s="108" t="str">
        <f t="shared" si="65"/>
        <v/>
      </c>
      <c r="DS41" s="108" t="str">
        <f t="shared" si="65"/>
        <v/>
      </c>
      <c r="DT41" s="108" t="str">
        <f t="shared" si="65"/>
        <v/>
      </c>
      <c r="DU41" s="108" t="str">
        <f t="shared" si="65"/>
        <v/>
      </c>
      <c r="DV41" s="108" t="str">
        <f t="shared" si="65"/>
        <v/>
      </c>
      <c r="DW41" s="109" t="str">
        <f t="shared" si="65"/>
        <v/>
      </c>
      <c r="DX41" s="108" t="str">
        <f t="shared" si="65"/>
        <v/>
      </c>
      <c r="DY41" s="108" t="str">
        <f t="shared" si="65"/>
        <v/>
      </c>
      <c r="DZ41" s="108" t="str">
        <f t="shared" si="65"/>
        <v/>
      </c>
      <c r="EA41" s="108" t="str">
        <f t="shared" si="66"/>
        <v/>
      </c>
      <c r="EB41" s="108" t="str">
        <f t="shared" si="66"/>
        <v/>
      </c>
      <c r="EC41" s="108" t="str">
        <f t="shared" si="66"/>
        <v/>
      </c>
      <c r="ED41" s="109" t="str">
        <f t="shared" si="66"/>
        <v/>
      </c>
      <c r="EE41" s="108" t="str">
        <f t="shared" si="66"/>
        <v/>
      </c>
      <c r="EF41" s="108" t="str">
        <f t="shared" si="66"/>
        <v/>
      </c>
      <c r="EG41" s="108" t="str">
        <f t="shared" si="66"/>
        <v/>
      </c>
      <c r="EH41" s="108" t="str">
        <f t="shared" si="66"/>
        <v/>
      </c>
      <c r="EI41" s="108" t="str">
        <f t="shared" si="66"/>
        <v/>
      </c>
      <c r="EJ41" s="108" t="str">
        <f t="shared" si="66"/>
        <v/>
      </c>
      <c r="EK41" s="108" t="str">
        <f t="shared" si="67"/>
        <v/>
      </c>
      <c r="EL41" s="108" t="str">
        <f t="shared" si="67"/>
        <v/>
      </c>
      <c r="EM41" s="108" t="str">
        <f t="shared" si="67"/>
        <v/>
      </c>
      <c r="EN41" s="108" t="str">
        <f t="shared" si="67"/>
        <v/>
      </c>
      <c r="EO41" s="108" t="str">
        <f t="shared" si="67"/>
        <v/>
      </c>
      <c r="EP41" s="108" t="str">
        <f t="shared" si="67"/>
        <v/>
      </c>
      <c r="EQ41" s="108" t="str">
        <f t="shared" si="67"/>
        <v/>
      </c>
      <c r="ER41" s="108" t="str">
        <f t="shared" si="67"/>
        <v/>
      </c>
      <c r="ES41" s="109" t="str">
        <f t="shared" si="67"/>
        <v/>
      </c>
      <c r="ET41" s="108" t="str">
        <f t="shared" si="67"/>
        <v/>
      </c>
      <c r="EU41" s="108" t="str">
        <f t="shared" si="68"/>
        <v/>
      </c>
      <c r="EV41" s="108" t="str">
        <f t="shared" si="68"/>
        <v/>
      </c>
      <c r="EW41" s="108" t="str">
        <f t="shared" si="68"/>
        <v/>
      </c>
      <c r="EX41" s="108" t="str">
        <f t="shared" si="68"/>
        <v/>
      </c>
      <c r="EY41" s="108" t="str">
        <f t="shared" si="68"/>
        <v/>
      </c>
      <c r="EZ41" s="108" t="str">
        <f t="shared" si="68"/>
        <v/>
      </c>
      <c r="FA41" s="108" t="str">
        <f t="shared" si="68"/>
        <v/>
      </c>
      <c r="FB41" s="108" t="str">
        <f t="shared" si="68"/>
        <v/>
      </c>
      <c r="FC41" s="108" t="str">
        <f t="shared" si="68"/>
        <v/>
      </c>
      <c r="FD41" s="108" t="str">
        <f t="shared" si="68"/>
        <v/>
      </c>
      <c r="FE41" s="108" t="str">
        <f t="shared" si="69"/>
        <v/>
      </c>
      <c r="FF41" s="109" t="str">
        <f t="shared" si="69"/>
        <v/>
      </c>
      <c r="FG41" s="108" t="str">
        <f t="shared" si="69"/>
        <v/>
      </c>
      <c r="FH41" s="108" t="str">
        <f t="shared" si="69"/>
        <v/>
      </c>
      <c r="FI41" s="108" t="str">
        <f t="shared" si="69"/>
        <v/>
      </c>
      <c r="FJ41" s="108" t="str">
        <f t="shared" si="69"/>
        <v/>
      </c>
      <c r="FK41" s="108" t="str">
        <f t="shared" si="69"/>
        <v/>
      </c>
      <c r="FL41" s="108" t="str">
        <f t="shared" si="69"/>
        <v/>
      </c>
      <c r="FM41" s="108" t="str">
        <f t="shared" si="69"/>
        <v/>
      </c>
      <c r="FN41" s="108" t="str">
        <f t="shared" si="69"/>
        <v/>
      </c>
      <c r="FO41" s="108" t="str">
        <f t="shared" si="70"/>
        <v/>
      </c>
      <c r="FP41" s="108" t="str">
        <f t="shared" si="70"/>
        <v/>
      </c>
      <c r="FQ41" s="108" t="str">
        <f t="shared" si="70"/>
        <v/>
      </c>
      <c r="FR41" s="108" t="str">
        <f t="shared" si="70"/>
        <v/>
      </c>
      <c r="FS41" s="108" t="str">
        <f t="shared" si="70"/>
        <v/>
      </c>
      <c r="FT41" s="108" t="str">
        <f t="shared" si="70"/>
        <v/>
      </c>
      <c r="FU41" s="108" t="str">
        <f t="shared" si="70"/>
        <v/>
      </c>
      <c r="FV41" s="108" t="str">
        <f t="shared" si="70"/>
        <v/>
      </c>
      <c r="FW41" s="110" t="str">
        <f t="shared" si="70"/>
        <v/>
      </c>
    </row>
    <row r="42" spans="2:179" s="101" customFormat="1" ht="21" customHeight="1" x14ac:dyDescent="0.35">
      <c r="B42" s="27" t="e">
        <f>Portfolio_Daten!#REF!</f>
        <v>#REF!</v>
      </c>
      <c r="C42" s="27">
        <f>Portfolio_Daten!B41</f>
        <v>0</v>
      </c>
      <c r="D42" s="28">
        <f>Portfolio_Daten!E41</f>
        <v>0</v>
      </c>
      <c r="E42" s="31">
        <f>Portfolio_Daten!T41</f>
        <v>0</v>
      </c>
      <c r="F42" s="31">
        <f>Portfolio_Daten!U41</f>
        <v>0</v>
      </c>
      <c r="G42" s="107">
        <f>IF(F42="","",NETWORKDAYS(E42,F42,Parameter!$C$4:$C$51))</f>
        <v>0</v>
      </c>
      <c r="H42" s="29">
        <f>Portfolio_Daten!AG41</f>
        <v>0</v>
      </c>
      <c r="I42" s="33">
        <f>Portfolio_Daten!AI41</f>
        <v>0</v>
      </c>
      <c r="J42" s="106"/>
      <c r="K42" s="108" t="str">
        <f t="shared" si="54"/>
        <v/>
      </c>
      <c r="L42" s="108" t="str">
        <f t="shared" si="54"/>
        <v/>
      </c>
      <c r="M42" s="108" t="str">
        <f t="shared" si="54"/>
        <v/>
      </c>
      <c r="N42" s="108" t="str">
        <f t="shared" si="54"/>
        <v/>
      </c>
      <c r="O42" s="108" t="str">
        <f t="shared" si="54"/>
        <v/>
      </c>
      <c r="P42" s="108" t="str">
        <f t="shared" si="54"/>
        <v/>
      </c>
      <c r="Q42" s="108" t="str">
        <f t="shared" si="54"/>
        <v/>
      </c>
      <c r="R42" s="108" t="str">
        <f t="shared" si="54"/>
        <v/>
      </c>
      <c r="S42" s="108" t="str">
        <f t="shared" si="54"/>
        <v/>
      </c>
      <c r="T42" s="108" t="str">
        <f t="shared" si="54"/>
        <v/>
      </c>
      <c r="U42" s="108" t="str">
        <f t="shared" si="55"/>
        <v/>
      </c>
      <c r="V42" s="108" t="str">
        <f t="shared" si="55"/>
        <v/>
      </c>
      <c r="W42" s="108" t="str">
        <f t="shared" si="55"/>
        <v/>
      </c>
      <c r="X42" s="108" t="str">
        <f t="shared" si="55"/>
        <v/>
      </c>
      <c r="Y42" s="108" t="str">
        <f t="shared" si="55"/>
        <v/>
      </c>
      <c r="Z42" s="108" t="str">
        <f t="shared" si="55"/>
        <v/>
      </c>
      <c r="AA42" s="108" t="str">
        <f t="shared" si="55"/>
        <v/>
      </c>
      <c r="AB42" s="108" t="str">
        <f t="shared" si="55"/>
        <v/>
      </c>
      <c r="AC42" s="108" t="str">
        <f t="shared" si="55"/>
        <v/>
      </c>
      <c r="AD42" s="108" t="str">
        <f t="shared" si="55"/>
        <v/>
      </c>
      <c r="AE42" s="108" t="str">
        <f t="shared" si="56"/>
        <v/>
      </c>
      <c r="AF42" s="108" t="str">
        <f t="shared" si="56"/>
        <v/>
      </c>
      <c r="AG42" s="108" t="str">
        <f t="shared" si="56"/>
        <v/>
      </c>
      <c r="AH42" s="108" t="str">
        <f t="shared" si="56"/>
        <v/>
      </c>
      <c r="AI42" s="108" t="str">
        <f t="shared" si="56"/>
        <v/>
      </c>
      <c r="AJ42" s="108" t="str">
        <f t="shared" si="56"/>
        <v/>
      </c>
      <c r="AK42" s="108" t="str">
        <f t="shared" si="56"/>
        <v/>
      </c>
      <c r="AL42" s="108" t="str">
        <f t="shared" si="56"/>
        <v/>
      </c>
      <c r="AM42" s="108" t="str">
        <f t="shared" si="56"/>
        <v/>
      </c>
      <c r="AN42" s="108" t="str">
        <f t="shared" si="56"/>
        <v/>
      </c>
      <c r="AO42" s="108" t="str">
        <f t="shared" si="57"/>
        <v/>
      </c>
      <c r="AP42" s="108" t="str">
        <f t="shared" si="57"/>
        <v/>
      </c>
      <c r="AQ42" s="108" t="str">
        <f t="shared" si="57"/>
        <v/>
      </c>
      <c r="AR42" s="108" t="str">
        <f t="shared" si="57"/>
        <v/>
      </c>
      <c r="AS42" s="108" t="str">
        <f t="shared" si="57"/>
        <v/>
      </c>
      <c r="AT42" s="108" t="str">
        <f t="shared" si="57"/>
        <v/>
      </c>
      <c r="AU42" s="108" t="str">
        <f t="shared" si="57"/>
        <v/>
      </c>
      <c r="AV42" s="108" t="str">
        <f t="shared" si="57"/>
        <v/>
      </c>
      <c r="AW42" s="108" t="str">
        <f t="shared" si="57"/>
        <v/>
      </c>
      <c r="AX42" s="108" t="str">
        <f t="shared" si="57"/>
        <v/>
      </c>
      <c r="AY42" s="108" t="str">
        <f t="shared" si="58"/>
        <v/>
      </c>
      <c r="AZ42" s="108" t="str">
        <f t="shared" si="58"/>
        <v/>
      </c>
      <c r="BA42" s="108" t="str">
        <f t="shared" si="58"/>
        <v/>
      </c>
      <c r="BB42" s="108" t="str">
        <f t="shared" si="58"/>
        <v/>
      </c>
      <c r="BC42" s="108" t="str">
        <f t="shared" si="58"/>
        <v/>
      </c>
      <c r="BD42" s="108" t="str">
        <f t="shared" si="58"/>
        <v/>
      </c>
      <c r="BE42" s="108" t="str">
        <f t="shared" si="58"/>
        <v/>
      </c>
      <c r="BF42" s="108" t="str">
        <f t="shared" si="58"/>
        <v/>
      </c>
      <c r="BG42" s="108" t="str">
        <f t="shared" si="58"/>
        <v/>
      </c>
      <c r="BH42" s="108" t="str">
        <f t="shared" si="58"/>
        <v/>
      </c>
      <c r="BI42" s="108" t="str">
        <f t="shared" si="59"/>
        <v/>
      </c>
      <c r="BJ42" s="108" t="str">
        <f t="shared" si="59"/>
        <v/>
      </c>
      <c r="BK42" s="108" t="str">
        <f t="shared" si="59"/>
        <v/>
      </c>
      <c r="BL42" s="108" t="str">
        <f t="shared" si="59"/>
        <v/>
      </c>
      <c r="BM42" s="108" t="str">
        <f t="shared" si="59"/>
        <v/>
      </c>
      <c r="BN42" s="108" t="str">
        <f t="shared" si="59"/>
        <v/>
      </c>
      <c r="BO42" s="108" t="str">
        <f t="shared" si="59"/>
        <v/>
      </c>
      <c r="BP42" s="108" t="str">
        <f t="shared" si="59"/>
        <v/>
      </c>
      <c r="BQ42" s="108" t="str">
        <f t="shared" si="59"/>
        <v/>
      </c>
      <c r="BR42" s="108" t="str">
        <f t="shared" si="59"/>
        <v/>
      </c>
      <c r="BS42" s="108" t="str">
        <f t="shared" si="60"/>
        <v/>
      </c>
      <c r="BT42" s="108" t="str">
        <f t="shared" si="60"/>
        <v/>
      </c>
      <c r="BU42" s="108" t="str">
        <f t="shared" si="60"/>
        <v/>
      </c>
      <c r="BV42" s="108" t="str">
        <f t="shared" si="60"/>
        <v/>
      </c>
      <c r="BW42" s="108" t="str">
        <f t="shared" si="60"/>
        <v/>
      </c>
      <c r="BX42" s="108" t="str">
        <f t="shared" si="60"/>
        <v/>
      </c>
      <c r="BY42" s="108" t="str">
        <f t="shared" si="60"/>
        <v/>
      </c>
      <c r="BZ42" s="108" t="str">
        <f t="shared" si="60"/>
        <v/>
      </c>
      <c r="CA42" s="108" t="str">
        <f t="shared" si="60"/>
        <v/>
      </c>
      <c r="CB42" s="108" t="str">
        <f t="shared" si="60"/>
        <v/>
      </c>
      <c r="CC42" s="108" t="str">
        <f t="shared" si="61"/>
        <v/>
      </c>
      <c r="CD42" s="108" t="str">
        <f t="shared" si="61"/>
        <v/>
      </c>
      <c r="CE42" s="108" t="str">
        <f t="shared" si="61"/>
        <v/>
      </c>
      <c r="CF42" s="108" t="str">
        <f t="shared" si="61"/>
        <v/>
      </c>
      <c r="CG42" s="108" t="str">
        <f t="shared" si="61"/>
        <v/>
      </c>
      <c r="CH42" s="108" t="str">
        <f t="shared" si="61"/>
        <v/>
      </c>
      <c r="CI42" s="108" t="str">
        <f t="shared" si="61"/>
        <v/>
      </c>
      <c r="CJ42" s="108" t="str">
        <f t="shared" si="61"/>
        <v/>
      </c>
      <c r="CK42" s="108" t="str">
        <f t="shared" si="61"/>
        <v/>
      </c>
      <c r="CL42" s="108" t="str">
        <f t="shared" si="61"/>
        <v/>
      </c>
      <c r="CM42" s="108" t="str">
        <f t="shared" si="62"/>
        <v/>
      </c>
      <c r="CN42" s="108" t="str">
        <f t="shared" si="62"/>
        <v/>
      </c>
      <c r="CO42" s="108" t="str">
        <f t="shared" si="62"/>
        <v/>
      </c>
      <c r="CP42" s="108" t="str">
        <f t="shared" si="62"/>
        <v/>
      </c>
      <c r="CQ42" s="108" t="str">
        <f t="shared" si="62"/>
        <v/>
      </c>
      <c r="CR42" s="109" t="str">
        <f t="shared" si="62"/>
        <v/>
      </c>
      <c r="CS42" s="108" t="str">
        <f t="shared" si="62"/>
        <v/>
      </c>
      <c r="CT42" s="108" t="str">
        <f t="shared" si="62"/>
        <v/>
      </c>
      <c r="CU42" s="108" t="str">
        <f t="shared" si="62"/>
        <v/>
      </c>
      <c r="CV42" s="108" t="str">
        <f t="shared" si="62"/>
        <v/>
      </c>
      <c r="CW42" s="108" t="str">
        <f t="shared" si="63"/>
        <v/>
      </c>
      <c r="CX42" s="108" t="str">
        <f t="shared" si="63"/>
        <v/>
      </c>
      <c r="CY42" s="108" t="str">
        <f t="shared" si="63"/>
        <v/>
      </c>
      <c r="CZ42" s="109" t="str">
        <f t="shared" si="63"/>
        <v/>
      </c>
      <c r="DA42" s="108" t="str">
        <f t="shared" si="63"/>
        <v/>
      </c>
      <c r="DB42" s="108" t="str">
        <f t="shared" si="63"/>
        <v/>
      </c>
      <c r="DC42" s="108" t="str">
        <f t="shared" si="63"/>
        <v/>
      </c>
      <c r="DD42" s="108" t="str">
        <f t="shared" si="63"/>
        <v/>
      </c>
      <c r="DE42" s="108" t="str">
        <f t="shared" si="63"/>
        <v/>
      </c>
      <c r="DF42" s="108" t="str">
        <f t="shared" si="63"/>
        <v/>
      </c>
      <c r="DG42" s="108" t="str">
        <f t="shared" si="64"/>
        <v/>
      </c>
      <c r="DH42" s="109" t="str">
        <f t="shared" si="64"/>
        <v/>
      </c>
      <c r="DI42" s="108" t="str">
        <f t="shared" si="64"/>
        <v/>
      </c>
      <c r="DJ42" s="108" t="str">
        <f t="shared" si="64"/>
        <v/>
      </c>
      <c r="DK42" s="108" t="str">
        <f t="shared" si="64"/>
        <v/>
      </c>
      <c r="DL42" s="108" t="str">
        <f t="shared" si="64"/>
        <v/>
      </c>
      <c r="DM42" s="108" t="str">
        <f t="shared" si="64"/>
        <v/>
      </c>
      <c r="DN42" s="108" t="str">
        <f t="shared" si="64"/>
        <v/>
      </c>
      <c r="DO42" s="109" t="str">
        <f t="shared" si="64"/>
        <v/>
      </c>
      <c r="DP42" s="108" t="str">
        <f t="shared" si="64"/>
        <v/>
      </c>
      <c r="DQ42" s="108" t="str">
        <f t="shared" si="65"/>
        <v/>
      </c>
      <c r="DR42" s="108" t="str">
        <f t="shared" si="65"/>
        <v/>
      </c>
      <c r="DS42" s="108" t="str">
        <f t="shared" si="65"/>
        <v/>
      </c>
      <c r="DT42" s="108" t="str">
        <f t="shared" si="65"/>
        <v/>
      </c>
      <c r="DU42" s="108" t="str">
        <f t="shared" si="65"/>
        <v/>
      </c>
      <c r="DV42" s="108" t="str">
        <f t="shared" si="65"/>
        <v/>
      </c>
      <c r="DW42" s="109" t="str">
        <f t="shared" si="65"/>
        <v/>
      </c>
      <c r="DX42" s="108" t="str">
        <f t="shared" si="65"/>
        <v/>
      </c>
      <c r="DY42" s="108" t="str">
        <f t="shared" si="65"/>
        <v/>
      </c>
      <c r="DZ42" s="108" t="str">
        <f t="shared" si="65"/>
        <v/>
      </c>
      <c r="EA42" s="108" t="str">
        <f t="shared" si="66"/>
        <v/>
      </c>
      <c r="EB42" s="108" t="str">
        <f t="shared" si="66"/>
        <v/>
      </c>
      <c r="EC42" s="108" t="str">
        <f t="shared" si="66"/>
        <v/>
      </c>
      <c r="ED42" s="109" t="str">
        <f t="shared" si="66"/>
        <v/>
      </c>
      <c r="EE42" s="108" t="str">
        <f t="shared" si="66"/>
        <v/>
      </c>
      <c r="EF42" s="108" t="str">
        <f t="shared" si="66"/>
        <v/>
      </c>
      <c r="EG42" s="108" t="str">
        <f t="shared" si="66"/>
        <v/>
      </c>
      <c r="EH42" s="108" t="str">
        <f t="shared" si="66"/>
        <v/>
      </c>
      <c r="EI42" s="108" t="str">
        <f t="shared" si="66"/>
        <v/>
      </c>
      <c r="EJ42" s="108" t="str">
        <f t="shared" si="66"/>
        <v/>
      </c>
      <c r="EK42" s="108" t="str">
        <f t="shared" si="67"/>
        <v/>
      </c>
      <c r="EL42" s="108" t="str">
        <f t="shared" si="67"/>
        <v/>
      </c>
      <c r="EM42" s="108" t="str">
        <f t="shared" si="67"/>
        <v/>
      </c>
      <c r="EN42" s="108" t="str">
        <f t="shared" si="67"/>
        <v/>
      </c>
      <c r="EO42" s="108" t="str">
        <f t="shared" si="67"/>
        <v/>
      </c>
      <c r="EP42" s="108" t="str">
        <f t="shared" si="67"/>
        <v/>
      </c>
      <c r="EQ42" s="108" t="str">
        <f t="shared" si="67"/>
        <v/>
      </c>
      <c r="ER42" s="108" t="str">
        <f t="shared" si="67"/>
        <v/>
      </c>
      <c r="ES42" s="109" t="str">
        <f t="shared" si="67"/>
        <v/>
      </c>
      <c r="ET42" s="108" t="str">
        <f t="shared" si="67"/>
        <v/>
      </c>
      <c r="EU42" s="108" t="str">
        <f t="shared" si="68"/>
        <v/>
      </c>
      <c r="EV42" s="108" t="str">
        <f t="shared" si="68"/>
        <v/>
      </c>
      <c r="EW42" s="108" t="str">
        <f t="shared" si="68"/>
        <v/>
      </c>
      <c r="EX42" s="108" t="str">
        <f t="shared" si="68"/>
        <v/>
      </c>
      <c r="EY42" s="108" t="str">
        <f t="shared" si="68"/>
        <v/>
      </c>
      <c r="EZ42" s="108" t="str">
        <f t="shared" si="68"/>
        <v/>
      </c>
      <c r="FA42" s="108" t="str">
        <f t="shared" si="68"/>
        <v/>
      </c>
      <c r="FB42" s="108" t="str">
        <f t="shared" si="68"/>
        <v/>
      </c>
      <c r="FC42" s="108" t="str">
        <f t="shared" si="68"/>
        <v/>
      </c>
      <c r="FD42" s="108" t="str">
        <f t="shared" si="68"/>
        <v/>
      </c>
      <c r="FE42" s="108" t="str">
        <f t="shared" si="69"/>
        <v/>
      </c>
      <c r="FF42" s="109" t="str">
        <f t="shared" si="69"/>
        <v/>
      </c>
      <c r="FG42" s="108" t="str">
        <f t="shared" si="69"/>
        <v/>
      </c>
      <c r="FH42" s="108" t="str">
        <f t="shared" si="69"/>
        <v/>
      </c>
      <c r="FI42" s="108" t="str">
        <f t="shared" si="69"/>
        <v/>
      </c>
      <c r="FJ42" s="108" t="str">
        <f t="shared" si="69"/>
        <v/>
      </c>
      <c r="FK42" s="108" t="str">
        <f t="shared" si="69"/>
        <v/>
      </c>
      <c r="FL42" s="108" t="str">
        <f t="shared" si="69"/>
        <v/>
      </c>
      <c r="FM42" s="108" t="str">
        <f t="shared" si="69"/>
        <v/>
      </c>
      <c r="FN42" s="108" t="str">
        <f t="shared" si="69"/>
        <v/>
      </c>
      <c r="FO42" s="108" t="str">
        <f t="shared" si="70"/>
        <v/>
      </c>
      <c r="FP42" s="108" t="str">
        <f t="shared" si="70"/>
        <v/>
      </c>
      <c r="FQ42" s="108" t="str">
        <f t="shared" si="70"/>
        <v/>
      </c>
      <c r="FR42" s="108" t="str">
        <f t="shared" si="70"/>
        <v/>
      </c>
      <c r="FS42" s="108" t="str">
        <f t="shared" si="70"/>
        <v/>
      </c>
      <c r="FT42" s="108" t="str">
        <f t="shared" si="70"/>
        <v/>
      </c>
      <c r="FU42" s="108" t="str">
        <f t="shared" si="70"/>
        <v/>
      </c>
      <c r="FV42" s="108" t="str">
        <f t="shared" si="70"/>
        <v/>
      </c>
      <c r="FW42" s="110" t="str">
        <f t="shared" si="70"/>
        <v/>
      </c>
    </row>
    <row r="43" spans="2:179" s="101" customFormat="1" ht="21" customHeight="1" x14ac:dyDescent="0.35">
      <c r="B43" s="27" t="e">
        <f>Portfolio_Daten!#REF!</f>
        <v>#REF!</v>
      </c>
      <c r="C43" s="27">
        <f>Portfolio_Daten!B42</f>
        <v>0</v>
      </c>
      <c r="D43" s="28">
        <f>Portfolio_Daten!E42</f>
        <v>0</v>
      </c>
      <c r="E43" s="31">
        <f>Portfolio_Daten!T42</f>
        <v>0</v>
      </c>
      <c r="F43" s="31">
        <f>Portfolio_Daten!U42</f>
        <v>0</v>
      </c>
      <c r="G43" s="107">
        <f>IF(F43="","",NETWORKDAYS(E43,F43,Parameter!$C$4:$C$51))</f>
        <v>0</v>
      </c>
      <c r="H43" s="29">
        <f>Portfolio_Daten!AG42</f>
        <v>0</v>
      </c>
      <c r="I43" s="33">
        <f>Portfolio_Daten!AI42</f>
        <v>0</v>
      </c>
      <c r="J43" s="106"/>
      <c r="K43" s="108" t="str">
        <f t="shared" si="54"/>
        <v/>
      </c>
      <c r="L43" s="108" t="str">
        <f t="shared" si="54"/>
        <v/>
      </c>
      <c r="M43" s="108" t="str">
        <f t="shared" si="54"/>
        <v/>
      </c>
      <c r="N43" s="108" t="str">
        <f t="shared" si="54"/>
        <v/>
      </c>
      <c r="O43" s="108" t="str">
        <f t="shared" si="54"/>
        <v/>
      </c>
      <c r="P43" s="108" t="str">
        <f t="shared" si="54"/>
        <v/>
      </c>
      <c r="Q43" s="108" t="str">
        <f t="shared" si="54"/>
        <v/>
      </c>
      <c r="R43" s="108" t="str">
        <f t="shared" si="54"/>
        <v/>
      </c>
      <c r="S43" s="108" t="str">
        <f t="shared" si="54"/>
        <v/>
      </c>
      <c r="T43" s="108" t="str">
        <f t="shared" si="54"/>
        <v/>
      </c>
      <c r="U43" s="108" t="str">
        <f t="shared" si="55"/>
        <v/>
      </c>
      <c r="V43" s="108" t="str">
        <f t="shared" si="55"/>
        <v/>
      </c>
      <c r="W43" s="108" t="str">
        <f t="shared" si="55"/>
        <v/>
      </c>
      <c r="X43" s="108" t="str">
        <f t="shared" si="55"/>
        <v/>
      </c>
      <c r="Y43" s="108" t="str">
        <f t="shared" si="55"/>
        <v/>
      </c>
      <c r="Z43" s="108" t="str">
        <f t="shared" si="55"/>
        <v/>
      </c>
      <c r="AA43" s="108" t="str">
        <f t="shared" si="55"/>
        <v/>
      </c>
      <c r="AB43" s="108" t="str">
        <f t="shared" si="55"/>
        <v/>
      </c>
      <c r="AC43" s="108" t="str">
        <f t="shared" si="55"/>
        <v/>
      </c>
      <c r="AD43" s="108" t="str">
        <f t="shared" si="55"/>
        <v/>
      </c>
      <c r="AE43" s="108" t="str">
        <f t="shared" si="56"/>
        <v/>
      </c>
      <c r="AF43" s="108" t="str">
        <f t="shared" si="56"/>
        <v/>
      </c>
      <c r="AG43" s="108" t="str">
        <f t="shared" si="56"/>
        <v/>
      </c>
      <c r="AH43" s="108" t="str">
        <f t="shared" si="56"/>
        <v/>
      </c>
      <c r="AI43" s="108" t="str">
        <f t="shared" si="56"/>
        <v/>
      </c>
      <c r="AJ43" s="108" t="str">
        <f t="shared" si="56"/>
        <v/>
      </c>
      <c r="AK43" s="108" t="str">
        <f t="shared" si="56"/>
        <v/>
      </c>
      <c r="AL43" s="108" t="str">
        <f t="shared" si="56"/>
        <v/>
      </c>
      <c r="AM43" s="108" t="str">
        <f t="shared" si="56"/>
        <v/>
      </c>
      <c r="AN43" s="108" t="str">
        <f t="shared" si="56"/>
        <v/>
      </c>
      <c r="AO43" s="108" t="str">
        <f t="shared" si="57"/>
        <v/>
      </c>
      <c r="AP43" s="108" t="str">
        <f t="shared" si="57"/>
        <v/>
      </c>
      <c r="AQ43" s="108" t="str">
        <f t="shared" si="57"/>
        <v/>
      </c>
      <c r="AR43" s="108" t="str">
        <f t="shared" si="57"/>
        <v/>
      </c>
      <c r="AS43" s="108" t="str">
        <f t="shared" si="57"/>
        <v/>
      </c>
      <c r="AT43" s="108" t="str">
        <f t="shared" si="57"/>
        <v/>
      </c>
      <c r="AU43" s="108" t="str">
        <f t="shared" si="57"/>
        <v/>
      </c>
      <c r="AV43" s="108" t="str">
        <f t="shared" si="57"/>
        <v/>
      </c>
      <c r="AW43" s="108" t="str">
        <f t="shared" si="57"/>
        <v/>
      </c>
      <c r="AX43" s="108" t="str">
        <f t="shared" si="57"/>
        <v/>
      </c>
      <c r="AY43" s="108" t="str">
        <f t="shared" si="58"/>
        <v/>
      </c>
      <c r="AZ43" s="108" t="str">
        <f t="shared" si="58"/>
        <v/>
      </c>
      <c r="BA43" s="108" t="str">
        <f t="shared" si="58"/>
        <v/>
      </c>
      <c r="BB43" s="108" t="str">
        <f t="shared" si="58"/>
        <v/>
      </c>
      <c r="BC43" s="108" t="str">
        <f t="shared" si="58"/>
        <v/>
      </c>
      <c r="BD43" s="108" t="str">
        <f t="shared" si="58"/>
        <v/>
      </c>
      <c r="BE43" s="108" t="str">
        <f t="shared" si="58"/>
        <v/>
      </c>
      <c r="BF43" s="108" t="str">
        <f t="shared" si="58"/>
        <v/>
      </c>
      <c r="BG43" s="108" t="str">
        <f t="shared" si="58"/>
        <v/>
      </c>
      <c r="BH43" s="108" t="str">
        <f t="shared" si="58"/>
        <v/>
      </c>
      <c r="BI43" s="108" t="str">
        <f t="shared" si="59"/>
        <v/>
      </c>
      <c r="BJ43" s="108" t="str">
        <f t="shared" si="59"/>
        <v/>
      </c>
      <c r="BK43" s="108" t="str">
        <f t="shared" si="59"/>
        <v/>
      </c>
      <c r="BL43" s="108" t="str">
        <f t="shared" si="59"/>
        <v/>
      </c>
      <c r="BM43" s="108" t="str">
        <f t="shared" si="59"/>
        <v/>
      </c>
      <c r="BN43" s="108" t="str">
        <f t="shared" si="59"/>
        <v/>
      </c>
      <c r="BO43" s="108" t="str">
        <f t="shared" si="59"/>
        <v/>
      </c>
      <c r="BP43" s="108" t="str">
        <f t="shared" si="59"/>
        <v/>
      </c>
      <c r="BQ43" s="108" t="str">
        <f t="shared" si="59"/>
        <v/>
      </c>
      <c r="BR43" s="108" t="str">
        <f t="shared" si="59"/>
        <v/>
      </c>
      <c r="BS43" s="108" t="str">
        <f t="shared" si="60"/>
        <v/>
      </c>
      <c r="BT43" s="108" t="str">
        <f t="shared" si="60"/>
        <v/>
      </c>
      <c r="BU43" s="108" t="str">
        <f t="shared" si="60"/>
        <v/>
      </c>
      <c r="BV43" s="108" t="str">
        <f t="shared" si="60"/>
        <v/>
      </c>
      <c r="BW43" s="108" t="str">
        <f t="shared" si="60"/>
        <v/>
      </c>
      <c r="BX43" s="108" t="str">
        <f t="shared" si="60"/>
        <v/>
      </c>
      <c r="BY43" s="108" t="str">
        <f t="shared" si="60"/>
        <v/>
      </c>
      <c r="BZ43" s="108" t="str">
        <f t="shared" si="60"/>
        <v/>
      </c>
      <c r="CA43" s="108" t="str">
        <f t="shared" si="60"/>
        <v/>
      </c>
      <c r="CB43" s="108" t="str">
        <f t="shared" si="60"/>
        <v/>
      </c>
      <c r="CC43" s="108" t="str">
        <f t="shared" si="61"/>
        <v/>
      </c>
      <c r="CD43" s="108" t="str">
        <f t="shared" si="61"/>
        <v/>
      </c>
      <c r="CE43" s="108" t="str">
        <f t="shared" si="61"/>
        <v/>
      </c>
      <c r="CF43" s="108" t="str">
        <f t="shared" si="61"/>
        <v/>
      </c>
      <c r="CG43" s="108" t="str">
        <f t="shared" si="61"/>
        <v/>
      </c>
      <c r="CH43" s="108" t="str">
        <f t="shared" si="61"/>
        <v/>
      </c>
      <c r="CI43" s="108" t="str">
        <f t="shared" si="61"/>
        <v/>
      </c>
      <c r="CJ43" s="108" t="str">
        <f t="shared" si="61"/>
        <v/>
      </c>
      <c r="CK43" s="108" t="str">
        <f t="shared" si="61"/>
        <v/>
      </c>
      <c r="CL43" s="108" t="str">
        <f t="shared" si="61"/>
        <v/>
      </c>
      <c r="CM43" s="108" t="str">
        <f t="shared" si="62"/>
        <v/>
      </c>
      <c r="CN43" s="108" t="str">
        <f t="shared" si="62"/>
        <v/>
      </c>
      <c r="CO43" s="108" t="str">
        <f t="shared" si="62"/>
        <v/>
      </c>
      <c r="CP43" s="108" t="str">
        <f t="shared" si="62"/>
        <v/>
      </c>
      <c r="CQ43" s="108" t="str">
        <f t="shared" si="62"/>
        <v/>
      </c>
      <c r="CR43" s="109" t="str">
        <f t="shared" si="62"/>
        <v/>
      </c>
      <c r="CS43" s="108" t="str">
        <f t="shared" si="62"/>
        <v/>
      </c>
      <c r="CT43" s="108" t="str">
        <f t="shared" si="62"/>
        <v/>
      </c>
      <c r="CU43" s="108" t="str">
        <f t="shared" si="62"/>
        <v/>
      </c>
      <c r="CV43" s="108" t="str">
        <f t="shared" si="62"/>
        <v/>
      </c>
      <c r="CW43" s="108" t="str">
        <f t="shared" si="63"/>
        <v/>
      </c>
      <c r="CX43" s="108" t="str">
        <f t="shared" si="63"/>
        <v/>
      </c>
      <c r="CY43" s="108" t="str">
        <f t="shared" si="63"/>
        <v/>
      </c>
      <c r="CZ43" s="109" t="str">
        <f t="shared" si="63"/>
        <v/>
      </c>
      <c r="DA43" s="108" t="str">
        <f t="shared" si="63"/>
        <v/>
      </c>
      <c r="DB43" s="108" t="str">
        <f t="shared" si="63"/>
        <v/>
      </c>
      <c r="DC43" s="108" t="str">
        <f t="shared" si="63"/>
        <v/>
      </c>
      <c r="DD43" s="108" t="str">
        <f t="shared" si="63"/>
        <v/>
      </c>
      <c r="DE43" s="108" t="str">
        <f t="shared" si="63"/>
        <v/>
      </c>
      <c r="DF43" s="108" t="str">
        <f t="shared" si="63"/>
        <v/>
      </c>
      <c r="DG43" s="108" t="str">
        <f t="shared" si="64"/>
        <v/>
      </c>
      <c r="DH43" s="109" t="str">
        <f t="shared" si="64"/>
        <v/>
      </c>
      <c r="DI43" s="108" t="str">
        <f t="shared" si="64"/>
        <v/>
      </c>
      <c r="DJ43" s="108" t="str">
        <f t="shared" si="64"/>
        <v/>
      </c>
      <c r="DK43" s="108" t="str">
        <f t="shared" si="64"/>
        <v/>
      </c>
      <c r="DL43" s="108" t="str">
        <f t="shared" si="64"/>
        <v/>
      </c>
      <c r="DM43" s="108" t="str">
        <f t="shared" si="64"/>
        <v/>
      </c>
      <c r="DN43" s="108" t="str">
        <f t="shared" si="64"/>
        <v/>
      </c>
      <c r="DO43" s="109" t="str">
        <f t="shared" si="64"/>
        <v/>
      </c>
      <c r="DP43" s="108" t="str">
        <f t="shared" si="64"/>
        <v/>
      </c>
      <c r="DQ43" s="108" t="str">
        <f t="shared" si="65"/>
        <v/>
      </c>
      <c r="DR43" s="108" t="str">
        <f t="shared" si="65"/>
        <v/>
      </c>
      <c r="DS43" s="108" t="str">
        <f t="shared" si="65"/>
        <v/>
      </c>
      <c r="DT43" s="108" t="str">
        <f t="shared" si="65"/>
        <v/>
      </c>
      <c r="DU43" s="108" t="str">
        <f t="shared" si="65"/>
        <v/>
      </c>
      <c r="DV43" s="108" t="str">
        <f t="shared" si="65"/>
        <v/>
      </c>
      <c r="DW43" s="109" t="str">
        <f t="shared" si="65"/>
        <v/>
      </c>
      <c r="DX43" s="108" t="str">
        <f t="shared" si="65"/>
        <v/>
      </c>
      <c r="DY43" s="108" t="str">
        <f t="shared" si="65"/>
        <v/>
      </c>
      <c r="DZ43" s="108" t="str">
        <f t="shared" si="65"/>
        <v/>
      </c>
      <c r="EA43" s="108" t="str">
        <f t="shared" si="66"/>
        <v/>
      </c>
      <c r="EB43" s="108" t="str">
        <f t="shared" si="66"/>
        <v/>
      </c>
      <c r="EC43" s="108" t="str">
        <f t="shared" si="66"/>
        <v/>
      </c>
      <c r="ED43" s="109" t="str">
        <f t="shared" si="66"/>
        <v/>
      </c>
      <c r="EE43" s="108" t="str">
        <f t="shared" si="66"/>
        <v/>
      </c>
      <c r="EF43" s="108" t="str">
        <f t="shared" si="66"/>
        <v/>
      </c>
      <c r="EG43" s="108" t="str">
        <f t="shared" si="66"/>
        <v/>
      </c>
      <c r="EH43" s="108" t="str">
        <f t="shared" si="66"/>
        <v/>
      </c>
      <c r="EI43" s="108" t="str">
        <f t="shared" si="66"/>
        <v/>
      </c>
      <c r="EJ43" s="108" t="str">
        <f t="shared" si="66"/>
        <v/>
      </c>
      <c r="EK43" s="108" t="str">
        <f t="shared" si="67"/>
        <v/>
      </c>
      <c r="EL43" s="108" t="str">
        <f t="shared" si="67"/>
        <v/>
      </c>
      <c r="EM43" s="108" t="str">
        <f t="shared" si="67"/>
        <v/>
      </c>
      <c r="EN43" s="108" t="str">
        <f t="shared" si="67"/>
        <v/>
      </c>
      <c r="EO43" s="108" t="str">
        <f t="shared" si="67"/>
        <v/>
      </c>
      <c r="EP43" s="108" t="str">
        <f t="shared" si="67"/>
        <v/>
      </c>
      <c r="EQ43" s="108" t="str">
        <f t="shared" si="67"/>
        <v/>
      </c>
      <c r="ER43" s="108" t="str">
        <f t="shared" si="67"/>
        <v/>
      </c>
      <c r="ES43" s="109" t="str">
        <f t="shared" si="67"/>
        <v/>
      </c>
      <c r="ET43" s="108" t="str">
        <f t="shared" si="67"/>
        <v/>
      </c>
      <c r="EU43" s="108" t="str">
        <f t="shared" si="68"/>
        <v/>
      </c>
      <c r="EV43" s="108" t="str">
        <f t="shared" si="68"/>
        <v/>
      </c>
      <c r="EW43" s="108" t="str">
        <f t="shared" si="68"/>
        <v/>
      </c>
      <c r="EX43" s="108" t="str">
        <f t="shared" si="68"/>
        <v/>
      </c>
      <c r="EY43" s="108" t="str">
        <f t="shared" si="68"/>
        <v/>
      </c>
      <c r="EZ43" s="108" t="str">
        <f t="shared" si="68"/>
        <v/>
      </c>
      <c r="FA43" s="108" t="str">
        <f t="shared" si="68"/>
        <v/>
      </c>
      <c r="FB43" s="108" t="str">
        <f t="shared" si="68"/>
        <v/>
      </c>
      <c r="FC43" s="108" t="str">
        <f t="shared" si="68"/>
        <v/>
      </c>
      <c r="FD43" s="108" t="str">
        <f t="shared" si="68"/>
        <v/>
      </c>
      <c r="FE43" s="108" t="str">
        <f t="shared" si="69"/>
        <v/>
      </c>
      <c r="FF43" s="109" t="str">
        <f t="shared" si="69"/>
        <v/>
      </c>
      <c r="FG43" s="108" t="str">
        <f t="shared" si="69"/>
        <v/>
      </c>
      <c r="FH43" s="108" t="str">
        <f t="shared" si="69"/>
        <v/>
      </c>
      <c r="FI43" s="108" t="str">
        <f t="shared" si="69"/>
        <v/>
      </c>
      <c r="FJ43" s="108" t="str">
        <f t="shared" si="69"/>
        <v/>
      </c>
      <c r="FK43" s="108" t="str">
        <f t="shared" si="69"/>
        <v/>
      </c>
      <c r="FL43" s="108" t="str">
        <f t="shared" si="69"/>
        <v/>
      </c>
      <c r="FM43" s="108" t="str">
        <f t="shared" si="69"/>
        <v/>
      </c>
      <c r="FN43" s="108" t="str">
        <f t="shared" si="69"/>
        <v/>
      </c>
      <c r="FO43" s="108" t="str">
        <f t="shared" si="70"/>
        <v/>
      </c>
      <c r="FP43" s="108" t="str">
        <f t="shared" si="70"/>
        <v/>
      </c>
      <c r="FQ43" s="108" t="str">
        <f t="shared" si="70"/>
        <v/>
      </c>
      <c r="FR43" s="108" t="str">
        <f t="shared" si="70"/>
        <v/>
      </c>
      <c r="FS43" s="108" t="str">
        <f t="shared" si="70"/>
        <v/>
      </c>
      <c r="FT43" s="108" t="str">
        <f t="shared" si="70"/>
        <v/>
      </c>
      <c r="FU43" s="108" t="str">
        <f t="shared" si="70"/>
        <v/>
      </c>
      <c r="FV43" s="108" t="str">
        <f t="shared" si="70"/>
        <v/>
      </c>
      <c r="FW43" s="110" t="str">
        <f t="shared" si="70"/>
        <v/>
      </c>
    </row>
    <row r="44" spans="2:179" s="101" customFormat="1" ht="21" customHeight="1" x14ac:dyDescent="0.35">
      <c r="B44" s="27" t="e">
        <f>Portfolio_Daten!#REF!</f>
        <v>#REF!</v>
      </c>
      <c r="C44" s="27">
        <f>Portfolio_Daten!B43</f>
        <v>0</v>
      </c>
      <c r="D44" s="28">
        <f>Portfolio_Daten!E43</f>
        <v>0</v>
      </c>
      <c r="E44" s="31">
        <f>Portfolio_Daten!T43</f>
        <v>0</v>
      </c>
      <c r="F44" s="31">
        <f>Portfolio_Daten!U43</f>
        <v>0</v>
      </c>
      <c r="G44" s="107">
        <f>IF(F44="","",NETWORKDAYS(E44,F44,Parameter!$C$4:$C$51))</f>
        <v>0</v>
      </c>
      <c r="H44" s="29">
        <f>Portfolio_Daten!AG43</f>
        <v>0</v>
      </c>
      <c r="I44" s="33">
        <f>Portfolio_Daten!AI43</f>
        <v>0</v>
      </c>
      <c r="J44" s="106"/>
      <c r="K44" s="108" t="str">
        <f t="shared" si="54"/>
        <v/>
      </c>
      <c r="L44" s="108" t="str">
        <f t="shared" si="54"/>
        <v/>
      </c>
      <c r="M44" s="108" t="str">
        <f t="shared" si="54"/>
        <v/>
      </c>
      <c r="N44" s="108" t="str">
        <f t="shared" si="54"/>
        <v/>
      </c>
      <c r="O44" s="108" t="str">
        <f t="shared" si="54"/>
        <v/>
      </c>
      <c r="P44" s="108" t="str">
        <f t="shared" si="54"/>
        <v/>
      </c>
      <c r="Q44" s="108" t="str">
        <f t="shared" si="54"/>
        <v/>
      </c>
      <c r="R44" s="108" t="str">
        <f t="shared" si="54"/>
        <v/>
      </c>
      <c r="S44" s="108" t="str">
        <f t="shared" si="54"/>
        <v/>
      </c>
      <c r="T44" s="108" t="str">
        <f t="shared" si="54"/>
        <v/>
      </c>
      <c r="U44" s="108" t="str">
        <f t="shared" si="55"/>
        <v/>
      </c>
      <c r="V44" s="108" t="str">
        <f t="shared" si="55"/>
        <v/>
      </c>
      <c r="W44" s="108" t="str">
        <f t="shared" si="55"/>
        <v/>
      </c>
      <c r="X44" s="108" t="str">
        <f t="shared" si="55"/>
        <v/>
      </c>
      <c r="Y44" s="108" t="str">
        <f t="shared" si="55"/>
        <v/>
      </c>
      <c r="Z44" s="108" t="str">
        <f t="shared" si="55"/>
        <v/>
      </c>
      <c r="AA44" s="108" t="str">
        <f t="shared" si="55"/>
        <v/>
      </c>
      <c r="AB44" s="108" t="str">
        <f t="shared" si="55"/>
        <v/>
      </c>
      <c r="AC44" s="108" t="str">
        <f t="shared" si="55"/>
        <v/>
      </c>
      <c r="AD44" s="108" t="str">
        <f t="shared" si="55"/>
        <v/>
      </c>
      <c r="AE44" s="108" t="str">
        <f t="shared" si="56"/>
        <v/>
      </c>
      <c r="AF44" s="108" t="str">
        <f t="shared" si="56"/>
        <v/>
      </c>
      <c r="AG44" s="108" t="str">
        <f t="shared" si="56"/>
        <v/>
      </c>
      <c r="AH44" s="108" t="str">
        <f t="shared" si="56"/>
        <v/>
      </c>
      <c r="AI44" s="108" t="str">
        <f t="shared" si="56"/>
        <v/>
      </c>
      <c r="AJ44" s="108" t="str">
        <f t="shared" si="56"/>
        <v/>
      </c>
      <c r="AK44" s="108" t="str">
        <f t="shared" si="56"/>
        <v/>
      </c>
      <c r="AL44" s="108" t="str">
        <f t="shared" si="56"/>
        <v/>
      </c>
      <c r="AM44" s="108" t="str">
        <f t="shared" si="56"/>
        <v/>
      </c>
      <c r="AN44" s="108" t="str">
        <f t="shared" si="56"/>
        <v/>
      </c>
      <c r="AO44" s="108" t="str">
        <f t="shared" si="57"/>
        <v/>
      </c>
      <c r="AP44" s="108" t="str">
        <f t="shared" si="57"/>
        <v/>
      </c>
      <c r="AQ44" s="108" t="str">
        <f t="shared" si="57"/>
        <v/>
      </c>
      <c r="AR44" s="108" t="str">
        <f t="shared" si="57"/>
        <v/>
      </c>
      <c r="AS44" s="108" t="str">
        <f t="shared" si="57"/>
        <v/>
      </c>
      <c r="AT44" s="108" t="str">
        <f t="shared" si="57"/>
        <v/>
      </c>
      <c r="AU44" s="108" t="str">
        <f t="shared" si="57"/>
        <v/>
      </c>
      <c r="AV44" s="108" t="str">
        <f t="shared" si="57"/>
        <v/>
      </c>
      <c r="AW44" s="108" t="str">
        <f t="shared" si="57"/>
        <v/>
      </c>
      <c r="AX44" s="108" t="str">
        <f t="shared" si="57"/>
        <v/>
      </c>
      <c r="AY44" s="108" t="str">
        <f t="shared" si="58"/>
        <v/>
      </c>
      <c r="AZ44" s="108" t="str">
        <f t="shared" si="58"/>
        <v/>
      </c>
      <c r="BA44" s="108" t="str">
        <f t="shared" si="58"/>
        <v/>
      </c>
      <c r="BB44" s="108" t="str">
        <f t="shared" si="58"/>
        <v/>
      </c>
      <c r="BC44" s="108" t="str">
        <f t="shared" si="58"/>
        <v/>
      </c>
      <c r="BD44" s="108" t="str">
        <f t="shared" si="58"/>
        <v/>
      </c>
      <c r="BE44" s="108" t="str">
        <f t="shared" si="58"/>
        <v/>
      </c>
      <c r="BF44" s="108" t="str">
        <f t="shared" si="58"/>
        <v/>
      </c>
      <c r="BG44" s="108" t="str">
        <f t="shared" si="58"/>
        <v/>
      </c>
      <c r="BH44" s="108" t="str">
        <f t="shared" si="58"/>
        <v/>
      </c>
      <c r="BI44" s="108" t="str">
        <f t="shared" si="59"/>
        <v/>
      </c>
      <c r="BJ44" s="108" t="str">
        <f t="shared" si="59"/>
        <v/>
      </c>
      <c r="BK44" s="108" t="str">
        <f t="shared" si="59"/>
        <v/>
      </c>
      <c r="BL44" s="108" t="str">
        <f t="shared" si="59"/>
        <v/>
      </c>
      <c r="BM44" s="108" t="str">
        <f t="shared" si="59"/>
        <v/>
      </c>
      <c r="BN44" s="108" t="str">
        <f t="shared" si="59"/>
        <v/>
      </c>
      <c r="BO44" s="108" t="str">
        <f t="shared" si="59"/>
        <v/>
      </c>
      <c r="BP44" s="108" t="str">
        <f t="shared" si="59"/>
        <v/>
      </c>
      <c r="BQ44" s="108" t="str">
        <f t="shared" si="59"/>
        <v/>
      </c>
      <c r="BR44" s="108" t="str">
        <f t="shared" si="59"/>
        <v/>
      </c>
      <c r="BS44" s="108" t="str">
        <f t="shared" si="60"/>
        <v/>
      </c>
      <c r="BT44" s="108" t="str">
        <f t="shared" si="60"/>
        <v/>
      </c>
      <c r="BU44" s="108" t="str">
        <f t="shared" si="60"/>
        <v/>
      </c>
      <c r="BV44" s="108" t="str">
        <f t="shared" si="60"/>
        <v/>
      </c>
      <c r="BW44" s="108" t="str">
        <f t="shared" si="60"/>
        <v/>
      </c>
      <c r="BX44" s="108" t="str">
        <f t="shared" si="60"/>
        <v/>
      </c>
      <c r="BY44" s="108" t="str">
        <f t="shared" si="60"/>
        <v/>
      </c>
      <c r="BZ44" s="108" t="str">
        <f t="shared" si="60"/>
        <v/>
      </c>
      <c r="CA44" s="108" t="str">
        <f t="shared" si="60"/>
        <v/>
      </c>
      <c r="CB44" s="108" t="str">
        <f t="shared" si="60"/>
        <v/>
      </c>
      <c r="CC44" s="108" t="str">
        <f t="shared" si="61"/>
        <v/>
      </c>
      <c r="CD44" s="108" t="str">
        <f t="shared" si="61"/>
        <v/>
      </c>
      <c r="CE44" s="108" t="str">
        <f t="shared" si="61"/>
        <v/>
      </c>
      <c r="CF44" s="108" t="str">
        <f t="shared" si="61"/>
        <v/>
      </c>
      <c r="CG44" s="108" t="str">
        <f t="shared" si="61"/>
        <v/>
      </c>
      <c r="CH44" s="108" t="str">
        <f t="shared" si="61"/>
        <v/>
      </c>
      <c r="CI44" s="108" t="str">
        <f t="shared" si="61"/>
        <v/>
      </c>
      <c r="CJ44" s="108" t="str">
        <f t="shared" si="61"/>
        <v/>
      </c>
      <c r="CK44" s="108" t="str">
        <f t="shared" si="61"/>
        <v/>
      </c>
      <c r="CL44" s="108" t="str">
        <f t="shared" si="61"/>
        <v/>
      </c>
      <c r="CM44" s="108" t="str">
        <f t="shared" si="62"/>
        <v/>
      </c>
      <c r="CN44" s="108" t="str">
        <f t="shared" si="62"/>
        <v/>
      </c>
      <c r="CO44" s="108" t="str">
        <f t="shared" si="62"/>
        <v/>
      </c>
      <c r="CP44" s="108" t="str">
        <f t="shared" si="62"/>
        <v/>
      </c>
      <c r="CQ44" s="108" t="str">
        <f t="shared" si="62"/>
        <v/>
      </c>
      <c r="CR44" s="109" t="str">
        <f t="shared" si="62"/>
        <v/>
      </c>
      <c r="CS44" s="108" t="str">
        <f t="shared" si="62"/>
        <v/>
      </c>
      <c r="CT44" s="108" t="str">
        <f t="shared" si="62"/>
        <v/>
      </c>
      <c r="CU44" s="108" t="str">
        <f t="shared" si="62"/>
        <v/>
      </c>
      <c r="CV44" s="108" t="str">
        <f t="shared" si="62"/>
        <v/>
      </c>
      <c r="CW44" s="108" t="str">
        <f t="shared" si="63"/>
        <v/>
      </c>
      <c r="CX44" s="108" t="str">
        <f t="shared" si="63"/>
        <v/>
      </c>
      <c r="CY44" s="108" t="str">
        <f t="shared" si="63"/>
        <v/>
      </c>
      <c r="CZ44" s="109" t="str">
        <f t="shared" si="63"/>
        <v/>
      </c>
      <c r="DA44" s="108" t="str">
        <f t="shared" si="63"/>
        <v/>
      </c>
      <c r="DB44" s="108" t="str">
        <f t="shared" si="63"/>
        <v/>
      </c>
      <c r="DC44" s="108" t="str">
        <f t="shared" si="63"/>
        <v/>
      </c>
      <c r="DD44" s="108" t="str">
        <f t="shared" si="63"/>
        <v/>
      </c>
      <c r="DE44" s="108" t="str">
        <f t="shared" si="63"/>
        <v/>
      </c>
      <c r="DF44" s="108" t="str">
        <f t="shared" si="63"/>
        <v/>
      </c>
      <c r="DG44" s="108" t="str">
        <f t="shared" si="64"/>
        <v/>
      </c>
      <c r="DH44" s="109" t="str">
        <f t="shared" si="64"/>
        <v/>
      </c>
      <c r="DI44" s="108" t="str">
        <f t="shared" si="64"/>
        <v/>
      </c>
      <c r="DJ44" s="108" t="str">
        <f t="shared" si="64"/>
        <v/>
      </c>
      <c r="DK44" s="108" t="str">
        <f t="shared" si="64"/>
        <v/>
      </c>
      <c r="DL44" s="108" t="str">
        <f t="shared" si="64"/>
        <v/>
      </c>
      <c r="DM44" s="108" t="str">
        <f t="shared" si="64"/>
        <v/>
      </c>
      <c r="DN44" s="108" t="str">
        <f t="shared" si="64"/>
        <v/>
      </c>
      <c r="DO44" s="109" t="str">
        <f t="shared" si="64"/>
        <v/>
      </c>
      <c r="DP44" s="108" t="str">
        <f t="shared" si="64"/>
        <v/>
      </c>
      <c r="DQ44" s="108" t="str">
        <f t="shared" si="65"/>
        <v/>
      </c>
      <c r="DR44" s="108" t="str">
        <f t="shared" si="65"/>
        <v/>
      </c>
      <c r="DS44" s="108" t="str">
        <f t="shared" si="65"/>
        <v/>
      </c>
      <c r="DT44" s="108" t="str">
        <f t="shared" si="65"/>
        <v/>
      </c>
      <c r="DU44" s="108" t="str">
        <f t="shared" si="65"/>
        <v/>
      </c>
      <c r="DV44" s="108" t="str">
        <f t="shared" si="65"/>
        <v/>
      </c>
      <c r="DW44" s="109" t="str">
        <f t="shared" si="65"/>
        <v/>
      </c>
      <c r="DX44" s="108" t="str">
        <f t="shared" si="65"/>
        <v/>
      </c>
      <c r="DY44" s="108" t="str">
        <f t="shared" si="65"/>
        <v/>
      </c>
      <c r="DZ44" s="108" t="str">
        <f t="shared" si="65"/>
        <v/>
      </c>
      <c r="EA44" s="108" t="str">
        <f t="shared" si="66"/>
        <v/>
      </c>
      <c r="EB44" s="108" t="str">
        <f t="shared" si="66"/>
        <v/>
      </c>
      <c r="EC44" s="108" t="str">
        <f t="shared" si="66"/>
        <v/>
      </c>
      <c r="ED44" s="109" t="str">
        <f t="shared" si="66"/>
        <v/>
      </c>
      <c r="EE44" s="108" t="str">
        <f t="shared" si="66"/>
        <v/>
      </c>
      <c r="EF44" s="108" t="str">
        <f t="shared" si="66"/>
        <v/>
      </c>
      <c r="EG44" s="108" t="str">
        <f t="shared" si="66"/>
        <v/>
      </c>
      <c r="EH44" s="108" t="str">
        <f t="shared" si="66"/>
        <v/>
      </c>
      <c r="EI44" s="108" t="str">
        <f t="shared" si="66"/>
        <v/>
      </c>
      <c r="EJ44" s="108" t="str">
        <f t="shared" si="66"/>
        <v/>
      </c>
      <c r="EK44" s="108" t="str">
        <f t="shared" si="67"/>
        <v/>
      </c>
      <c r="EL44" s="108" t="str">
        <f t="shared" si="67"/>
        <v/>
      </c>
      <c r="EM44" s="108" t="str">
        <f t="shared" si="67"/>
        <v/>
      </c>
      <c r="EN44" s="108" t="str">
        <f t="shared" si="67"/>
        <v/>
      </c>
      <c r="EO44" s="108" t="str">
        <f t="shared" si="67"/>
        <v/>
      </c>
      <c r="EP44" s="108" t="str">
        <f t="shared" si="67"/>
        <v/>
      </c>
      <c r="EQ44" s="108" t="str">
        <f t="shared" si="67"/>
        <v/>
      </c>
      <c r="ER44" s="108" t="str">
        <f t="shared" si="67"/>
        <v/>
      </c>
      <c r="ES44" s="109" t="str">
        <f t="shared" si="67"/>
        <v/>
      </c>
      <c r="ET44" s="108" t="str">
        <f t="shared" si="67"/>
        <v/>
      </c>
      <c r="EU44" s="108" t="str">
        <f t="shared" si="68"/>
        <v/>
      </c>
      <c r="EV44" s="108" t="str">
        <f t="shared" si="68"/>
        <v/>
      </c>
      <c r="EW44" s="108" t="str">
        <f t="shared" si="68"/>
        <v/>
      </c>
      <c r="EX44" s="108" t="str">
        <f t="shared" si="68"/>
        <v/>
      </c>
      <c r="EY44" s="108" t="str">
        <f t="shared" si="68"/>
        <v/>
      </c>
      <c r="EZ44" s="108" t="str">
        <f t="shared" si="68"/>
        <v/>
      </c>
      <c r="FA44" s="108" t="str">
        <f t="shared" si="68"/>
        <v/>
      </c>
      <c r="FB44" s="108" t="str">
        <f t="shared" si="68"/>
        <v/>
      </c>
      <c r="FC44" s="108" t="str">
        <f t="shared" si="68"/>
        <v/>
      </c>
      <c r="FD44" s="108" t="str">
        <f t="shared" si="68"/>
        <v/>
      </c>
      <c r="FE44" s="108" t="str">
        <f t="shared" si="69"/>
        <v/>
      </c>
      <c r="FF44" s="109" t="str">
        <f t="shared" si="69"/>
        <v/>
      </c>
      <c r="FG44" s="108" t="str">
        <f t="shared" si="69"/>
        <v/>
      </c>
      <c r="FH44" s="108" t="str">
        <f t="shared" si="69"/>
        <v/>
      </c>
      <c r="FI44" s="108" t="str">
        <f t="shared" si="69"/>
        <v/>
      </c>
      <c r="FJ44" s="108" t="str">
        <f t="shared" si="69"/>
        <v/>
      </c>
      <c r="FK44" s="108" t="str">
        <f t="shared" si="69"/>
        <v/>
      </c>
      <c r="FL44" s="108" t="str">
        <f t="shared" si="69"/>
        <v/>
      </c>
      <c r="FM44" s="108" t="str">
        <f t="shared" si="69"/>
        <v/>
      </c>
      <c r="FN44" s="108" t="str">
        <f t="shared" si="69"/>
        <v/>
      </c>
      <c r="FO44" s="108" t="str">
        <f t="shared" si="70"/>
        <v/>
      </c>
      <c r="FP44" s="108" t="str">
        <f t="shared" si="70"/>
        <v/>
      </c>
      <c r="FQ44" s="108" t="str">
        <f t="shared" si="70"/>
        <v/>
      </c>
      <c r="FR44" s="108" t="str">
        <f t="shared" si="70"/>
        <v/>
      </c>
      <c r="FS44" s="108" t="str">
        <f t="shared" si="70"/>
        <v/>
      </c>
      <c r="FT44" s="108" t="str">
        <f t="shared" si="70"/>
        <v/>
      </c>
      <c r="FU44" s="108" t="str">
        <f t="shared" si="70"/>
        <v/>
      </c>
      <c r="FV44" s="108" t="str">
        <f t="shared" si="70"/>
        <v/>
      </c>
      <c r="FW44" s="110" t="str">
        <f t="shared" si="70"/>
        <v/>
      </c>
    </row>
    <row r="45" spans="2:179" s="101" customFormat="1" ht="21" customHeight="1" x14ac:dyDescent="0.35">
      <c r="B45" s="27" t="e">
        <f>Portfolio_Daten!#REF!</f>
        <v>#REF!</v>
      </c>
      <c r="C45" s="27">
        <f>Portfolio_Daten!B44</f>
        <v>0</v>
      </c>
      <c r="D45" s="28">
        <f>Portfolio_Daten!E44</f>
        <v>0</v>
      </c>
      <c r="E45" s="31">
        <f>Portfolio_Daten!T44</f>
        <v>0</v>
      </c>
      <c r="F45" s="31">
        <f>Portfolio_Daten!U44</f>
        <v>0</v>
      </c>
      <c r="G45" s="107">
        <f>IF(F45="","",NETWORKDAYS(E45,F45,Parameter!$C$4:$C$51))</f>
        <v>0</v>
      </c>
      <c r="H45" s="29">
        <f>Portfolio_Daten!AG44</f>
        <v>0</v>
      </c>
      <c r="I45" s="33">
        <f>Portfolio_Daten!AI44</f>
        <v>0</v>
      </c>
      <c r="J45" s="106"/>
      <c r="K45" s="108" t="str">
        <f t="shared" si="54"/>
        <v/>
      </c>
      <c r="L45" s="108" t="str">
        <f t="shared" si="54"/>
        <v/>
      </c>
      <c r="M45" s="108" t="str">
        <f t="shared" si="54"/>
        <v/>
      </c>
      <c r="N45" s="108" t="str">
        <f t="shared" si="54"/>
        <v/>
      </c>
      <c r="O45" s="108" t="str">
        <f t="shared" si="54"/>
        <v/>
      </c>
      <c r="P45" s="108" t="str">
        <f t="shared" si="54"/>
        <v/>
      </c>
      <c r="Q45" s="108" t="str">
        <f t="shared" si="54"/>
        <v/>
      </c>
      <c r="R45" s="108" t="str">
        <f t="shared" si="54"/>
        <v/>
      </c>
      <c r="S45" s="108" t="str">
        <f t="shared" si="54"/>
        <v/>
      </c>
      <c r="T45" s="108" t="str">
        <f t="shared" si="54"/>
        <v/>
      </c>
      <c r="U45" s="108" t="str">
        <f t="shared" si="55"/>
        <v/>
      </c>
      <c r="V45" s="108" t="str">
        <f t="shared" si="55"/>
        <v/>
      </c>
      <c r="W45" s="108" t="str">
        <f t="shared" si="55"/>
        <v/>
      </c>
      <c r="X45" s="108" t="str">
        <f t="shared" si="55"/>
        <v/>
      </c>
      <c r="Y45" s="108" t="str">
        <f t="shared" si="55"/>
        <v/>
      </c>
      <c r="Z45" s="108" t="str">
        <f t="shared" si="55"/>
        <v/>
      </c>
      <c r="AA45" s="108" t="str">
        <f t="shared" si="55"/>
        <v/>
      </c>
      <c r="AB45" s="108" t="str">
        <f t="shared" si="55"/>
        <v/>
      </c>
      <c r="AC45" s="108" t="str">
        <f t="shared" si="55"/>
        <v/>
      </c>
      <c r="AD45" s="108" t="str">
        <f t="shared" si="55"/>
        <v/>
      </c>
      <c r="AE45" s="108" t="str">
        <f t="shared" si="56"/>
        <v/>
      </c>
      <c r="AF45" s="108" t="str">
        <f t="shared" si="56"/>
        <v/>
      </c>
      <c r="AG45" s="108" t="str">
        <f t="shared" si="56"/>
        <v/>
      </c>
      <c r="AH45" s="108" t="str">
        <f t="shared" si="56"/>
        <v/>
      </c>
      <c r="AI45" s="108" t="str">
        <f t="shared" si="56"/>
        <v/>
      </c>
      <c r="AJ45" s="108" t="str">
        <f t="shared" si="56"/>
        <v/>
      </c>
      <c r="AK45" s="108" t="str">
        <f t="shared" si="56"/>
        <v/>
      </c>
      <c r="AL45" s="108" t="str">
        <f t="shared" si="56"/>
        <v/>
      </c>
      <c r="AM45" s="108" t="str">
        <f t="shared" si="56"/>
        <v/>
      </c>
      <c r="AN45" s="108" t="str">
        <f t="shared" si="56"/>
        <v/>
      </c>
      <c r="AO45" s="108" t="str">
        <f t="shared" si="57"/>
        <v/>
      </c>
      <c r="AP45" s="108" t="str">
        <f t="shared" si="57"/>
        <v/>
      </c>
      <c r="AQ45" s="108" t="str">
        <f t="shared" si="57"/>
        <v/>
      </c>
      <c r="AR45" s="108" t="str">
        <f t="shared" si="57"/>
        <v/>
      </c>
      <c r="AS45" s="108" t="str">
        <f t="shared" si="57"/>
        <v/>
      </c>
      <c r="AT45" s="108" t="str">
        <f t="shared" si="57"/>
        <v/>
      </c>
      <c r="AU45" s="108" t="str">
        <f t="shared" si="57"/>
        <v/>
      </c>
      <c r="AV45" s="108" t="str">
        <f t="shared" si="57"/>
        <v/>
      </c>
      <c r="AW45" s="108" t="str">
        <f t="shared" si="57"/>
        <v/>
      </c>
      <c r="AX45" s="108" t="str">
        <f t="shared" si="57"/>
        <v/>
      </c>
      <c r="AY45" s="108" t="str">
        <f t="shared" si="58"/>
        <v/>
      </c>
      <c r="AZ45" s="108" t="str">
        <f t="shared" si="58"/>
        <v/>
      </c>
      <c r="BA45" s="108" t="str">
        <f t="shared" si="58"/>
        <v/>
      </c>
      <c r="BB45" s="108" t="str">
        <f t="shared" si="58"/>
        <v/>
      </c>
      <c r="BC45" s="108" t="str">
        <f t="shared" si="58"/>
        <v/>
      </c>
      <c r="BD45" s="108" t="str">
        <f t="shared" si="58"/>
        <v/>
      </c>
      <c r="BE45" s="108" t="str">
        <f t="shared" si="58"/>
        <v/>
      </c>
      <c r="BF45" s="108" t="str">
        <f t="shared" si="58"/>
        <v/>
      </c>
      <c r="BG45" s="108" t="str">
        <f t="shared" si="58"/>
        <v/>
      </c>
      <c r="BH45" s="108" t="str">
        <f t="shared" si="58"/>
        <v/>
      </c>
      <c r="BI45" s="108" t="str">
        <f t="shared" si="59"/>
        <v/>
      </c>
      <c r="BJ45" s="108" t="str">
        <f t="shared" si="59"/>
        <v/>
      </c>
      <c r="BK45" s="108" t="str">
        <f t="shared" si="59"/>
        <v/>
      </c>
      <c r="BL45" s="108" t="str">
        <f t="shared" si="59"/>
        <v/>
      </c>
      <c r="BM45" s="108" t="str">
        <f t="shared" si="59"/>
        <v/>
      </c>
      <c r="BN45" s="108" t="str">
        <f t="shared" si="59"/>
        <v/>
      </c>
      <c r="BO45" s="108" t="str">
        <f t="shared" si="59"/>
        <v/>
      </c>
      <c r="BP45" s="108" t="str">
        <f t="shared" si="59"/>
        <v/>
      </c>
      <c r="BQ45" s="108" t="str">
        <f t="shared" si="59"/>
        <v/>
      </c>
      <c r="BR45" s="108" t="str">
        <f t="shared" si="59"/>
        <v/>
      </c>
      <c r="BS45" s="108" t="str">
        <f t="shared" si="60"/>
        <v/>
      </c>
      <c r="BT45" s="108" t="str">
        <f t="shared" si="60"/>
        <v/>
      </c>
      <c r="BU45" s="108" t="str">
        <f t="shared" si="60"/>
        <v/>
      </c>
      <c r="BV45" s="108" t="str">
        <f t="shared" si="60"/>
        <v/>
      </c>
      <c r="BW45" s="108" t="str">
        <f t="shared" si="60"/>
        <v/>
      </c>
      <c r="BX45" s="108" t="str">
        <f t="shared" si="60"/>
        <v/>
      </c>
      <c r="BY45" s="108" t="str">
        <f t="shared" si="60"/>
        <v/>
      </c>
      <c r="BZ45" s="108" t="str">
        <f t="shared" si="60"/>
        <v/>
      </c>
      <c r="CA45" s="108" t="str">
        <f t="shared" si="60"/>
        <v/>
      </c>
      <c r="CB45" s="108" t="str">
        <f t="shared" si="60"/>
        <v/>
      </c>
      <c r="CC45" s="108" t="str">
        <f t="shared" si="61"/>
        <v/>
      </c>
      <c r="CD45" s="108" t="str">
        <f t="shared" si="61"/>
        <v/>
      </c>
      <c r="CE45" s="108" t="str">
        <f t="shared" si="61"/>
        <v/>
      </c>
      <c r="CF45" s="108" t="str">
        <f t="shared" si="61"/>
        <v/>
      </c>
      <c r="CG45" s="108" t="str">
        <f t="shared" si="61"/>
        <v/>
      </c>
      <c r="CH45" s="108" t="str">
        <f t="shared" si="61"/>
        <v/>
      </c>
      <c r="CI45" s="108" t="str">
        <f t="shared" si="61"/>
        <v/>
      </c>
      <c r="CJ45" s="108" t="str">
        <f t="shared" si="61"/>
        <v/>
      </c>
      <c r="CK45" s="108" t="str">
        <f t="shared" si="61"/>
        <v/>
      </c>
      <c r="CL45" s="108" t="str">
        <f t="shared" si="61"/>
        <v/>
      </c>
      <c r="CM45" s="108" t="str">
        <f t="shared" si="62"/>
        <v/>
      </c>
      <c r="CN45" s="108" t="str">
        <f t="shared" si="62"/>
        <v/>
      </c>
      <c r="CO45" s="108" t="str">
        <f t="shared" si="62"/>
        <v/>
      </c>
      <c r="CP45" s="108" t="str">
        <f t="shared" si="62"/>
        <v/>
      </c>
      <c r="CQ45" s="108" t="str">
        <f t="shared" si="62"/>
        <v/>
      </c>
      <c r="CR45" s="109" t="str">
        <f t="shared" si="62"/>
        <v/>
      </c>
      <c r="CS45" s="108" t="str">
        <f t="shared" si="62"/>
        <v/>
      </c>
      <c r="CT45" s="108" t="str">
        <f t="shared" si="62"/>
        <v/>
      </c>
      <c r="CU45" s="108" t="str">
        <f t="shared" si="62"/>
        <v/>
      </c>
      <c r="CV45" s="108" t="str">
        <f t="shared" si="62"/>
        <v/>
      </c>
      <c r="CW45" s="108" t="str">
        <f t="shared" si="63"/>
        <v/>
      </c>
      <c r="CX45" s="108" t="str">
        <f t="shared" si="63"/>
        <v/>
      </c>
      <c r="CY45" s="108" t="str">
        <f t="shared" si="63"/>
        <v/>
      </c>
      <c r="CZ45" s="109" t="str">
        <f t="shared" si="63"/>
        <v/>
      </c>
      <c r="DA45" s="108" t="str">
        <f t="shared" si="63"/>
        <v/>
      </c>
      <c r="DB45" s="108" t="str">
        <f t="shared" si="63"/>
        <v/>
      </c>
      <c r="DC45" s="108" t="str">
        <f t="shared" si="63"/>
        <v/>
      </c>
      <c r="DD45" s="108" t="str">
        <f t="shared" si="63"/>
        <v/>
      </c>
      <c r="DE45" s="108" t="str">
        <f t="shared" si="63"/>
        <v/>
      </c>
      <c r="DF45" s="108" t="str">
        <f t="shared" si="63"/>
        <v/>
      </c>
      <c r="DG45" s="108" t="str">
        <f t="shared" si="64"/>
        <v/>
      </c>
      <c r="DH45" s="109" t="str">
        <f t="shared" si="64"/>
        <v/>
      </c>
      <c r="DI45" s="108" t="str">
        <f t="shared" si="64"/>
        <v/>
      </c>
      <c r="DJ45" s="108" t="str">
        <f t="shared" si="64"/>
        <v/>
      </c>
      <c r="DK45" s="108" t="str">
        <f t="shared" si="64"/>
        <v/>
      </c>
      <c r="DL45" s="108" t="str">
        <f t="shared" si="64"/>
        <v/>
      </c>
      <c r="DM45" s="108" t="str">
        <f t="shared" si="64"/>
        <v/>
      </c>
      <c r="DN45" s="108" t="str">
        <f t="shared" si="64"/>
        <v/>
      </c>
      <c r="DO45" s="109" t="str">
        <f t="shared" si="64"/>
        <v/>
      </c>
      <c r="DP45" s="108" t="str">
        <f t="shared" si="64"/>
        <v/>
      </c>
      <c r="DQ45" s="108" t="str">
        <f t="shared" si="65"/>
        <v/>
      </c>
      <c r="DR45" s="108" t="str">
        <f t="shared" si="65"/>
        <v/>
      </c>
      <c r="DS45" s="108" t="str">
        <f t="shared" si="65"/>
        <v/>
      </c>
      <c r="DT45" s="108" t="str">
        <f t="shared" si="65"/>
        <v/>
      </c>
      <c r="DU45" s="108" t="str">
        <f t="shared" si="65"/>
        <v/>
      </c>
      <c r="DV45" s="108" t="str">
        <f t="shared" si="65"/>
        <v/>
      </c>
      <c r="DW45" s="109" t="str">
        <f t="shared" si="65"/>
        <v/>
      </c>
      <c r="DX45" s="108" t="str">
        <f t="shared" si="65"/>
        <v/>
      </c>
      <c r="DY45" s="108" t="str">
        <f t="shared" si="65"/>
        <v/>
      </c>
      <c r="DZ45" s="108" t="str">
        <f t="shared" si="65"/>
        <v/>
      </c>
      <c r="EA45" s="108" t="str">
        <f t="shared" si="66"/>
        <v/>
      </c>
      <c r="EB45" s="108" t="str">
        <f t="shared" si="66"/>
        <v/>
      </c>
      <c r="EC45" s="108" t="str">
        <f t="shared" si="66"/>
        <v/>
      </c>
      <c r="ED45" s="109" t="str">
        <f t="shared" si="66"/>
        <v/>
      </c>
      <c r="EE45" s="108" t="str">
        <f t="shared" si="66"/>
        <v/>
      </c>
      <c r="EF45" s="108" t="str">
        <f t="shared" si="66"/>
        <v/>
      </c>
      <c r="EG45" s="108" t="str">
        <f t="shared" si="66"/>
        <v/>
      </c>
      <c r="EH45" s="108" t="str">
        <f t="shared" si="66"/>
        <v/>
      </c>
      <c r="EI45" s="108" t="str">
        <f t="shared" si="66"/>
        <v/>
      </c>
      <c r="EJ45" s="108" t="str">
        <f t="shared" si="66"/>
        <v/>
      </c>
      <c r="EK45" s="108" t="str">
        <f t="shared" si="67"/>
        <v/>
      </c>
      <c r="EL45" s="108" t="str">
        <f t="shared" si="67"/>
        <v/>
      </c>
      <c r="EM45" s="108" t="str">
        <f t="shared" si="67"/>
        <v/>
      </c>
      <c r="EN45" s="108" t="str">
        <f t="shared" si="67"/>
        <v/>
      </c>
      <c r="EO45" s="108" t="str">
        <f t="shared" si="67"/>
        <v/>
      </c>
      <c r="EP45" s="108" t="str">
        <f t="shared" si="67"/>
        <v/>
      </c>
      <c r="EQ45" s="108" t="str">
        <f t="shared" si="67"/>
        <v/>
      </c>
      <c r="ER45" s="108" t="str">
        <f t="shared" si="67"/>
        <v/>
      </c>
      <c r="ES45" s="109" t="str">
        <f t="shared" si="67"/>
        <v/>
      </c>
      <c r="ET45" s="108" t="str">
        <f t="shared" si="67"/>
        <v/>
      </c>
      <c r="EU45" s="108" t="str">
        <f t="shared" si="68"/>
        <v/>
      </c>
      <c r="EV45" s="108" t="str">
        <f t="shared" si="68"/>
        <v/>
      </c>
      <c r="EW45" s="108" t="str">
        <f t="shared" si="68"/>
        <v/>
      </c>
      <c r="EX45" s="108" t="str">
        <f t="shared" si="68"/>
        <v/>
      </c>
      <c r="EY45" s="108" t="str">
        <f t="shared" si="68"/>
        <v/>
      </c>
      <c r="EZ45" s="108" t="str">
        <f t="shared" si="68"/>
        <v/>
      </c>
      <c r="FA45" s="108" t="str">
        <f t="shared" si="68"/>
        <v/>
      </c>
      <c r="FB45" s="108" t="str">
        <f t="shared" si="68"/>
        <v/>
      </c>
      <c r="FC45" s="108" t="str">
        <f t="shared" si="68"/>
        <v/>
      </c>
      <c r="FD45" s="108" t="str">
        <f t="shared" si="68"/>
        <v/>
      </c>
      <c r="FE45" s="108" t="str">
        <f t="shared" si="69"/>
        <v/>
      </c>
      <c r="FF45" s="109" t="str">
        <f t="shared" si="69"/>
        <v/>
      </c>
      <c r="FG45" s="108" t="str">
        <f t="shared" si="69"/>
        <v/>
      </c>
      <c r="FH45" s="108" t="str">
        <f t="shared" si="69"/>
        <v/>
      </c>
      <c r="FI45" s="108" t="str">
        <f t="shared" si="69"/>
        <v/>
      </c>
      <c r="FJ45" s="108" t="str">
        <f t="shared" si="69"/>
        <v/>
      </c>
      <c r="FK45" s="108" t="str">
        <f t="shared" si="69"/>
        <v/>
      </c>
      <c r="FL45" s="108" t="str">
        <f t="shared" si="69"/>
        <v/>
      </c>
      <c r="FM45" s="108" t="str">
        <f t="shared" si="69"/>
        <v/>
      </c>
      <c r="FN45" s="108" t="str">
        <f t="shared" si="69"/>
        <v/>
      </c>
      <c r="FO45" s="108" t="str">
        <f t="shared" si="70"/>
        <v/>
      </c>
      <c r="FP45" s="108" t="str">
        <f t="shared" si="70"/>
        <v/>
      </c>
      <c r="FQ45" s="108" t="str">
        <f t="shared" si="70"/>
        <v/>
      </c>
      <c r="FR45" s="108" t="str">
        <f t="shared" si="70"/>
        <v/>
      </c>
      <c r="FS45" s="108" t="str">
        <f t="shared" si="70"/>
        <v/>
      </c>
      <c r="FT45" s="108" t="str">
        <f t="shared" si="70"/>
        <v/>
      </c>
      <c r="FU45" s="108" t="str">
        <f t="shared" si="70"/>
        <v/>
      </c>
      <c r="FV45" s="108" t="str">
        <f t="shared" si="70"/>
        <v/>
      </c>
      <c r="FW45" s="110" t="str">
        <f t="shared" si="70"/>
        <v/>
      </c>
    </row>
    <row r="46" spans="2:179" s="101" customFormat="1" ht="21" customHeight="1" x14ac:dyDescent="0.35">
      <c r="B46" s="27" t="e">
        <f>Portfolio_Daten!#REF!</f>
        <v>#REF!</v>
      </c>
      <c r="C46" s="27">
        <f>Portfolio_Daten!B45</f>
        <v>0</v>
      </c>
      <c r="D46" s="28">
        <f>Portfolio_Daten!E45</f>
        <v>0</v>
      </c>
      <c r="E46" s="31">
        <f>Portfolio_Daten!T45</f>
        <v>0</v>
      </c>
      <c r="F46" s="31">
        <f>Portfolio_Daten!U45</f>
        <v>0</v>
      </c>
      <c r="G46" s="107">
        <f>IF(F46="","",NETWORKDAYS(E46,F46,Parameter!$C$4:$C$51))</f>
        <v>0</v>
      </c>
      <c r="H46" s="29">
        <f>Portfolio_Daten!AG45</f>
        <v>0</v>
      </c>
      <c r="I46" s="33">
        <f>Portfolio_Daten!AI45</f>
        <v>0</v>
      </c>
      <c r="J46" s="106"/>
      <c r="K46" s="108" t="str">
        <f t="shared" si="54"/>
        <v/>
      </c>
      <c r="L46" s="108" t="str">
        <f t="shared" si="54"/>
        <v/>
      </c>
      <c r="M46" s="108" t="str">
        <f t="shared" si="54"/>
        <v/>
      </c>
      <c r="N46" s="108" t="str">
        <f t="shared" si="54"/>
        <v/>
      </c>
      <c r="O46" s="108" t="str">
        <f t="shared" si="54"/>
        <v/>
      </c>
      <c r="P46" s="108" t="str">
        <f t="shared" si="54"/>
        <v/>
      </c>
      <c r="Q46" s="108" t="str">
        <f t="shared" si="54"/>
        <v/>
      </c>
      <c r="R46" s="108" t="str">
        <f t="shared" si="54"/>
        <v/>
      </c>
      <c r="S46" s="108" t="str">
        <f t="shared" si="54"/>
        <v/>
      </c>
      <c r="T46" s="108" t="str">
        <f t="shared" si="54"/>
        <v/>
      </c>
      <c r="U46" s="108" t="str">
        <f t="shared" si="55"/>
        <v/>
      </c>
      <c r="V46" s="108" t="str">
        <f t="shared" si="55"/>
        <v/>
      </c>
      <c r="W46" s="108" t="str">
        <f t="shared" si="55"/>
        <v/>
      </c>
      <c r="X46" s="108" t="str">
        <f t="shared" si="55"/>
        <v/>
      </c>
      <c r="Y46" s="108" t="str">
        <f t="shared" si="55"/>
        <v/>
      </c>
      <c r="Z46" s="108" t="str">
        <f t="shared" si="55"/>
        <v/>
      </c>
      <c r="AA46" s="108" t="str">
        <f t="shared" si="55"/>
        <v/>
      </c>
      <c r="AB46" s="108" t="str">
        <f t="shared" si="55"/>
        <v/>
      </c>
      <c r="AC46" s="108" t="str">
        <f t="shared" si="55"/>
        <v/>
      </c>
      <c r="AD46" s="108" t="str">
        <f t="shared" si="55"/>
        <v/>
      </c>
      <c r="AE46" s="108" t="str">
        <f t="shared" si="56"/>
        <v/>
      </c>
      <c r="AF46" s="108" t="str">
        <f t="shared" si="56"/>
        <v/>
      </c>
      <c r="AG46" s="108" t="str">
        <f t="shared" si="56"/>
        <v/>
      </c>
      <c r="AH46" s="108" t="str">
        <f t="shared" si="56"/>
        <v/>
      </c>
      <c r="AI46" s="108" t="str">
        <f t="shared" si="56"/>
        <v/>
      </c>
      <c r="AJ46" s="108" t="str">
        <f t="shared" si="56"/>
        <v/>
      </c>
      <c r="AK46" s="108" t="str">
        <f t="shared" si="56"/>
        <v/>
      </c>
      <c r="AL46" s="108" t="str">
        <f t="shared" si="56"/>
        <v/>
      </c>
      <c r="AM46" s="108" t="str">
        <f t="shared" si="56"/>
        <v/>
      </c>
      <c r="AN46" s="108" t="str">
        <f t="shared" si="56"/>
        <v/>
      </c>
      <c r="AO46" s="108" t="str">
        <f t="shared" si="57"/>
        <v/>
      </c>
      <c r="AP46" s="108" t="str">
        <f t="shared" si="57"/>
        <v/>
      </c>
      <c r="AQ46" s="108" t="str">
        <f t="shared" si="57"/>
        <v/>
      </c>
      <c r="AR46" s="108" t="str">
        <f t="shared" si="57"/>
        <v/>
      </c>
      <c r="AS46" s="108" t="str">
        <f t="shared" si="57"/>
        <v/>
      </c>
      <c r="AT46" s="108" t="str">
        <f t="shared" si="57"/>
        <v/>
      </c>
      <c r="AU46" s="108" t="str">
        <f t="shared" si="57"/>
        <v/>
      </c>
      <c r="AV46" s="108" t="str">
        <f t="shared" si="57"/>
        <v/>
      </c>
      <c r="AW46" s="108" t="str">
        <f t="shared" si="57"/>
        <v/>
      </c>
      <c r="AX46" s="108" t="str">
        <f t="shared" si="57"/>
        <v/>
      </c>
      <c r="AY46" s="108" t="str">
        <f t="shared" si="58"/>
        <v/>
      </c>
      <c r="AZ46" s="108" t="str">
        <f t="shared" si="58"/>
        <v/>
      </c>
      <c r="BA46" s="108" t="str">
        <f t="shared" si="58"/>
        <v/>
      </c>
      <c r="BB46" s="108" t="str">
        <f t="shared" si="58"/>
        <v/>
      </c>
      <c r="BC46" s="108" t="str">
        <f t="shared" si="58"/>
        <v/>
      </c>
      <c r="BD46" s="108" t="str">
        <f t="shared" si="58"/>
        <v/>
      </c>
      <c r="BE46" s="108" t="str">
        <f t="shared" si="58"/>
        <v/>
      </c>
      <c r="BF46" s="108" t="str">
        <f t="shared" si="58"/>
        <v/>
      </c>
      <c r="BG46" s="108" t="str">
        <f t="shared" si="58"/>
        <v/>
      </c>
      <c r="BH46" s="108" t="str">
        <f t="shared" si="58"/>
        <v/>
      </c>
      <c r="BI46" s="108" t="str">
        <f t="shared" si="59"/>
        <v/>
      </c>
      <c r="BJ46" s="108" t="str">
        <f t="shared" si="59"/>
        <v/>
      </c>
      <c r="BK46" s="108" t="str">
        <f t="shared" si="59"/>
        <v/>
      </c>
      <c r="BL46" s="108" t="str">
        <f t="shared" si="59"/>
        <v/>
      </c>
      <c r="BM46" s="108" t="str">
        <f t="shared" si="59"/>
        <v/>
      </c>
      <c r="BN46" s="108" t="str">
        <f t="shared" si="59"/>
        <v/>
      </c>
      <c r="BO46" s="108" t="str">
        <f t="shared" si="59"/>
        <v/>
      </c>
      <c r="BP46" s="108" t="str">
        <f t="shared" si="59"/>
        <v/>
      </c>
      <c r="BQ46" s="108" t="str">
        <f t="shared" si="59"/>
        <v/>
      </c>
      <c r="BR46" s="108" t="str">
        <f t="shared" si="59"/>
        <v/>
      </c>
      <c r="BS46" s="108" t="str">
        <f t="shared" si="60"/>
        <v/>
      </c>
      <c r="BT46" s="108" t="str">
        <f t="shared" si="60"/>
        <v/>
      </c>
      <c r="BU46" s="108" t="str">
        <f t="shared" si="60"/>
        <v/>
      </c>
      <c r="BV46" s="108" t="str">
        <f t="shared" si="60"/>
        <v/>
      </c>
      <c r="BW46" s="108" t="str">
        <f t="shared" si="60"/>
        <v/>
      </c>
      <c r="BX46" s="108" t="str">
        <f t="shared" si="60"/>
        <v/>
      </c>
      <c r="BY46" s="108" t="str">
        <f t="shared" si="60"/>
        <v/>
      </c>
      <c r="BZ46" s="108" t="str">
        <f t="shared" si="60"/>
        <v/>
      </c>
      <c r="CA46" s="108" t="str">
        <f t="shared" si="60"/>
        <v/>
      </c>
      <c r="CB46" s="108" t="str">
        <f t="shared" si="60"/>
        <v/>
      </c>
      <c r="CC46" s="108" t="str">
        <f t="shared" si="61"/>
        <v/>
      </c>
      <c r="CD46" s="108" t="str">
        <f t="shared" si="61"/>
        <v/>
      </c>
      <c r="CE46" s="108" t="str">
        <f t="shared" si="61"/>
        <v/>
      </c>
      <c r="CF46" s="108" t="str">
        <f t="shared" si="61"/>
        <v/>
      </c>
      <c r="CG46" s="108" t="str">
        <f t="shared" si="61"/>
        <v/>
      </c>
      <c r="CH46" s="108" t="str">
        <f t="shared" si="61"/>
        <v/>
      </c>
      <c r="CI46" s="108" t="str">
        <f t="shared" si="61"/>
        <v/>
      </c>
      <c r="CJ46" s="108" t="str">
        <f t="shared" si="61"/>
        <v/>
      </c>
      <c r="CK46" s="108" t="str">
        <f t="shared" si="61"/>
        <v/>
      </c>
      <c r="CL46" s="108" t="str">
        <f t="shared" si="61"/>
        <v/>
      </c>
      <c r="CM46" s="108" t="str">
        <f t="shared" si="62"/>
        <v/>
      </c>
      <c r="CN46" s="108" t="str">
        <f t="shared" si="62"/>
        <v/>
      </c>
      <c r="CO46" s="108" t="str">
        <f t="shared" si="62"/>
        <v/>
      </c>
      <c r="CP46" s="108" t="str">
        <f t="shared" si="62"/>
        <v/>
      </c>
      <c r="CQ46" s="108" t="str">
        <f t="shared" si="62"/>
        <v/>
      </c>
      <c r="CR46" s="109" t="str">
        <f t="shared" si="62"/>
        <v/>
      </c>
      <c r="CS46" s="108" t="str">
        <f t="shared" si="62"/>
        <v/>
      </c>
      <c r="CT46" s="108" t="str">
        <f t="shared" si="62"/>
        <v/>
      </c>
      <c r="CU46" s="108" t="str">
        <f t="shared" si="62"/>
        <v/>
      </c>
      <c r="CV46" s="108" t="str">
        <f t="shared" si="62"/>
        <v/>
      </c>
      <c r="CW46" s="108" t="str">
        <f t="shared" si="63"/>
        <v/>
      </c>
      <c r="CX46" s="108" t="str">
        <f t="shared" si="63"/>
        <v/>
      </c>
      <c r="CY46" s="108" t="str">
        <f t="shared" si="63"/>
        <v/>
      </c>
      <c r="CZ46" s="109" t="str">
        <f t="shared" si="63"/>
        <v/>
      </c>
      <c r="DA46" s="108" t="str">
        <f t="shared" si="63"/>
        <v/>
      </c>
      <c r="DB46" s="108" t="str">
        <f t="shared" si="63"/>
        <v/>
      </c>
      <c r="DC46" s="108" t="str">
        <f t="shared" si="63"/>
        <v/>
      </c>
      <c r="DD46" s="108" t="str">
        <f t="shared" si="63"/>
        <v/>
      </c>
      <c r="DE46" s="108" t="str">
        <f t="shared" si="63"/>
        <v/>
      </c>
      <c r="DF46" s="108" t="str">
        <f t="shared" si="63"/>
        <v/>
      </c>
      <c r="DG46" s="108" t="str">
        <f t="shared" si="64"/>
        <v/>
      </c>
      <c r="DH46" s="109" t="str">
        <f t="shared" si="64"/>
        <v/>
      </c>
      <c r="DI46" s="108" t="str">
        <f t="shared" si="64"/>
        <v/>
      </c>
      <c r="DJ46" s="108" t="str">
        <f t="shared" si="64"/>
        <v/>
      </c>
      <c r="DK46" s="108" t="str">
        <f t="shared" si="64"/>
        <v/>
      </c>
      <c r="DL46" s="108" t="str">
        <f t="shared" si="64"/>
        <v/>
      </c>
      <c r="DM46" s="108" t="str">
        <f t="shared" si="64"/>
        <v/>
      </c>
      <c r="DN46" s="108" t="str">
        <f t="shared" si="64"/>
        <v/>
      </c>
      <c r="DO46" s="109" t="str">
        <f t="shared" si="64"/>
        <v/>
      </c>
      <c r="DP46" s="108" t="str">
        <f t="shared" si="64"/>
        <v/>
      </c>
      <c r="DQ46" s="108" t="str">
        <f t="shared" si="65"/>
        <v/>
      </c>
      <c r="DR46" s="108" t="str">
        <f t="shared" si="65"/>
        <v/>
      </c>
      <c r="DS46" s="108" t="str">
        <f t="shared" si="65"/>
        <v/>
      </c>
      <c r="DT46" s="108" t="str">
        <f t="shared" si="65"/>
        <v/>
      </c>
      <c r="DU46" s="108" t="str">
        <f t="shared" si="65"/>
        <v/>
      </c>
      <c r="DV46" s="108" t="str">
        <f t="shared" si="65"/>
        <v/>
      </c>
      <c r="DW46" s="109" t="str">
        <f t="shared" si="65"/>
        <v/>
      </c>
      <c r="DX46" s="108" t="str">
        <f t="shared" si="65"/>
        <v/>
      </c>
      <c r="DY46" s="108" t="str">
        <f t="shared" si="65"/>
        <v/>
      </c>
      <c r="DZ46" s="108" t="str">
        <f t="shared" si="65"/>
        <v/>
      </c>
      <c r="EA46" s="108" t="str">
        <f t="shared" si="66"/>
        <v/>
      </c>
      <c r="EB46" s="108" t="str">
        <f t="shared" si="66"/>
        <v/>
      </c>
      <c r="EC46" s="108" t="str">
        <f t="shared" si="66"/>
        <v/>
      </c>
      <c r="ED46" s="109" t="str">
        <f t="shared" si="66"/>
        <v/>
      </c>
      <c r="EE46" s="108" t="str">
        <f t="shared" si="66"/>
        <v/>
      </c>
      <c r="EF46" s="108" t="str">
        <f t="shared" si="66"/>
        <v/>
      </c>
      <c r="EG46" s="108" t="str">
        <f t="shared" si="66"/>
        <v/>
      </c>
      <c r="EH46" s="108" t="str">
        <f t="shared" si="66"/>
        <v/>
      </c>
      <c r="EI46" s="108" t="str">
        <f t="shared" si="66"/>
        <v/>
      </c>
      <c r="EJ46" s="108" t="str">
        <f t="shared" si="66"/>
        <v/>
      </c>
      <c r="EK46" s="108" t="str">
        <f t="shared" si="67"/>
        <v/>
      </c>
      <c r="EL46" s="108" t="str">
        <f t="shared" si="67"/>
        <v/>
      </c>
      <c r="EM46" s="108" t="str">
        <f t="shared" si="67"/>
        <v/>
      </c>
      <c r="EN46" s="108" t="str">
        <f t="shared" si="67"/>
        <v/>
      </c>
      <c r="EO46" s="108" t="str">
        <f t="shared" si="67"/>
        <v/>
      </c>
      <c r="EP46" s="108" t="str">
        <f t="shared" si="67"/>
        <v/>
      </c>
      <c r="EQ46" s="108" t="str">
        <f t="shared" si="67"/>
        <v/>
      </c>
      <c r="ER46" s="108" t="str">
        <f t="shared" si="67"/>
        <v/>
      </c>
      <c r="ES46" s="109" t="str">
        <f t="shared" si="67"/>
        <v/>
      </c>
      <c r="ET46" s="108" t="str">
        <f t="shared" si="67"/>
        <v/>
      </c>
      <c r="EU46" s="108" t="str">
        <f t="shared" si="68"/>
        <v/>
      </c>
      <c r="EV46" s="108" t="str">
        <f t="shared" si="68"/>
        <v/>
      </c>
      <c r="EW46" s="108" t="str">
        <f t="shared" si="68"/>
        <v/>
      </c>
      <c r="EX46" s="108" t="str">
        <f t="shared" si="68"/>
        <v/>
      </c>
      <c r="EY46" s="108" t="str">
        <f t="shared" si="68"/>
        <v/>
      </c>
      <c r="EZ46" s="108" t="str">
        <f t="shared" si="68"/>
        <v/>
      </c>
      <c r="FA46" s="108" t="str">
        <f t="shared" si="68"/>
        <v/>
      </c>
      <c r="FB46" s="108" t="str">
        <f t="shared" si="68"/>
        <v/>
      </c>
      <c r="FC46" s="108" t="str">
        <f t="shared" si="68"/>
        <v/>
      </c>
      <c r="FD46" s="108" t="str">
        <f t="shared" si="68"/>
        <v/>
      </c>
      <c r="FE46" s="108" t="str">
        <f t="shared" si="69"/>
        <v/>
      </c>
      <c r="FF46" s="109" t="str">
        <f t="shared" si="69"/>
        <v/>
      </c>
      <c r="FG46" s="108" t="str">
        <f t="shared" si="69"/>
        <v/>
      </c>
      <c r="FH46" s="108" t="str">
        <f t="shared" si="69"/>
        <v/>
      </c>
      <c r="FI46" s="108" t="str">
        <f t="shared" si="69"/>
        <v/>
      </c>
      <c r="FJ46" s="108" t="str">
        <f t="shared" si="69"/>
        <v/>
      </c>
      <c r="FK46" s="108" t="str">
        <f t="shared" si="69"/>
        <v/>
      </c>
      <c r="FL46" s="108" t="str">
        <f t="shared" si="69"/>
        <v/>
      </c>
      <c r="FM46" s="108" t="str">
        <f t="shared" si="69"/>
        <v/>
      </c>
      <c r="FN46" s="108" t="str">
        <f t="shared" si="69"/>
        <v/>
      </c>
      <c r="FO46" s="108" t="str">
        <f t="shared" si="70"/>
        <v/>
      </c>
      <c r="FP46" s="108" t="str">
        <f t="shared" si="70"/>
        <v/>
      </c>
      <c r="FQ46" s="108" t="str">
        <f t="shared" si="70"/>
        <v/>
      </c>
      <c r="FR46" s="108" t="str">
        <f t="shared" si="70"/>
        <v/>
      </c>
      <c r="FS46" s="108" t="str">
        <f t="shared" si="70"/>
        <v/>
      </c>
      <c r="FT46" s="108" t="str">
        <f t="shared" si="70"/>
        <v/>
      </c>
      <c r="FU46" s="108" t="str">
        <f t="shared" si="70"/>
        <v/>
      </c>
      <c r="FV46" s="108" t="str">
        <f t="shared" si="70"/>
        <v/>
      </c>
      <c r="FW46" s="110" t="str">
        <f t="shared" si="70"/>
        <v/>
      </c>
    </row>
    <row r="47" spans="2:179" s="101" customFormat="1" ht="21" customHeight="1" x14ac:dyDescent="0.35">
      <c r="B47" s="27" t="e">
        <f>Portfolio_Daten!#REF!</f>
        <v>#REF!</v>
      </c>
      <c r="C47" s="27">
        <f>Portfolio_Daten!B46</f>
        <v>0</v>
      </c>
      <c r="D47" s="28">
        <f>Portfolio_Daten!E46</f>
        <v>0</v>
      </c>
      <c r="E47" s="31">
        <f>Portfolio_Daten!T46</f>
        <v>0</v>
      </c>
      <c r="F47" s="31">
        <f>Portfolio_Daten!U46</f>
        <v>0</v>
      </c>
      <c r="G47" s="107">
        <f>IF(F47="","",NETWORKDAYS(E47,F47,Parameter!$C$4:$C$51))</f>
        <v>0</v>
      </c>
      <c r="H47" s="29">
        <f>Portfolio_Daten!AG46</f>
        <v>0</v>
      </c>
      <c r="I47" s="33">
        <f>Portfolio_Daten!AI46</f>
        <v>0</v>
      </c>
      <c r="J47" s="106"/>
      <c r="K47" s="108" t="str">
        <f t="shared" ref="K47:T56" si="71">IF(K$5=($F47-WEEKDAY($F47,2)+1),"u","")</f>
        <v/>
      </c>
      <c r="L47" s="108" t="str">
        <f t="shared" si="71"/>
        <v/>
      </c>
      <c r="M47" s="108" t="str">
        <f t="shared" si="71"/>
        <v/>
      </c>
      <c r="N47" s="108" t="str">
        <f t="shared" si="71"/>
        <v/>
      </c>
      <c r="O47" s="108" t="str">
        <f t="shared" si="71"/>
        <v/>
      </c>
      <c r="P47" s="108" t="str">
        <f t="shared" si="71"/>
        <v/>
      </c>
      <c r="Q47" s="108" t="str">
        <f t="shared" si="71"/>
        <v/>
      </c>
      <c r="R47" s="108" t="str">
        <f t="shared" si="71"/>
        <v/>
      </c>
      <c r="S47" s="108" t="str">
        <f t="shared" si="71"/>
        <v/>
      </c>
      <c r="T47" s="108" t="str">
        <f t="shared" si="71"/>
        <v/>
      </c>
      <c r="U47" s="108" t="str">
        <f t="shared" ref="U47:AD56" si="72">IF(U$5=($F47-WEEKDAY($F47,2)+1),"u","")</f>
        <v/>
      </c>
      <c r="V47" s="108" t="str">
        <f t="shared" si="72"/>
        <v/>
      </c>
      <c r="W47" s="108" t="str">
        <f t="shared" si="72"/>
        <v/>
      </c>
      <c r="X47" s="108" t="str">
        <f t="shared" si="72"/>
        <v/>
      </c>
      <c r="Y47" s="108" t="str">
        <f t="shared" si="72"/>
        <v/>
      </c>
      <c r="Z47" s="108" t="str">
        <f t="shared" si="72"/>
        <v/>
      </c>
      <c r="AA47" s="108" t="str">
        <f t="shared" si="72"/>
        <v/>
      </c>
      <c r="AB47" s="108" t="str">
        <f t="shared" si="72"/>
        <v/>
      </c>
      <c r="AC47" s="108" t="str">
        <f t="shared" si="72"/>
        <v/>
      </c>
      <c r="AD47" s="108" t="str">
        <f t="shared" si="72"/>
        <v/>
      </c>
      <c r="AE47" s="108" t="str">
        <f t="shared" ref="AE47:AN56" si="73">IF(AE$5=($F47-WEEKDAY($F47,2)+1),"u","")</f>
        <v/>
      </c>
      <c r="AF47" s="108" t="str">
        <f t="shared" si="73"/>
        <v/>
      </c>
      <c r="AG47" s="108" t="str">
        <f t="shared" si="73"/>
        <v/>
      </c>
      <c r="AH47" s="108" t="str">
        <f t="shared" si="73"/>
        <v/>
      </c>
      <c r="AI47" s="108" t="str">
        <f t="shared" si="73"/>
        <v/>
      </c>
      <c r="AJ47" s="108" t="str">
        <f t="shared" si="73"/>
        <v/>
      </c>
      <c r="AK47" s="108" t="str">
        <f t="shared" si="73"/>
        <v/>
      </c>
      <c r="AL47" s="108" t="str">
        <f t="shared" si="73"/>
        <v/>
      </c>
      <c r="AM47" s="108" t="str">
        <f t="shared" si="73"/>
        <v/>
      </c>
      <c r="AN47" s="108" t="str">
        <f t="shared" si="73"/>
        <v/>
      </c>
      <c r="AO47" s="108" t="str">
        <f t="shared" ref="AO47:AX56" si="74">IF(AO$5=($F47-WEEKDAY($F47,2)+1),"u","")</f>
        <v/>
      </c>
      <c r="AP47" s="108" t="str">
        <f t="shared" si="74"/>
        <v/>
      </c>
      <c r="AQ47" s="108" t="str">
        <f t="shared" si="74"/>
        <v/>
      </c>
      <c r="AR47" s="108" t="str">
        <f t="shared" si="74"/>
        <v/>
      </c>
      <c r="AS47" s="108" t="str">
        <f t="shared" si="74"/>
        <v/>
      </c>
      <c r="AT47" s="108" t="str">
        <f t="shared" si="74"/>
        <v/>
      </c>
      <c r="AU47" s="108" t="str">
        <f t="shared" si="74"/>
        <v/>
      </c>
      <c r="AV47" s="108" t="str">
        <f t="shared" si="74"/>
        <v/>
      </c>
      <c r="AW47" s="108" t="str">
        <f t="shared" si="74"/>
        <v/>
      </c>
      <c r="AX47" s="108" t="str">
        <f t="shared" si="74"/>
        <v/>
      </c>
      <c r="AY47" s="108" t="str">
        <f t="shared" ref="AY47:BH56" si="75">IF(AY$5=($F47-WEEKDAY($F47,2)+1),"u","")</f>
        <v/>
      </c>
      <c r="AZ47" s="108" t="str">
        <f t="shared" si="75"/>
        <v/>
      </c>
      <c r="BA47" s="108" t="str">
        <f t="shared" si="75"/>
        <v/>
      </c>
      <c r="BB47" s="108" t="str">
        <f t="shared" si="75"/>
        <v/>
      </c>
      <c r="BC47" s="108" t="str">
        <f t="shared" si="75"/>
        <v/>
      </c>
      <c r="BD47" s="108" t="str">
        <f t="shared" si="75"/>
        <v/>
      </c>
      <c r="BE47" s="108" t="str">
        <f t="shared" si="75"/>
        <v/>
      </c>
      <c r="BF47" s="108" t="str">
        <f t="shared" si="75"/>
        <v/>
      </c>
      <c r="BG47" s="108" t="str">
        <f t="shared" si="75"/>
        <v/>
      </c>
      <c r="BH47" s="108" t="str">
        <f t="shared" si="75"/>
        <v/>
      </c>
      <c r="BI47" s="108" t="str">
        <f t="shared" ref="BI47:BR56" si="76">IF(BI$5=($F47-WEEKDAY($F47,2)+1),"u","")</f>
        <v/>
      </c>
      <c r="BJ47" s="108" t="str">
        <f t="shared" si="76"/>
        <v/>
      </c>
      <c r="BK47" s="108" t="str">
        <f t="shared" si="76"/>
        <v/>
      </c>
      <c r="BL47" s="108" t="str">
        <f t="shared" si="76"/>
        <v/>
      </c>
      <c r="BM47" s="108" t="str">
        <f t="shared" si="76"/>
        <v/>
      </c>
      <c r="BN47" s="108" t="str">
        <f t="shared" si="76"/>
        <v/>
      </c>
      <c r="BO47" s="108" t="str">
        <f t="shared" si="76"/>
        <v/>
      </c>
      <c r="BP47" s="108" t="str">
        <f t="shared" si="76"/>
        <v/>
      </c>
      <c r="BQ47" s="108" t="str">
        <f t="shared" si="76"/>
        <v/>
      </c>
      <c r="BR47" s="108" t="str">
        <f t="shared" si="76"/>
        <v/>
      </c>
      <c r="BS47" s="108" t="str">
        <f t="shared" ref="BS47:CB56" si="77">IF(BS$5=($F47-WEEKDAY($F47,2)+1),"u","")</f>
        <v/>
      </c>
      <c r="BT47" s="108" t="str">
        <f t="shared" si="77"/>
        <v/>
      </c>
      <c r="BU47" s="108" t="str">
        <f t="shared" si="77"/>
        <v/>
      </c>
      <c r="BV47" s="108" t="str">
        <f t="shared" si="77"/>
        <v/>
      </c>
      <c r="BW47" s="108" t="str">
        <f t="shared" si="77"/>
        <v/>
      </c>
      <c r="BX47" s="108" t="str">
        <f t="shared" si="77"/>
        <v/>
      </c>
      <c r="BY47" s="108" t="str">
        <f t="shared" si="77"/>
        <v/>
      </c>
      <c r="BZ47" s="108" t="str">
        <f t="shared" si="77"/>
        <v/>
      </c>
      <c r="CA47" s="108" t="str">
        <f t="shared" si="77"/>
        <v/>
      </c>
      <c r="CB47" s="108" t="str">
        <f t="shared" si="77"/>
        <v/>
      </c>
      <c r="CC47" s="108" t="str">
        <f t="shared" ref="CC47:CL56" si="78">IF(CC$5=($F47-WEEKDAY($F47,2)+1),"u","")</f>
        <v/>
      </c>
      <c r="CD47" s="108" t="str">
        <f t="shared" si="78"/>
        <v/>
      </c>
      <c r="CE47" s="108" t="str">
        <f t="shared" si="78"/>
        <v/>
      </c>
      <c r="CF47" s="108" t="str">
        <f t="shared" si="78"/>
        <v/>
      </c>
      <c r="CG47" s="108" t="str">
        <f t="shared" si="78"/>
        <v/>
      </c>
      <c r="CH47" s="108" t="str">
        <f t="shared" si="78"/>
        <v/>
      </c>
      <c r="CI47" s="108" t="str">
        <f t="shared" si="78"/>
        <v/>
      </c>
      <c r="CJ47" s="108" t="str">
        <f t="shared" si="78"/>
        <v/>
      </c>
      <c r="CK47" s="108" t="str">
        <f t="shared" si="78"/>
        <v/>
      </c>
      <c r="CL47" s="108" t="str">
        <f t="shared" si="78"/>
        <v/>
      </c>
      <c r="CM47" s="108" t="str">
        <f t="shared" ref="CM47:CV56" si="79">IF(CM$5=($F47-WEEKDAY($F47,2)+1),"u","")</f>
        <v/>
      </c>
      <c r="CN47" s="108" t="str">
        <f t="shared" si="79"/>
        <v/>
      </c>
      <c r="CO47" s="108" t="str">
        <f t="shared" si="79"/>
        <v/>
      </c>
      <c r="CP47" s="108" t="str">
        <f t="shared" si="79"/>
        <v/>
      </c>
      <c r="CQ47" s="108" t="str">
        <f t="shared" si="79"/>
        <v/>
      </c>
      <c r="CR47" s="109" t="str">
        <f t="shared" si="79"/>
        <v/>
      </c>
      <c r="CS47" s="108" t="str">
        <f t="shared" si="79"/>
        <v/>
      </c>
      <c r="CT47" s="108" t="str">
        <f t="shared" si="79"/>
        <v/>
      </c>
      <c r="CU47" s="108" t="str">
        <f t="shared" si="79"/>
        <v/>
      </c>
      <c r="CV47" s="108" t="str">
        <f t="shared" si="79"/>
        <v/>
      </c>
      <c r="CW47" s="108" t="str">
        <f t="shared" ref="CW47:DF56" si="80">IF(CW$5=($F47-WEEKDAY($F47,2)+1),"u","")</f>
        <v/>
      </c>
      <c r="CX47" s="108" t="str">
        <f t="shared" si="80"/>
        <v/>
      </c>
      <c r="CY47" s="108" t="str">
        <f t="shared" si="80"/>
        <v/>
      </c>
      <c r="CZ47" s="109" t="str">
        <f t="shared" si="80"/>
        <v/>
      </c>
      <c r="DA47" s="108" t="str">
        <f t="shared" si="80"/>
        <v/>
      </c>
      <c r="DB47" s="108" t="str">
        <f t="shared" si="80"/>
        <v/>
      </c>
      <c r="DC47" s="108" t="str">
        <f t="shared" si="80"/>
        <v/>
      </c>
      <c r="DD47" s="108" t="str">
        <f t="shared" si="80"/>
        <v/>
      </c>
      <c r="DE47" s="108" t="str">
        <f t="shared" si="80"/>
        <v/>
      </c>
      <c r="DF47" s="108" t="str">
        <f t="shared" si="80"/>
        <v/>
      </c>
      <c r="DG47" s="108" t="str">
        <f t="shared" ref="DG47:DP56" si="81">IF(DG$5=($F47-WEEKDAY($F47,2)+1),"u","")</f>
        <v/>
      </c>
      <c r="DH47" s="109" t="str">
        <f t="shared" si="81"/>
        <v/>
      </c>
      <c r="DI47" s="108" t="str">
        <f t="shared" si="81"/>
        <v/>
      </c>
      <c r="DJ47" s="108" t="str">
        <f t="shared" si="81"/>
        <v/>
      </c>
      <c r="DK47" s="108" t="str">
        <f t="shared" si="81"/>
        <v/>
      </c>
      <c r="DL47" s="108" t="str">
        <f t="shared" si="81"/>
        <v/>
      </c>
      <c r="DM47" s="108" t="str">
        <f t="shared" si="81"/>
        <v/>
      </c>
      <c r="DN47" s="108" t="str">
        <f t="shared" si="81"/>
        <v/>
      </c>
      <c r="DO47" s="109" t="str">
        <f t="shared" si="81"/>
        <v/>
      </c>
      <c r="DP47" s="108" t="str">
        <f t="shared" si="81"/>
        <v/>
      </c>
      <c r="DQ47" s="108" t="str">
        <f t="shared" ref="DQ47:DZ56" si="82">IF(DQ$5=($F47-WEEKDAY($F47,2)+1),"u","")</f>
        <v/>
      </c>
      <c r="DR47" s="108" t="str">
        <f t="shared" si="82"/>
        <v/>
      </c>
      <c r="DS47" s="108" t="str">
        <f t="shared" si="82"/>
        <v/>
      </c>
      <c r="DT47" s="108" t="str">
        <f t="shared" si="82"/>
        <v/>
      </c>
      <c r="DU47" s="108" t="str">
        <f t="shared" si="82"/>
        <v/>
      </c>
      <c r="DV47" s="108" t="str">
        <f t="shared" si="82"/>
        <v/>
      </c>
      <c r="DW47" s="109" t="str">
        <f t="shared" si="82"/>
        <v/>
      </c>
      <c r="DX47" s="108" t="str">
        <f t="shared" si="82"/>
        <v/>
      </c>
      <c r="DY47" s="108" t="str">
        <f t="shared" si="82"/>
        <v/>
      </c>
      <c r="DZ47" s="108" t="str">
        <f t="shared" si="82"/>
        <v/>
      </c>
      <c r="EA47" s="108" t="str">
        <f t="shared" ref="EA47:EJ56" si="83">IF(EA$5=($F47-WEEKDAY($F47,2)+1),"u","")</f>
        <v/>
      </c>
      <c r="EB47" s="108" t="str">
        <f t="shared" si="83"/>
        <v/>
      </c>
      <c r="EC47" s="108" t="str">
        <f t="shared" si="83"/>
        <v/>
      </c>
      <c r="ED47" s="109" t="str">
        <f t="shared" si="83"/>
        <v/>
      </c>
      <c r="EE47" s="108" t="str">
        <f t="shared" si="83"/>
        <v/>
      </c>
      <c r="EF47" s="108" t="str">
        <f t="shared" si="83"/>
        <v/>
      </c>
      <c r="EG47" s="108" t="str">
        <f t="shared" si="83"/>
        <v/>
      </c>
      <c r="EH47" s="108" t="str">
        <f t="shared" si="83"/>
        <v/>
      </c>
      <c r="EI47" s="108" t="str">
        <f t="shared" si="83"/>
        <v/>
      </c>
      <c r="EJ47" s="108" t="str">
        <f t="shared" si="83"/>
        <v/>
      </c>
      <c r="EK47" s="108" t="str">
        <f t="shared" ref="EK47:ET56" si="84">IF(EK$5=($F47-WEEKDAY($F47,2)+1),"u","")</f>
        <v/>
      </c>
      <c r="EL47" s="108" t="str">
        <f t="shared" si="84"/>
        <v/>
      </c>
      <c r="EM47" s="108" t="str">
        <f t="shared" si="84"/>
        <v/>
      </c>
      <c r="EN47" s="108" t="str">
        <f t="shared" si="84"/>
        <v/>
      </c>
      <c r="EO47" s="108" t="str">
        <f t="shared" si="84"/>
        <v/>
      </c>
      <c r="EP47" s="108" t="str">
        <f t="shared" si="84"/>
        <v/>
      </c>
      <c r="EQ47" s="108" t="str">
        <f t="shared" si="84"/>
        <v/>
      </c>
      <c r="ER47" s="108" t="str">
        <f t="shared" si="84"/>
        <v/>
      </c>
      <c r="ES47" s="109" t="str">
        <f t="shared" si="84"/>
        <v/>
      </c>
      <c r="ET47" s="108" t="str">
        <f t="shared" si="84"/>
        <v/>
      </c>
      <c r="EU47" s="108" t="str">
        <f t="shared" ref="EU47:FD56" si="85">IF(EU$5=($F47-WEEKDAY($F47,2)+1),"u","")</f>
        <v/>
      </c>
      <c r="EV47" s="108" t="str">
        <f t="shared" si="85"/>
        <v/>
      </c>
      <c r="EW47" s="108" t="str">
        <f t="shared" si="85"/>
        <v/>
      </c>
      <c r="EX47" s="108" t="str">
        <f t="shared" si="85"/>
        <v/>
      </c>
      <c r="EY47" s="108" t="str">
        <f t="shared" si="85"/>
        <v/>
      </c>
      <c r="EZ47" s="108" t="str">
        <f t="shared" si="85"/>
        <v/>
      </c>
      <c r="FA47" s="108" t="str">
        <f t="shared" si="85"/>
        <v/>
      </c>
      <c r="FB47" s="108" t="str">
        <f t="shared" si="85"/>
        <v/>
      </c>
      <c r="FC47" s="108" t="str">
        <f t="shared" si="85"/>
        <v/>
      </c>
      <c r="FD47" s="108" t="str">
        <f t="shared" si="85"/>
        <v/>
      </c>
      <c r="FE47" s="108" t="str">
        <f t="shared" ref="FE47:FN56" si="86">IF(FE$5=($F47-WEEKDAY($F47,2)+1),"u","")</f>
        <v/>
      </c>
      <c r="FF47" s="109" t="str">
        <f t="shared" si="86"/>
        <v/>
      </c>
      <c r="FG47" s="108" t="str">
        <f t="shared" si="86"/>
        <v/>
      </c>
      <c r="FH47" s="108" t="str">
        <f t="shared" si="86"/>
        <v/>
      </c>
      <c r="FI47" s="108" t="str">
        <f t="shared" si="86"/>
        <v/>
      </c>
      <c r="FJ47" s="108" t="str">
        <f t="shared" si="86"/>
        <v/>
      </c>
      <c r="FK47" s="108" t="str">
        <f t="shared" si="86"/>
        <v/>
      </c>
      <c r="FL47" s="108" t="str">
        <f t="shared" si="86"/>
        <v/>
      </c>
      <c r="FM47" s="108" t="str">
        <f t="shared" si="86"/>
        <v/>
      </c>
      <c r="FN47" s="108" t="str">
        <f t="shared" si="86"/>
        <v/>
      </c>
      <c r="FO47" s="108" t="str">
        <f t="shared" ref="FO47:FW56" si="87">IF(FO$5=($F47-WEEKDAY($F47,2)+1),"u","")</f>
        <v/>
      </c>
      <c r="FP47" s="108" t="str">
        <f t="shared" si="87"/>
        <v/>
      </c>
      <c r="FQ47" s="108" t="str">
        <f t="shared" si="87"/>
        <v/>
      </c>
      <c r="FR47" s="108" t="str">
        <f t="shared" si="87"/>
        <v/>
      </c>
      <c r="FS47" s="108" t="str">
        <f t="shared" si="87"/>
        <v/>
      </c>
      <c r="FT47" s="108" t="str">
        <f t="shared" si="87"/>
        <v/>
      </c>
      <c r="FU47" s="108" t="str">
        <f t="shared" si="87"/>
        <v/>
      </c>
      <c r="FV47" s="108" t="str">
        <f t="shared" si="87"/>
        <v/>
      </c>
      <c r="FW47" s="110" t="str">
        <f t="shared" si="87"/>
        <v/>
      </c>
    </row>
    <row r="48" spans="2:179" s="101" customFormat="1" ht="21" customHeight="1" x14ac:dyDescent="0.35">
      <c r="B48" s="27" t="e">
        <f>Portfolio_Daten!#REF!</f>
        <v>#REF!</v>
      </c>
      <c r="C48" s="27">
        <f>Portfolio_Daten!B47</f>
        <v>0</v>
      </c>
      <c r="D48" s="28">
        <f>Portfolio_Daten!E47</f>
        <v>0</v>
      </c>
      <c r="E48" s="31">
        <f>Portfolio_Daten!T47</f>
        <v>0</v>
      </c>
      <c r="F48" s="31">
        <f>Portfolio_Daten!U47</f>
        <v>0</v>
      </c>
      <c r="G48" s="107">
        <f>IF(F48="","",NETWORKDAYS(E48,F48,Parameter!$C$4:$C$51))</f>
        <v>0</v>
      </c>
      <c r="H48" s="29">
        <f>Portfolio_Daten!AG47</f>
        <v>0</v>
      </c>
      <c r="I48" s="33">
        <f>Portfolio_Daten!AI47</f>
        <v>0</v>
      </c>
      <c r="J48" s="106"/>
      <c r="K48" s="108" t="str">
        <f t="shared" si="71"/>
        <v/>
      </c>
      <c r="L48" s="108" t="str">
        <f t="shared" si="71"/>
        <v/>
      </c>
      <c r="M48" s="108" t="str">
        <f t="shared" si="71"/>
        <v/>
      </c>
      <c r="N48" s="108" t="str">
        <f t="shared" si="71"/>
        <v/>
      </c>
      <c r="O48" s="108" t="str">
        <f t="shared" si="71"/>
        <v/>
      </c>
      <c r="P48" s="108" t="str">
        <f t="shared" si="71"/>
        <v/>
      </c>
      <c r="Q48" s="108" t="str">
        <f t="shared" si="71"/>
        <v/>
      </c>
      <c r="R48" s="108" t="str">
        <f t="shared" si="71"/>
        <v/>
      </c>
      <c r="S48" s="108" t="str">
        <f t="shared" si="71"/>
        <v/>
      </c>
      <c r="T48" s="108" t="str">
        <f t="shared" si="71"/>
        <v/>
      </c>
      <c r="U48" s="108" t="str">
        <f t="shared" si="72"/>
        <v/>
      </c>
      <c r="V48" s="108" t="str">
        <f t="shared" si="72"/>
        <v/>
      </c>
      <c r="W48" s="108" t="str">
        <f t="shared" si="72"/>
        <v/>
      </c>
      <c r="X48" s="108" t="str">
        <f t="shared" si="72"/>
        <v/>
      </c>
      <c r="Y48" s="108" t="str">
        <f t="shared" si="72"/>
        <v/>
      </c>
      <c r="Z48" s="108" t="str">
        <f t="shared" si="72"/>
        <v/>
      </c>
      <c r="AA48" s="108" t="str">
        <f t="shared" si="72"/>
        <v/>
      </c>
      <c r="AB48" s="108" t="str">
        <f t="shared" si="72"/>
        <v/>
      </c>
      <c r="AC48" s="108" t="str">
        <f t="shared" si="72"/>
        <v/>
      </c>
      <c r="AD48" s="108" t="str">
        <f t="shared" si="72"/>
        <v/>
      </c>
      <c r="AE48" s="108" t="str">
        <f t="shared" si="73"/>
        <v/>
      </c>
      <c r="AF48" s="108" t="str">
        <f t="shared" si="73"/>
        <v/>
      </c>
      <c r="AG48" s="108" t="str">
        <f t="shared" si="73"/>
        <v/>
      </c>
      <c r="AH48" s="108" t="str">
        <f t="shared" si="73"/>
        <v/>
      </c>
      <c r="AI48" s="108" t="str">
        <f t="shared" si="73"/>
        <v/>
      </c>
      <c r="AJ48" s="108" t="str">
        <f t="shared" si="73"/>
        <v/>
      </c>
      <c r="AK48" s="108" t="str">
        <f t="shared" si="73"/>
        <v/>
      </c>
      <c r="AL48" s="108" t="str">
        <f t="shared" si="73"/>
        <v/>
      </c>
      <c r="AM48" s="108" t="str">
        <f t="shared" si="73"/>
        <v/>
      </c>
      <c r="AN48" s="108" t="str">
        <f t="shared" si="73"/>
        <v/>
      </c>
      <c r="AO48" s="108" t="str">
        <f t="shared" si="74"/>
        <v/>
      </c>
      <c r="AP48" s="108" t="str">
        <f t="shared" si="74"/>
        <v/>
      </c>
      <c r="AQ48" s="108" t="str">
        <f t="shared" si="74"/>
        <v/>
      </c>
      <c r="AR48" s="108" t="str">
        <f t="shared" si="74"/>
        <v/>
      </c>
      <c r="AS48" s="108" t="str">
        <f t="shared" si="74"/>
        <v/>
      </c>
      <c r="AT48" s="108" t="str">
        <f t="shared" si="74"/>
        <v/>
      </c>
      <c r="AU48" s="108" t="str">
        <f t="shared" si="74"/>
        <v/>
      </c>
      <c r="AV48" s="108" t="str">
        <f t="shared" si="74"/>
        <v/>
      </c>
      <c r="AW48" s="108" t="str">
        <f t="shared" si="74"/>
        <v/>
      </c>
      <c r="AX48" s="108" t="str">
        <f t="shared" si="74"/>
        <v/>
      </c>
      <c r="AY48" s="108" t="str">
        <f t="shared" si="75"/>
        <v/>
      </c>
      <c r="AZ48" s="108" t="str">
        <f t="shared" si="75"/>
        <v/>
      </c>
      <c r="BA48" s="108" t="str">
        <f t="shared" si="75"/>
        <v/>
      </c>
      <c r="BB48" s="108" t="str">
        <f t="shared" si="75"/>
        <v/>
      </c>
      <c r="BC48" s="108" t="str">
        <f t="shared" si="75"/>
        <v/>
      </c>
      <c r="BD48" s="108" t="str">
        <f t="shared" si="75"/>
        <v/>
      </c>
      <c r="BE48" s="108" t="str">
        <f t="shared" si="75"/>
        <v/>
      </c>
      <c r="BF48" s="108" t="str">
        <f t="shared" si="75"/>
        <v/>
      </c>
      <c r="BG48" s="108" t="str">
        <f t="shared" si="75"/>
        <v/>
      </c>
      <c r="BH48" s="108" t="str">
        <f t="shared" si="75"/>
        <v/>
      </c>
      <c r="BI48" s="108" t="str">
        <f t="shared" si="76"/>
        <v/>
      </c>
      <c r="BJ48" s="108" t="str">
        <f t="shared" si="76"/>
        <v/>
      </c>
      <c r="BK48" s="108" t="str">
        <f t="shared" si="76"/>
        <v/>
      </c>
      <c r="BL48" s="108" t="str">
        <f t="shared" si="76"/>
        <v/>
      </c>
      <c r="BM48" s="108" t="str">
        <f t="shared" si="76"/>
        <v/>
      </c>
      <c r="BN48" s="108" t="str">
        <f t="shared" si="76"/>
        <v/>
      </c>
      <c r="BO48" s="108" t="str">
        <f t="shared" si="76"/>
        <v/>
      </c>
      <c r="BP48" s="108" t="str">
        <f t="shared" si="76"/>
        <v/>
      </c>
      <c r="BQ48" s="108" t="str">
        <f t="shared" si="76"/>
        <v/>
      </c>
      <c r="BR48" s="108" t="str">
        <f t="shared" si="76"/>
        <v/>
      </c>
      <c r="BS48" s="108" t="str">
        <f t="shared" si="77"/>
        <v/>
      </c>
      <c r="BT48" s="108" t="str">
        <f t="shared" si="77"/>
        <v/>
      </c>
      <c r="BU48" s="108" t="str">
        <f t="shared" si="77"/>
        <v/>
      </c>
      <c r="BV48" s="108" t="str">
        <f t="shared" si="77"/>
        <v/>
      </c>
      <c r="BW48" s="108" t="str">
        <f t="shared" si="77"/>
        <v/>
      </c>
      <c r="BX48" s="108" t="str">
        <f t="shared" si="77"/>
        <v/>
      </c>
      <c r="BY48" s="108" t="str">
        <f t="shared" si="77"/>
        <v/>
      </c>
      <c r="BZ48" s="108" t="str">
        <f t="shared" si="77"/>
        <v/>
      </c>
      <c r="CA48" s="108" t="str">
        <f t="shared" si="77"/>
        <v/>
      </c>
      <c r="CB48" s="108" t="str">
        <f t="shared" si="77"/>
        <v/>
      </c>
      <c r="CC48" s="108" t="str">
        <f t="shared" si="78"/>
        <v/>
      </c>
      <c r="CD48" s="108" t="str">
        <f t="shared" si="78"/>
        <v/>
      </c>
      <c r="CE48" s="108" t="str">
        <f t="shared" si="78"/>
        <v/>
      </c>
      <c r="CF48" s="108" t="str">
        <f t="shared" si="78"/>
        <v/>
      </c>
      <c r="CG48" s="108" t="str">
        <f t="shared" si="78"/>
        <v/>
      </c>
      <c r="CH48" s="108" t="str">
        <f t="shared" si="78"/>
        <v/>
      </c>
      <c r="CI48" s="108" t="str">
        <f t="shared" si="78"/>
        <v/>
      </c>
      <c r="CJ48" s="108" t="str">
        <f t="shared" si="78"/>
        <v/>
      </c>
      <c r="CK48" s="108" t="str">
        <f t="shared" si="78"/>
        <v/>
      </c>
      <c r="CL48" s="108" t="str">
        <f t="shared" si="78"/>
        <v/>
      </c>
      <c r="CM48" s="108" t="str">
        <f t="shared" si="79"/>
        <v/>
      </c>
      <c r="CN48" s="108" t="str">
        <f t="shared" si="79"/>
        <v/>
      </c>
      <c r="CO48" s="108" t="str">
        <f t="shared" si="79"/>
        <v/>
      </c>
      <c r="CP48" s="108" t="str">
        <f t="shared" si="79"/>
        <v/>
      </c>
      <c r="CQ48" s="108" t="str">
        <f t="shared" si="79"/>
        <v/>
      </c>
      <c r="CR48" s="109" t="str">
        <f t="shared" si="79"/>
        <v/>
      </c>
      <c r="CS48" s="108" t="str">
        <f t="shared" si="79"/>
        <v/>
      </c>
      <c r="CT48" s="108" t="str">
        <f t="shared" si="79"/>
        <v/>
      </c>
      <c r="CU48" s="108" t="str">
        <f t="shared" si="79"/>
        <v/>
      </c>
      <c r="CV48" s="108" t="str">
        <f t="shared" si="79"/>
        <v/>
      </c>
      <c r="CW48" s="108" t="str">
        <f t="shared" si="80"/>
        <v/>
      </c>
      <c r="CX48" s="108" t="str">
        <f t="shared" si="80"/>
        <v/>
      </c>
      <c r="CY48" s="108" t="str">
        <f t="shared" si="80"/>
        <v/>
      </c>
      <c r="CZ48" s="109" t="str">
        <f t="shared" si="80"/>
        <v/>
      </c>
      <c r="DA48" s="108" t="str">
        <f t="shared" si="80"/>
        <v/>
      </c>
      <c r="DB48" s="108" t="str">
        <f t="shared" si="80"/>
        <v/>
      </c>
      <c r="DC48" s="108" t="str">
        <f t="shared" si="80"/>
        <v/>
      </c>
      <c r="DD48" s="108" t="str">
        <f t="shared" si="80"/>
        <v/>
      </c>
      <c r="DE48" s="108" t="str">
        <f t="shared" si="80"/>
        <v/>
      </c>
      <c r="DF48" s="108" t="str">
        <f t="shared" si="80"/>
        <v/>
      </c>
      <c r="DG48" s="108" t="str">
        <f t="shared" si="81"/>
        <v/>
      </c>
      <c r="DH48" s="109" t="str">
        <f t="shared" si="81"/>
        <v/>
      </c>
      <c r="DI48" s="108" t="str">
        <f t="shared" si="81"/>
        <v/>
      </c>
      <c r="DJ48" s="108" t="str">
        <f t="shared" si="81"/>
        <v/>
      </c>
      <c r="DK48" s="108" t="str">
        <f t="shared" si="81"/>
        <v/>
      </c>
      <c r="DL48" s="108" t="str">
        <f t="shared" si="81"/>
        <v/>
      </c>
      <c r="DM48" s="108" t="str">
        <f t="shared" si="81"/>
        <v/>
      </c>
      <c r="DN48" s="108" t="str">
        <f t="shared" si="81"/>
        <v/>
      </c>
      <c r="DO48" s="109" t="str">
        <f t="shared" si="81"/>
        <v/>
      </c>
      <c r="DP48" s="108" t="str">
        <f t="shared" si="81"/>
        <v/>
      </c>
      <c r="DQ48" s="108" t="str">
        <f t="shared" si="82"/>
        <v/>
      </c>
      <c r="DR48" s="108" t="str">
        <f t="shared" si="82"/>
        <v/>
      </c>
      <c r="DS48" s="108" t="str">
        <f t="shared" si="82"/>
        <v/>
      </c>
      <c r="DT48" s="108" t="str">
        <f t="shared" si="82"/>
        <v/>
      </c>
      <c r="DU48" s="108" t="str">
        <f t="shared" si="82"/>
        <v/>
      </c>
      <c r="DV48" s="108" t="str">
        <f t="shared" si="82"/>
        <v/>
      </c>
      <c r="DW48" s="109" t="str">
        <f t="shared" si="82"/>
        <v/>
      </c>
      <c r="DX48" s="108" t="str">
        <f t="shared" si="82"/>
        <v/>
      </c>
      <c r="DY48" s="108" t="str">
        <f t="shared" si="82"/>
        <v/>
      </c>
      <c r="DZ48" s="108" t="str">
        <f t="shared" si="82"/>
        <v/>
      </c>
      <c r="EA48" s="108" t="str">
        <f t="shared" si="83"/>
        <v/>
      </c>
      <c r="EB48" s="108" t="str">
        <f t="shared" si="83"/>
        <v/>
      </c>
      <c r="EC48" s="108" t="str">
        <f t="shared" si="83"/>
        <v/>
      </c>
      <c r="ED48" s="109" t="str">
        <f t="shared" si="83"/>
        <v/>
      </c>
      <c r="EE48" s="108" t="str">
        <f t="shared" si="83"/>
        <v/>
      </c>
      <c r="EF48" s="108" t="str">
        <f t="shared" si="83"/>
        <v/>
      </c>
      <c r="EG48" s="108" t="str">
        <f t="shared" si="83"/>
        <v/>
      </c>
      <c r="EH48" s="108" t="str">
        <f t="shared" si="83"/>
        <v/>
      </c>
      <c r="EI48" s="108" t="str">
        <f t="shared" si="83"/>
        <v/>
      </c>
      <c r="EJ48" s="108" t="str">
        <f t="shared" si="83"/>
        <v/>
      </c>
      <c r="EK48" s="108" t="str">
        <f t="shared" si="84"/>
        <v/>
      </c>
      <c r="EL48" s="108" t="str">
        <f t="shared" si="84"/>
        <v/>
      </c>
      <c r="EM48" s="108" t="str">
        <f t="shared" si="84"/>
        <v/>
      </c>
      <c r="EN48" s="108" t="str">
        <f t="shared" si="84"/>
        <v/>
      </c>
      <c r="EO48" s="108" t="str">
        <f t="shared" si="84"/>
        <v/>
      </c>
      <c r="EP48" s="108" t="str">
        <f t="shared" si="84"/>
        <v/>
      </c>
      <c r="EQ48" s="108" t="str">
        <f t="shared" si="84"/>
        <v/>
      </c>
      <c r="ER48" s="108" t="str">
        <f t="shared" si="84"/>
        <v/>
      </c>
      <c r="ES48" s="109" t="str">
        <f t="shared" si="84"/>
        <v/>
      </c>
      <c r="ET48" s="108" t="str">
        <f t="shared" si="84"/>
        <v/>
      </c>
      <c r="EU48" s="108" t="str">
        <f t="shared" si="85"/>
        <v/>
      </c>
      <c r="EV48" s="108" t="str">
        <f t="shared" si="85"/>
        <v/>
      </c>
      <c r="EW48" s="108" t="str">
        <f t="shared" si="85"/>
        <v/>
      </c>
      <c r="EX48" s="108" t="str">
        <f t="shared" si="85"/>
        <v/>
      </c>
      <c r="EY48" s="108" t="str">
        <f t="shared" si="85"/>
        <v/>
      </c>
      <c r="EZ48" s="108" t="str">
        <f t="shared" si="85"/>
        <v/>
      </c>
      <c r="FA48" s="108" t="str">
        <f t="shared" si="85"/>
        <v/>
      </c>
      <c r="FB48" s="108" t="str">
        <f t="shared" si="85"/>
        <v/>
      </c>
      <c r="FC48" s="108" t="str">
        <f t="shared" si="85"/>
        <v/>
      </c>
      <c r="FD48" s="108" t="str">
        <f t="shared" si="85"/>
        <v/>
      </c>
      <c r="FE48" s="108" t="str">
        <f t="shared" si="86"/>
        <v/>
      </c>
      <c r="FF48" s="109" t="str">
        <f t="shared" si="86"/>
        <v/>
      </c>
      <c r="FG48" s="108" t="str">
        <f t="shared" si="86"/>
        <v/>
      </c>
      <c r="FH48" s="108" t="str">
        <f t="shared" si="86"/>
        <v/>
      </c>
      <c r="FI48" s="108" t="str">
        <f t="shared" si="86"/>
        <v/>
      </c>
      <c r="FJ48" s="108" t="str">
        <f t="shared" si="86"/>
        <v/>
      </c>
      <c r="FK48" s="108" t="str">
        <f t="shared" si="86"/>
        <v/>
      </c>
      <c r="FL48" s="108" t="str">
        <f t="shared" si="86"/>
        <v/>
      </c>
      <c r="FM48" s="108" t="str">
        <f t="shared" si="86"/>
        <v/>
      </c>
      <c r="FN48" s="108" t="str">
        <f t="shared" si="86"/>
        <v/>
      </c>
      <c r="FO48" s="108" t="str">
        <f t="shared" si="87"/>
        <v/>
      </c>
      <c r="FP48" s="108" t="str">
        <f t="shared" si="87"/>
        <v/>
      </c>
      <c r="FQ48" s="108" t="str">
        <f t="shared" si="87"/>
        <v/>
      </c>
      <c r="FR48" s="108" t="str">
        <f t="shared" si="87"/>
        <v/>
      </c>
      <c r="FS48" s="108" t="str">
        <f t="shared" si="87"/>
        <v/>
      </c>
      <c r="FT48" s="108" t="str">
        <f t="shared" si="87"/>
        <v/>
      </c>
      <c r="FU48" s="108" t="str">
        <f t="shared" si="87"/>
        <v/>
      </c>
      <c r="FV48" s="108" t="str">
        <f t="shared" si="87"/>
        <v/>
      </c>
      <c r="FW48" s="110" t="str">
        <f t="shared" si="87"/>
        <v/>
      </c>
    </row>
    <row r="49" spans="2:179" s="101" customFormat="1" ht="21" customHeight="1" x14ac:dyDescent="0.35">
      <c r="B49" s="27" t="e">
        <f>Portfolio_Daten!#REF!</f>
        <v>#REF!</v>
      </c>
      <c r="C49" s="27">
        <f>Portfolio_Daten!B48</f>
        <v>0</v>
      </c>
      <c r="D49" s="28">
        <f>Portfolio_Daten!E48</f>
        <v>0</v>
      </c>
      <c r="E49" s="31">
        <f>Portfolio_Daten!T48</f>
        <v>0</v>
      </c>
      <c r="F49" s="31">
        <f>Portfolio_Daten!U48</f>
        <v>0</v>
      </c>
      <c r="G49" s="107">
        <f>IF(F49="","",NETWORKDAYS(E49,F49,Parameter!$C$4:$C$51))</f>
        <v>0</v>
      </c>
      <c r="H49" s="29">
        <f>Portfolio_Daten!AG48</f>
        <v>0</v>
      </c>
      <c r="I49" s="33">
        <f>Portfolio_Daten!AI48</f>
        <v>0</v>
      </c>
      <c r="J49" s="106"/>
      <c r="K49" s="108" t="str">
        <f t="shared" si="71"/>
        <v/>
      </c>
      <c r="L49" s="108" t="str">
        <f t="shared" si="71"/>
        <v/>
      </c>
      <c r="M49" s="108" t="str">
        <f t="shared" si="71"/>
        <v/>
      </c>
      <c r="N49" s="108" t="str">
        <f t="shared" si="71"/>
        <v/>
      </c>
      <c r="O49" s="108" t="str">
        <f t="shared" si="71"/>
        <v/>
      </c>
      <c r="P49" s="108" t="str">
        <f t="shared" si="71"/>
        <v/>
      </c>
      <c r="Q49" s="108" t="str">
        <f t="shared" si="71"/>
        <v/>
      </c>
      <c r="R49" s="108" t="str">
        <f t="shared" si="71"/>
        <v/>
      </c>
      <c r="S49" s="108" t="str">
        <f t="shared" si="71"/>
        <v/>
      </c>
      <c r="T49" s="108" t="str">
        <f t="shared" si="71"/>
        <v/>
      </c>
      <c r="U49" s="108" t="str">
        <f t="shared" si="72"/>
        <v/>
      </c>
      <c r="V49" s="108" t="str">
        <f t="shared" si="72"/>
        <v/>
      </c>
      <c r="W49" s="108" t="str">
        <f t="shared" si="72"/>
        <v/>
      </c>
      <c r="X49" s="108" t="str">
        <f t="shared" si="72"/>
        <v/>
      </c>
      <c r="Y49" s="108" t="str">
        <f t="shared" si="72"/>
        <v/>
      </c>
      <c r="Z49" s="108" t="str">
        <f t="shared" si="72"/>
        <v/>
      </c>
      <c r="AA49" s="108" t="str">
        <f t="shared" si="72"/>
        <v/>
      </c>
      <c r="AB49" s="108" t="str">
        <f t="shared" si="72"/>
        <v/>
      </c>
      <c r="AC49" s="108" t="str">
        <f t="shared" si="72"/>
        <v/>
      </c>
      <c r="AD49" s="108" t="str">
        <f t="shared" si="72"/>
        <v/>
      </c>
      <c r="AE49" s="108" t="str">
        <f t="shared" si="73"/>
        <v/>
      </c>
      <c r="AF49" s="108" t="str">
        <f t="shared" si="73"/>
        <v/>
      </c>
      <c r="AG49" s="108" t="str">
        <f t="shared" si="73"/>
        <v/>
      </c>
      <c r="AH49" s="108" t="str">
        <f t="shared" si="73"/>
        <v/>
      </c>
      <c r="AI49" s="108" t="str">
        <f t="shared" si="73"/>
        <v/>
      </c>
      <c r="AJ49" s="108" t="str">
        <f t="shared" si="73"/>
        <v/>
      </c>
      <c r="AK49" s="108" t="str">
        <f t="shared" si="73"/>
        <v/>
      </c>
      <c r="AL49" s="108" t="str">
        <f t="shared" si="73"/>
        <v/>
      </c>
      <c r="AM49" s="108" t="str">
        <f t="shared" si="73"/>
        <v/>
      </c>
      <c r="AN49" s="108" t="str">
        <f t="shared" si="73"/>
        <v/>
      </c>
      <c r="AO49" s="108" t="str">
        <f t="shared" si="74"/>
        <v/>
      </c>
      <c r="AP49" s="108" t="str">
        <f t="shared" si="74"/>
        <v/>
      </c>
      <c r="AQ49" s="108" t="str">
        <f t="shared" si="74"/>
        <v/>
      </c>
      <c r="AR49" s="108" t="str">
        <f t="shared" si="74"/>
        <v/>
      </c>
      <c r="AS49" s="108" t="str">
        <f t="shared" si="74"/>
        <v/>
      </c>
      <c r="AT49" s="108" t="str">
        <f t="shared" si="74"/>
        <v/>
      </c>
      <c r="AU49" s="108" t="str">
        <f t="shared" si="74"/>
        <v/>
      </c>
      <c r="AV49" s="108" t="str">
        <f t="shared" si="74"/>
        <v/>
      </c>
      <c r="AW49" s="108" t="str">
        <f t="shared" si="74"/>
        <v/>
      </c>
      <c r="AX49" s="108" t="str">
        <f t="shared" si="74"/>
        <v/>
      </c>
      <c r="AY49" s="108" t="str">
        <f t="shared" si="75"/>
        <v/>
      </c>
      <c r="AZ49" s="108" t="str">
        <f t="shared" si="75"/>
        <v/>
      </c>
      <c r="BA49" s="108" t="str">
        <f t="shared" si="75"/>
        <v/>
      </c>
      <c r="BB49" s="108" t="str">
        <f t="shared" si="75"/>
        <v/>
      </c>
      <c r="BC49" s="108" t="str">
        <f t="shared" si="75"/>
        <v/>
      </c>
      <c r="BD49" s="108" t="str">
        <f t="shared" si="75"/>
        <v/>
      </c>
      <c r="BE49" s="108" t="str">
        <f t="shared" si="75"/>
        <v/>
      </c>
      <c r="BF49" s="108" t="str">
        <f t="shared" si="75"/>
        <v/>
      </c>
      <c r="BG49" s="108" t="str">
        <f t="shared" si="75"/>
        <v/>
      </c>
      <c r="BH49" s="108" t="str">
        <f t="shared" si="75"/>
        <v/>
      </c>
      <c r="BI49" s="108" t="str">
        <f t="shared" si="76"/>
        <v/>
      </c>
      <c r="BJ49" s="108" t="str">
        <f t="shared" si="76"/>
        <v/>
      </c>
      <c r="BK49" s="108" t="str">
        <f t="shared" si="76"/>
        <v/>
      </c>
      <c r="BL49" s="108" t="str">
        <f t="shared" si="76"/>
        <v/>
      </c>
      <c r="BM49" s="108" t="str">
        <f t="shared" si="76"/>
        <v/>
      </c>
      <c r="BN49" s="108" t="str">
        <f t="shared" si="76"/>
        <v/>
      </c>
      <c r="BO49" s="108" t="str">
        <f t="shared" si="76"/>
        <v/>
      </c>
      <c r="BP49" s="108" t="str">
        <f t="shared" si="76"/>
        <v/>
      </c>
      <c r="BQ49" s="108" t="str">
        <f t="shared" si="76"/>
        <v/>
      </c>
      <c r="BR49" s="108" t="str">
        <f t="shared" si="76"/>
        <v/>
      </c>
      <c r="BS49" s="108" t="str">
        <f t="shared" si="77"/>
        <v/>
      </c>
      <c r="BT49" s="108" t="str">
        <f t="shared" si="77"/>
        <v/>
      </c>
      <c r="BU49" s="108" t="str">
        <f t="shared" si="77"/>
        <v/>
      </c>
      <c r="BV49" s="108" t="str">
        <f t="shared" si="77"/>
        <v/>
      </c>
      <c r="BW49" s="108" t="str">
        <f t="shared" si="77"/>
        <v/>
      </c>
      <c r="BX49" s="108" t="str">
        <f t="shared" si="77"/>
        <v/>
      </c>
      <c r="BY49" s="108" t="str">
        <f t="shared" si="77"/>
        <v/>
      </c>
      <c r="BZ49" s="108" t="str">
        <f t="shared" si="77"/>
        <v/>
      </c>
      <c r="CA49" s="108" t="str">
        <f t="shared" si="77"/>
        <v/>
      </c>
      <c r="CB49" s="108" t="str">
        <f t="shared" si="77"/>
        <v/>
      </c>
      <c r="CC49" s="108" t="str">
        <f t="shared" si="78"/>
        <v/>
      </c>
      <c r="CD49" s="108" t="str">
        <f t="shared" si="78"/>
        <v/>
      </c>
      <c r="CE49" s="108" t="str">
        <f t="shared" si="78"/>
        <v/>
      </c>
      <c r="CF49" s="108" t="str">
        <f t="shared" si="78"/>
        <v/>
      </c>
      <c r="CG49" s="108" t="str">
        <f t="shared" si="78"/>
        <v/>
      </c>
      <c r="CH49" s="108" t="str">
        <f t="shared" si="78"/>
        <v/>
      </c>
      <c r="CI49" s="108" t="str">
        <f t="shared" si="78"/>
        <v/>
      </c>
      <c r="CJ49" s="108" t="str">
        <f t="shared" si="78"/>
        <v/>
      </c>
      <c r="CK49" s="108" t="str">
        <f t="shared" si="78"/>
        <v/>
      </c>
      <c r="CL49" s="108" t="str">
        <f t="shared" si="78"/>
        <v/>
      </c>
      <c r="CM49" s="108" t="str">
        <f t="shared" si="79"/>
        <v/>
      </c>
      <c r="CN49" s="108" t="str">
        <f t="shared" si="79"/>
        <v/>
      </c>
      <c r="CO49" s="108" t="str">
        <f t="shared" si="79"/>
        <v/>
      </c>
      <c r="CP49" s="108" t="str">
        <f t="shared" si="79"/>
        <v/>
      </c>
      <c r="CQ49" s="108" t="str">
        <f t="shared" si="79"/>
        <v/>
      </c>
      <c r="CR49" s="109" t="str">
        <f t="shared" si="79"/>
        <v/>
      </c>
      <c r="CS49" s="108" t="str">
        <f t="shared" si="79"/>
        <v/>
      </c>
      <c r="CT49" s="108" t="str">
        <f t="shared" si="79"/>
        <v/>
      </c>
      <c r="CU49" s="108" t="str">
        <f t="shared" si="79"/>
        <v/>
      </c>
      <c r="CV49" s="108" t="str">
        <f t="shared" si="79"/>
        <v/>
      </c>
      <c r="CW49" s="108" t="str">
        <f t="shared" si="80"/>
        <v/>
      </c>
      <c r="CX49" s="108" t="str">
        <f t="shared" si="80"/>
        <v/>
      </c>
      <c r="CY49" s="108" t="str">
        <f t="shared" si="80"/>
        <v/>
      </c>
      <c r="CZ49" s="109" t="str">
        <f t="shared" si="80"/>
        <v/>
      </c>
      <c r="DA49" s="108" t="str">
        <f t="shared" si="80"/>
        <v/>
      </c>
      <c r="DB49" s="108" t="str">
        <f t="shared" si="80"/>
        <v/>
      </c>
      <c r="DC49" s="108" t="str">
        <f t="shared" si="80"/>
        <v/>
      </c>
      <c r="DD49" s="108" t="str">
        <f t="shared" si="80"/>
        <v/>
      </c>
      <c r="DE49" s="108" t="str">
        <f t="shared" si="80"/>
        <v/>
      </c>
      <c r="DF49" s="108" t="str">
        <f t="shared" si="80"/>
        <v/>
      </c>
      <c r="DG49" s="108" t="str">
        <f t="shared" si="81"/>
        <v/>
      </c>
      <c r="DH49" s="109" t="str">
        <f t="shared" si="81"/>
        <v/>
      </c>
      <c r="DI49" s="108" t="str">
        <f t="shared" si="81"/>
        <v/>
      </c>
      <c r="DJ49" s="108" t="str">
        <f t="shared" si="81"/>
        <v/>
      </c>
      <c r="DK49" s="108" t="str">
        <f t="shared" si="81"/>
        <v/>
      </c>
      <c r="DL49" s="108" t="str">
        <f t="shared" si="81"/>
        <v/>
      </c>
      <c r="DM49" s="108" t="str">
        <f t="shared" si="81"/>
        <v/>
      </c>
      <c r="DN49" s="108" t="str">
        <f t="shared" si="81"/>
        <v/>
      </c>
      <c r="DO49" s="109" t="str">
        <f t="shared" si="81"/>
        <v/>
      </c>
      <c r="DP49" s="108" t="str">
        <f t="shared" si="81"/>
        <v/>
      </c>
      <c r="DQ49" s="108" t="str">
        <f t="shared" si="82"/>
        <v/>
      </c>
      <c r="DR49" s="108" t="str">
        <f t="shared" si="82"/>
        <v/>
      </c>
      <c r="DS49" s="108" t="str">
        <f t="shared" si="82"/>
        <v/>
      </c>
      <c r="DT49" s="108" t="str">
        <f t="shared" si="82"/>
        <v/>
      </c>
      <c r="DU49" s="108" t="str">
        <f t="shared" si="82"/>
        <v/>
      </c>
      <c r="DV49" s="108" t="str">
        <f t="shared" si="82"/>
        <v/>
      </c>
      <c r="DW49" s="109" t="str">
        <f t="shared" si="82"/>
        <v/>
      </c>
      <c r="DX49" s="108" t="str">
        <f t="shared" si="82"/>
        <v/>
      </c>
      <c r="DY49" s="108" t="str">
        <f t="shared" si="82"/>
        <v/>
      </c>
      <c r="DZ49" s="108" t="str">
        <f t="shared" si="82"/>
        <v/>
      </c>
      <c r="EA49" s="108" t="str">
        <f t="shared" si="83"/>
        <v/>
      </c>
      <c r="EB49" s="108" t="str">
        <f t="shared" si="83"/>
        <v/>
      </c>
      <c r="EC49" s="108" t="str">
        <f t="shared" si="83"/>
        <v/>
      </c>
      <c r="ED49" s="109" t="str">
        <f t="shared" si="83"/>
        <v/>
      </c>
      <c r="EE49" s="108" t="str">
        <f t="shared" si="83"/>
        <v/>
      </c>
      <c r="EF49" s="108" t="str">
        <f t="shared" si="83"/>
        <v/>
      </c>
      <c r="EG49" s="108" t="str">
        <f t="shared" si="83"/>
        <v/>
      </c>
      <c r="EH49" s="108" t="str">
        <f t="shared" si="83"/>
        <v/>
      </c>
      <c r="EI49" s="108" t="str">
        <f t="shared" si="83"/>
        <v/>
      </c>
      <c r="EJ49" s="108" t="str">
        <f t="shared" si="83"/>
        <v/>
      </c>
      <c r="EK49" s="108" t="str">
        <f t="shared" si="84"/>
        <v/>
      </c>
      <c r="EL49" s="108" t="str">
        <f t="shared" si="84"/>
        <v/>
      </c>
      <c r="EM49" s="108" t="str">
        <f t="shared" si="84"/>
        <v/>
      </c>
      <c r="EN49" s="108" t="str">
        <f t="shared" si="84"/>
        <v/>
      </c>
      <c r="EO49" s="108" t="str">
        <f t="shared" si="84"/>
        <v/>
      </c>
      <c r="EP49" s="108" t="str">
        <f t="shared" si="84"/>
        <v/>
      </c>
      <c r="EQ49" s="108" t="str">
        <f t="shared" si="84"/>
        <v/>
      </c>
      <c r="ER49" s="108" t="str">
        <f t="shared" si="84"/>
        <v/>
      </c>
      <c r="ES49" s="109" t="str">
        <f t="shared" si="84"/>
        <v/>
      </c>
      <c r="ET49" s="108" t="str">
        <f t="shared" si="84"/>
        <v/>
      </c>
      <c r="EU49" s="108" t="str">
        <f t="shared" si="85"/>
        <v/>
      </c>
      <c r="EV49" s="108" t="str">
        <f t="shared" si="85"/>
        <v/>
      </c>
      <c r="EW49" s="108" t="str">
        <f t="shared" si="85"/>
        <v/>
      </c>
      <c r="EX49" s="108" t="str">
        <f t="shared" si="85"/>
        <v/>
      </c>
      <c r="EY49" s="108" t="str">
        <f t="shared" si="85"/>
        <v/>
      </c>
      <c r="EZ49" s="108" t="str">
        <f t="shared" si="85"/>
        <v/>
      </c>
      <c r="FA49" s="108" t="str">
        <f t="shared" si="85"/>
        <v/>
      </c>
      <c r="FB49" s="108" t="str">
        <f t="shared" si="85"/>
        <v/>
      </c>
      <c r="FC49" s="108" t="str">
        <f t="shared" si="85"/>
        <v/>
      </c>
      <c r="FD49" s="108" t="str">
        <f t="shared" si="85"/>
        <v/>
      </c>
      <c r="FE49" s="108" t="str">
        <f t="shared" si="86"/>
        <v/>
      </c>
      <c r="FF49" s="109" t="str">
        <f t="shared" si="86"/>
        <v/>
      </c>
      <c r="FG49" s="108" t="str">
        <f t="shared" si="86"/>
        <v/>
      </c>
      <c r="FH49" s="108" t="str">
        <f t="shared" si="86"/>
        <v/>
      </c>
      <c r="FI49" s="108" t="str">
        <f t="shared" si="86"/>
        <v/>
      </c>
      <c r="FJ49" s="108" t="str">
        <f t="shared" si="86"/>
        <v/>
      </c>
      <c r="FK49" s="108" t="str">
        <f t="shared" si="86"/>
        <v/>
      </c>
      <c r="FL49" s="108" t="str">
        <f t="shared" si="86"/>
        <v/>
      </c>
      <c r="FM49" s="108" t="str">
        <f t="shared" si="86"/>
        <v/>
      </c>
      <c r="FN49" s="108" t="str">
        <f t="shared" si="86"/>
        <v/>
      </c>
      <c r="FO49" s="108" t="str">
        <f t="shared" si="87"/>
        <v/>
      </c>
      <c r="FP49" s="108" t="str">
        <f t="shared" si="87"/>
        <v/>
      </c>
      <c r="FQ49" s="108" t="str">
        <f t="shared" si="87"/>
        <v/>
      </c>
      <c r="FR49" s="108" t="str">
        <f t="shared" si="87"/>
        <v/>
      </c>
      <c r="FS49" s="108" t="str">
        <f t="shared" si="87"/>
        <v/>
      </c>
      <c r="FT49" s="108" t="str">
        <f t="shared" si="87"/>
        <v/>
      </c>
      <c r="FU49" s="108" t="str">
        <f t="shared" si="87"/>
        <v/>
      </c>
      <c r="FV49" s="108" t="str">
        <f t="shared" si="87"/>
        <v/>
      </c>
      <c r="FW49" s="110" t="str">
        <f t="shared" si="87"/>
        <v/>
      </c>
    </row>
    <row r="50" spans="2:179" s="101" customFormat="1" ht="21" customHeight="1" x14ac:dyDescent="0.35">
      <c r="B50" s="27" t="e">
        <f>Portfolio_Daten!#REF!</f>
        <v>#REF!</v>
      </c>
      <c r="C50" s="27">
        <f>Portfolio_Daten!B49</f>
        <v>0</v>
      </c>
      <c r="D50" s="28">
        <f>Portfolio_Daten!E49</f>
        <v>0</v>
      </c>
      <c r="E50" s="31">
        <f>Portfolio_Daten!T49</f>
        <v>0</v>
      </c>
      <c r="F50" s="31">
        <f>Portfolio_Daten!U49</f>
        <v>0</v>
      </c>
      <c r="G50" s="107">
        <f>IF(F50="","",NETWORKDAYS(E50,F50,Parameter!$C$4:$C$51))</f>
        <v>0</v>
      </c>
      <c r="H50" s="29">
        <f>Portfolio_Daten!AG49</f>
        <v>0</v>
      </c>
      <c r="I50" s="33">
        <f>Portfolio_Daten!AI49</f>
        <v>0</v>
      </c>
      <c r="J50" s="106"/>
      <c r="K50" s="108" t="str">
        <f t="shared" si="71"/>
        <v/>
      </c>
      <c r="L50" s="108" t="str">
        <f t="shared" si="71"/>
        <v/>
      </c>
      <c r="M50" s="108" t="str">
        <f t="shared" si="71"/>
        <v/>
      </c>
      <c r="N50" s="108" t="str">
        <f t="shared" si="71"/>
        <v/>
      </c>
      <c r="O50" s="108" t="str">
        <f t="shared" si="71"/>
        <v/>
      </c>
      <c r="P50" s="108" t="str">
        <f t="shared" si="71"/>
        <v/>
      </c>
      <c r="Q50" s="108" t="str">
        <f t="shared" si="71"/>
        <v/>
      </c>
      <c r="R50" s="108" t="str">
        <f t="shared" si="71"/>
        <v/>
      </c>
      <c r="S50" s="108" t="str">
        <f t="shared" si="71"/>
        <v/>
      </c>
      <c r="T50" s="108" t="str">
        <f t="shared" si="71"/>
        <v/>
      </c>
      <c r="U50" s="108" t="str">
        <f t="shared" si="72"/>
        <v/>
      </c>
      <c r="V50" s="108" t="str">
        <f t="shared" si="72"/>
        <v/>
      </c>
      <c r="W50" s="108" t="str">
        <f t="shared" si="72"/>
        <v/>
      </c>
      <c r="X50" s="108" t="str">
        <f t="shared" si="72"/>
        <v/>
      </c>
      <c r="Y50" s="108" t="str">
        <f t="shared" si="72"/>
        <v/>
      </c>
      <c r="Z50" s="108" t="str">
        <f t="shared" si="72"/>
        <v/>
      </c>
      <c r="AA50" s="108" t="str">
        <f t="shared" si="72"/>
        <v/>
      </c>
      <c r="AB50" s="108" t="str">
        <f t="shared" si="72"/>
        <v/>
      </c>
      <c r="AC50" s="108" t="str">
        <f t="shared" si="72"/>
        <v/>
      </c>
      <c r="AD50" s="108" t="str">
        <f t="shared" si="72"/>
        <v/>
      </c>
      <c r="AE50" s="108" t="str">
        <f t="shared" si="73"/>
        <v/>
      </c>
      <c r="AF50" s="108" t="str">
        <f t="shared" si="73"/>
        <v/>
      </c>
      <c r="AG50" s="108" t="str">
        <f t="shared" si="73"/>
        <v/>
      </c>
      <c r="AH50" s="108" t="str">
        <f t="shared" si="73"/>
        <v/>
      </c>
      <c r="AI50" s="108" t="str">
        <f t="shared" si="73"/>
        <v/>
      </c>
      <c r="AJ50" s="108" t="str">
        <f t="shared" si="73"/>
        <v/>
      </c>
      <c r="AK50" s="108" t="str">
        <f t="shared" si="73"/>
        <v/>
      </c>
      <c r="AL50" s="108" t="str">
        <f t="shared" si="73"/>
        <v/>
      </c>
      <c r="AM50" s="108" t="str">
        <f t="shared" si="73"/>
        <v/>
      </c>
      <c r="AN50" s="108" t="str">
        <f t="shared" si="73"/>
        <v/>
      </c>
      <c r="AO50" s="108" t="str">
        <f t="shared" si="74"/>
        <v/>
      </c>
      <c r="AP50" s="108" t="str">
        <f t="shared" si="74"/>
        <v/>
      </c>
      <c r="AQ50" s="108" t="str">
        <f t="shared" si="74"/>
        <v/>
      </c>
      <c r="AR50" s="108" t="str">
        <f t="shared" si="74"/>
        <v/>
      </c>
      <c r="AS50" s="108" t="str">
        <f t="shared" si="74"/>
        <v/>
      </c>
      <c r="AT50" s="108" t="str">
        <f t="shared" si="74"/>
        <v/>
      </c>
      <c r="AU50" s="108" t="str">
        <f t="shared" si="74"/>
        <v/>
      </c>
      <c r="AV50" s="108" t="str">
        <f t="shared" si="74"/>
        <v/>
      </c>
      <c r="AW50" s="108" t="str">
        <f t="shared" si="74"/>
        <v/>
      </c>
      <c r="AX50" s="108" t="str">
        <f t="shared" si="74"/>
        <v/>
      </c>
      <c r="AY50" s="108" t="str">
        <f t="shared" si="75"/>
        <v/>
      </c>
      <c r="AZ50" s="108" t="str">
        <f t="shared" si="75"/>
        <v/>
      </c>
      <c r="BA50" s="108" t="str">
        <f t="shared" si="75"/>
        <v/>
      </c>
      <c r="BB50" s="108" t="str">
        <f t="shared" si="75"/>
        <v/>
      </c>
      <c r="BC50" s="108" t="str">
        <f t="shared" si="75"/>
        <v/>
      </c>
      <c r="BD50" s="108" t="str">
        <f t="shared" si="75"/>
        <v/>
      </c>
      <c r="BE50" s="108" t="str">
        <f t="shared" si="75"/>
        <v/>
      </c>
      <c r="BF50" s="108" t="str">
        <f t="shared" si="75"/>
        <v/>
      </c>
      <c r="BG50" s="108" t="str">
        <f t="shared" si="75"/>
        <v/>
      </c>
      <c r="BH50" s="108" t="str">
        <f t="shared" si="75"/>
        <v/>
      </c>
      <c r="BI50" s="108" t="str">
        <f t="shared" si="76"/>
        <v/>
      </c>
      <c r="BJ50" s="108" t="str">
        <f t="shared" si="76"/>
        <v/>
      </c>
      <c r="BK50" s="108" t="str">
        <f t="shared" si="76"/>
        <v/>
      </c>
      <c r="BL50" s="108" t="str">
        <f t="shared" si="76"/>
        <v/>
      </c>
      <c r="BM50" s="108" t="str">
        <f t="shared" si="76"/>
        <v/>
      </c>
      <c r="BN50" s="108" t="str">
        <f t="shared" si="76"/>
        <v/>
      </c>
      <c r="BO50" s="108" t="str">
        <f t="shared" si="76"/>
        <v/>
      </c>
      <c r="BP50" s="108" t="str">
        <f t="shared" si="76"/>
        <v/>
      </c>
      <c r="BQ50" s="108" t="str">
        <f t="shared" si="76"/>
        <v/>
      </c>
      <c r="BR50" s="108" t="str">
        <f t="shared" si="76"/>
        <v/>
      </c>
      <c r="BS50" s="108" t="str">
        <f t="shared" si="77"/>
        <v/>
      </c>
      <c r="BT50" s="108" t="str">
        <f t="shared" si="77"/>
        <v/>
      </c>
      <c r="BU50" s="108" t="str">
        <f t="shared" si="77"/>
        <v/>
      </c>
      <c r="BV50" s="108" t="str">
        <f t="shared" si="77"/>
        <v/>
      </c>
      <c r="BW50" s="108" t="str">
        <f t="shared" si="77"/>
        <v/>
      </c>
      <c r="BX50" s="108" t="str">
        <f t="shared" si="77"/>
        <v/>
      </c>
      <c r="BY50" s="108" t="str">
        <f t="shared" si="77"/>
        <v/>
      </c>
      <c r="BZ50" s="108" t="str">
        <f t="shared" si="77"/>
        <v/>
      </c>
      <c r="CA50" s="108" t="str">
        <f t="shared" si="77"/>
        <v/>
      </c>
      <c r="CB50" s="108" t="str">
        <f t="shared" si="77"/>
        <v/>
      </c>
      <c r="CC50" s="108" t="str">
        <f t="shared" si="78"/>
        <v/>
      </c>
      <c r="CD50" s="108" t="str">
        <f t="shared" si="78"/>
        <v/>
      </c>
      <c r="CE50" s="108" t="str">
        <f t="shared" si="78"/>
        <v/>
      </c>
      <c r="CF50" s="108" t="str">
        <f t="shared" si="78"/>
        <v/>
      </c>
      <c r="CG50" s="108" t="str">
        <f t="shared" si="78"/>
        <v/>
      </c>
      <c r="CH50" s="108" t="str">
        <f t="shared" si="78"/>
        <v/>
      </c>
      <c r="CI50" s="108" t="str">
        <f t="shared" si="78"/>
        <v/>
      </c>
      <c r="CJ50" s="108" t="str">
        <f t="shared" si="78"/>
        <v/>
      </c>
      <c r="CK50" s="108" t="str">
        <f t="shared" si="78"/>
        <v/>
      </c>
      <c r="CL50" s="108" t="str">
        <f t="shared" si="78"/>
        <v/>
      </c>
      <c r="CM50" s="108" t="str">
        <f t="shared" si="79"/>
        <v/>
      </c>
      <c r="CN50" s="108" t="str">
        <f t="shared" si="79"/>
        <v/>
      </c>
      <c r="CO50" s="108" t="str">
        <f t="shared" si="79"/>
        <v/>
      </c>
      <c r="CP50" s="108" t="str">
        <f t="shared" si="79"/>
        <v/>
      </c>
      <c r="CQ50" s="108" t="str">
        <f t="shared" si="79"/>
        <v/>
      </c>
      <c r="CR50" s="109" t="str">
        <f t="shared" si="79"/>
        <v/>
      </c>
      <c r="CS50" s="108" t="str">
        <f t="shared" si="79"/>
        <v/>
      </c>
      <c r="CT50" s="108" t="str">
        <f t="shared" si="79"/>
        <v/>
      </c>
      <c r="CU50" s="108" t="str">
        <f t="shared" si="79"/>
        <v/>
      </c>
      <c r="CV50" s="108" t="str">
        <f t="shared" si="79"/>
        <v/>
      </c>
      <c r="CW50" s="108" t="str">
        <f t="shared" si="80"/>
        <v/>
      </c>
      <c r="CX50" s="108" t="str">
        <f t="shared" si="80"/>
        <v/>
      </c>
      <c r="CY50" s="108" t="str">
        <f t="shared" si="80"/>
        <v/>
      </c>
      <c r="CZ50" s="109" t="str">
        <f t="shared" si="80"/>
        <v/>
      </c>
      <c r="DA50" s="108" t="str">
        <f t="shared" si="80"/>
        <v/>
      </c>
      <c r="DB50" s="108" t="str">
        <f t="shared" si="80"/>
        <v/>
      </c>
      <c r="DC50" s="108" t="str">
        <f t="shared" si="80"/>
        <v/>
      </c>
      <c r="DD50" s="108" t="str">
        <f t="shared" si="80"/>
        <v/>
      </c>
      <c r="DE50" s="108" t="str">
        <f t="shared" si="80"/>
        <v/>
      </c>
      <c r="DF50" s="108" t="str">
        <f t="shared" si="80"/>
        <v/>
      </c>
      <c r="DG50" s="108" t="str">
        <f t="shared" si="81"/>
        <v/>
      </c>
      <c r="DH50" s="109" t="str">
        <f t="shared" si="81"/>
        <v/>
      </c>
      <c r="DI50" s="108" t="str">
        <f t="shared" si="81"/>
        <v/>
      </c>
      <c r="DJ50" s="108" t="str">
        <f t="shared" si="81"/>
        <v/>
      </c>
      <c r="DK50" s="108" t="str">
        <f t="shared" si="81"/>
        <v/>
      </c>
      <c r="DL50" s="108" t="str">
        <f t="shared" si="81"/>
        <v/>
      </c>
      <c r="DM50" s="108" t="str">
        <f t="shared" si="81"/>
        <v/>
      </c>
      <c r="DN50" s="108" t="str">
        <f t="shared" si="81"/>
        <v/>
      </c>
      <c r="DO50" s="109" t="str">
        <f t="shared" si="81"/>
        <v/>
      </c>
      <c r="DP50" s="108" t="str">
        <f t="shared" si="81"/>
        <v/>
      </c>
      <c r="DQ50" s="108" t="str">
        <f t="shared" si="82"/>
        <v/>
      </c>
      <c r="DR50" s="108" t="str">
        <f t="shared" si="82"/>
        <v/>
      </c>
      <c r="DS50" s="108" t="str">
        <f t="shared" si="82"/>
        <v/>
      </c>
      <c r="DT50" s="108" t="str">
        <f t="shared" si="82"/>
        <v/>
      </c>
      <c r="DU50" s="108" t="str">
        <f t="shared" si="82"/>
        <v/>
      </c>
      <c r="DV50" s="108" t="str">
        <f t="shared" si="82"/>
        <v/>
      </c>
      <c r="DW50" s="109" t="str">
        <f t="shared" si="82"/>
        <v/>
      </c>
      <c r="DX50" s="108" t="str">
        <f t="shared" si="82"/>
        <v/>
      </c>
      <c r="DY50" s="108" t="str">
        <f t="shared" si="82"/>
        <v/>
      </c>
      <c r="DZ50" s="108" t="str">
        <f t="shared" si="82"/>
        <v/>
      </c>
      <c r="EA50" s="108" t="str">
        <f t="shared" si="83"/>
        <v/>
      </c>
      <c r="EB50" s="108" t="str">
        <f t="shared" si="83"/>
        <v/>
      </c>
      <c r="EC50" s="108" t="str">
        <f t="shared" si="83"/>
        <v/>
      </c>
      <c r="ED50" s="109" t="str">
        <f t="shared" si="83"/>
        <v/>
      </c>
      <c r="EE50" s="108" t="str">
        <f t="shared" si="83"/>
        <v/>
      </c>
      <c r="EF50" s="108" t="str">
        <f t="shared" si="83"/>
        <v/>
      </c>
      <c r="EG50" s="108" t="str">
        <f t="shared" si="83"/>
        <v/>
      </c>
      <c r="EH50" s="108" t="str">
        <f t="shared" si="83"/>
        <v/>
      </c>
      <c r="EI50" s="108" t="str">
        <f t="shared" si="83"/>
        <v/>
      </c>
      <c r="EJ50" s="108" t="str">
        <f t="shared" si="83"/>
        <v/>
      </c>
      <c r="EK50" s="108" t="str">
        <f t="shared" si="84"/>
        <v/>
      </c>
      <c r="EL50" s="108" t="str">
        <f t="shared" si="84"/>
        <v/>
      </c>
      <c r="EM50" s="108" t="str">
        <f t="shared" si="84"/>
        <v/>
      </c>
      <c r="EN50" s="108" t="str">
        <f t="shared" si="84"/>
        <v/>
      </c>
      <c r="EO50" s="108" t="str">
        <f t="shared" si="84"/>
        <v/>
      </c>
      <c r="EP50" s="108" t="str">
        <f t="shared" si="84"/>
        <v/>
      </c>
      <c r="EQ50" s="108" t="str">
        <f t="shared" si="84"/>
        <v/>
      </c>
      <c r="ER50" s="108" t="str">
        <f t="shared" si="84"/>
        <v/>
      </c>
      <c r="ES50" s="109" t="str">
        <f t="shared" si="84"/>
        <v/>
      </c>
      <c r="ET50" s="108" t="str">
        <f t="shared" si="84"/>
        <v/>
      </c>
      <c r="EU50" s="108" t="str">
        <f t="shared" si="85"/>
        <v/>
      </c>
      <c r="EV50" s="108" t="str">
        <f t="shared" si="85"/>
        <v/>
      </c>
      <c r="EW50" s="108" t="str">
        <f t="shared" si="85"/>
        <v/>
      </c>
      <c r="EX50" s="108" t="str">
        <f t="shared" si="85"/>
        <v/>
      </c>
      <c r="EY50" s="108" t="str">
        <f t="shared" si="85"/>
        <v/>
      </c>
      <c r="EZ50" s="108" t="str">
        <f t="shared" si="85"/>
        <v/>
      </c>
      <c r="FA50" s="108" t="str">
        <f t="shared" si="85"/>
        <v/>
      </c>
      <c r="FB50" s="108" t="str">
        <f t="shared" si="85"/>
        <v/>
      </c>
      <c r="FC50" s="108" t="str">
        <f t="shared" si="85"/>
        <v/>
      </c>
      <c r="FD50" s="108" t="str">
        <f t="shared" si="85"/>
        <v/>
      </c>
      <c r="FE50" s="108" t="str">
        <f t="shared" si="86"/>
        <v/>
      </c>
      <c r="FF50" s="109" t="str">
        <f t="shared" si="86"/>
        <v/>
      </c>
      <c r="FG50" s="108" t="str">
        <f t="shared" si="86"/>
        <v/>
      </c>
      <c r="FH50" s="108" t="str">
        <f t="shared" si="86"/>
        <v/>
      </c>
      <c r="FI50" s="108" t="str">
        <f t="shared" si="86"/>
        <v/>
      </c>
      <c r="FJ50" s="108" t="str">
        <f t="shared" si="86"/>
        <v/>
      </c>
      <c r="FK50" s="108" t="str">
        <f t="shared" si="86"/>
        <v/>
      </c>
      <c r="FL50" s="108" t="str">
        <f t="shared" si="86"/>
        <v/>
      </c>
      <c r="FM50" s="108" t="str">
        <f t="shared" si="86"/>
        <v/>
      </c>
      <c r="FN50" s="108" t="str">
        <f t="shared" si="86"/>
        <v/>
      </c>
      <c r="FO50" s="108" t="str">
        <f t="shared" si="87"/>
        <v/>
      </c>
      <c r="FP50" s="108" t="str">
        <f t="shared" si="87"/>
        <v/>
      </c>
      <c r="FQ50" s="108" t="str">
        <f t="shared" si="87"/>
        <v/>
      </c>
      <c r="FR50" s="108" t="str">
        <f t="shared" si="87"/>
        <v/>
      </c>
      <c r="FS50" s="108" t="str">
        <f t="shared" si="87"/>
        <v/>
      </c>
      <c r="FT50" s="108" t="str">
        <f t="shared" si="87"/>
        <v/>
      </c>
      <c r="FU50" s="108" t="str">
        <f t="shared" si="87"/>
        <v/>
      </c>
      <c r="FV50" s="108" t="str">
        <f t="shared" si="87"/>
        <v/>
      </c>
      <c r="FW50" s="110" t="str">
        <f t="shared" si="87"/>
        <v/>
      </c>
    </row>
    <row r="51" spans="2:179" s="101" customFormat="1" ht="21" customHeight="1" x14ac:dyDescent="0.35">
      <c r="B51" s="27" t="e">
        <f>Portfolio_Daten!#REF!</f>
        <v>#REF!</v>
      </c>
      <c r="C51" s="27">
        <f>Portfolio_Daten!B50</f>
        <v>0</v>
      </c>
      <c r="D51" s="28">
        <f>Portfolio_Daten!E50</f>
        <v>0</v>
      </c>
      <c r="E51" s="31">
        <f>Portfolio_Daten!T50</f>
        <v>0</v>
      </c>
      <c r="F51" s="31">
        <f>Portfolio_Daten!U50</f>
        <v>0</v>
      </c>
      <c r="G51" s="107">
        <f>IF(F51="","",NETWORKDAYS(E51,F51,Parameter!$C$4:$C$51))</f>
        <v>0</v>
      </c>
      <c r="H51" s="29">
        <f>Portfolio_Daten!AG50</f>
        <v>0</v>
      </c>
      <c r="I51" s="33">
        <f>Portfolio_Daten!AI50</f>
        <v>0</v>
      </c>
      <c r="J51" s="106"/>
      <c r="K51" s="108" t="str">
        <f t="shared" si="71"/>
        <v/>
      </c>
      <c r="L51" s="108" t="str">
        <f t="shared" si="71"/>
        <v/>
      </c>
      <c r="M51" s="108" t="str">
        <f t="shared" si="71"/>
        <v/>
      </c>
      <c r="N51" s="108" t="str">
        <f t="shared" si="71"/>
        <v/>
      </c>
      <c r="O51" s="108" t="str">
        <f t="shared" si="71"/>
        <v/>
      </c>
      <c r="P51" s="108" t="str">
        <f t="shared" si="71"/>
        <v/>
      </c>
      <c r="Q51" s="108" t="str">
        <f t="shared" si="71"/>
        <v/>
      </c>
      <c r="R51" s="108" t="str">
        <f t="shared" si="71"/>
        <v/>
      </c>
      <c r="S51" s="108" t="str">
        <f t="shared" si="71"/>
        <v/>
      </c>
      <c r="T51" s="108" t="str">
        <f t="shared" si="71"/>
        <v/>
      </c>
      <c r="U51" s="108" t="str">
        <f t="shared" si="72"/>
        <v/>
      </c>
      <c r="V51" s="108" t="str">
        <f t="shared" si="72"/>
        <v/>
      </c>
      <c r="W51" s="108" t="str">
        <f t="shared" si="72"/>
        <v/>
      </c>
      <c r="X51" s="108" t="str">
        <f t="shared" si="72"/>
        <v/>
      </c>
      <c r="Y51" s="108" t="str">
        <f t="shared" si="72"/>
        <v/>
      </c>
      <c r="Z51" s="108" t="str">
        <f t="shared" si="72"/>
        <v/>
      </c>
      <c r="AA51" s="108" t="str">
        <f t="shared" si="72"/>
        <v/>
      </c>
      <c r="AB51" s="108" t="str">
        <f t="shared" si="72"/>
        <v/>
      </c>
      <c r="AC51" s="108" t="str">
        <f t="shared" si="72"/>
        <v/>
      </c>
      <c r="AD51" s="108" t="str">
        <f t="shared" si="72"/>
        <v/>
      </c>
      <c r="AE51" s="108" t="str">
        <f t="shared" si="73"/>
        <v/>
      </c>
      <c r="AF51" s="108" t="str">
        <f t="shared" si="73"/>
        <v/>
      </c>
      <c r="AG51" s="108" t="str">
        <f t="shared" si="73"/>
        <v/>
      </c>
      <c r="AH51" s="108" t="str">
        <f t="shared" si="73"/>
        <v/>
      </c>
      <c r="AI51" s="108" t="str">
        <f t="shared" si="73"/>
        <v/>
      </c>
      <c r="AJ51" s="108" t="str">
        <f t="shared" si="73"/>
        <v/>
      </c>
      <c r="AK51" s="108" t="str">
        <f t="shared" si="73"/>
        <v/>
      </c>
      <c r="AL51" s="108" t="str">
        <f t="shared" si="73"/>
        <v/>
      </c>
      <c r="AM51" s="108" t="str">
        <f t="shared" si="73"/>
        <v/>
      </c>
      <c r="AN51" s="108" t="str">
        <f t="shared" si="73"/>
        <v/>
      </c>
      <c r="AO51" s="108" t="str">
        <f t="shared" si="74"/>
        <v/>
      </c>
      <c r="AP51" s="108" t="str">
        <f t="shared" si="74"/>
        <v/>
      </c>
      <c r="AQ51" s="108" t="str">
        <f t="shared" si="74"/>
        <v/>
      </c>
      <c r="AR51" s="108" t="str">
        <f t="shared" si="74"/>
        <v/>
      </c>
      <c r="AS51" s="108" t="str">
        <f t="shared" si="74"/>
        <v/>
      </c>
      <c r="AT51" s="108" t="str">
        <f t="shared" si="74"/>
        <v/>
      </c>
      <c r="AU51" s="108" t="str">
        <f t="shared" si="74"/>
        <v/>
      </c>
      <c r="AV51" s="108" t="str">
        <f t="shared" si="74"/>
        <v/>
      </c>
      <c r="AW51" s="108" t="str">
        <f t="shared" si="74"/>
        <v/>
      </c>
      <c r="AX51" s="108" t="str">
        <f t="shared" si="74"/>
        <v/>
      </c>
      <c r="AY51" s="108" t="str">
        <f t="shared" si="75"/>
        <v/>
      </c>
      <c r="AZ51" s="108" t="str">
        <f t="shared" si="75"/>
        <v/>
      </c>
      <c r="BA51" s="108" t="str">
        <f t="shared" si="75"/>
        <v/>
      </c>
      <c r="BB51" s="108" t="str">
        <f t="shared" si="75"/>
        <v/>
      </c>
      <c r="BC51" s="108" t="str">
        <f t="shared" si="75"/>
        <v/>
      </c>
      <c r="BD51" s="108" t="str">
        <f t="shared" si="75"/>
        <v/>
      </c>
      <c r="BE51" s="108" t="str">
        <f t="shared" si="75"/>
        <v/>
      </c>
      <c r="BF51" s="108" t="str">
        <f t="shared" si="75"/>
        <v/>
      </c>
      <c r="BG51" s="108" t="str">
        <f t="shared" si="75"/>
        <v/>
      </c>
      <c r="BH51" s="108" t="str">
        <f t="shared" si="75"/>
        <v/>
      </c>
      <c r="BI51" s="108" t="str">
        <f t="shared" si="76"/>
        <v/>
      </c>
      <c r="BJ51" s="108" t="str">
        <f t="shared" si="76"/>
        <v/>
      </c>
      <c r="BK51" s="108" t="str">
        <f t="shared" si="76"/>
        <v/>
      </c>
      <c r="BL51" s="108" t="str">
        <f t="shared" si="76"/>
        <v/>
      </c>
      <c r="BM51" s="108" t="str">
        <f t="shared" si="76"/>
        <v/>
      </c>
      <c r="BN51" s="108" t="str">
        <f t="shared" si="76"/>
        <v/>
      </c>
      <c r="BO51" s="108" t="str">
        <f t="shared" si="76"/>
        <v/>
      </c>
      <c r="BP51" s="108" t="str">
        <f t="shared" si="76"/>
        <v/>
      </c>
      <c r="BQ51" s="108" t="str">
        <f t="shared" si="76"/>
        <v/>
      </c>
      <c r="BR51" s="108" t="str">
        <f t="shared" si="76"/>
        <v/>
      </c>
      <c r="BS51" s="108" t="str">
        <f t="shared" si="77"/>
        <v/>
      </c>
      <c r="BT51" s="108" t="str">
        <f t="shared" si="77"/>
        <v/>
      </c>
      <c r="BU51" s="108" t="str">
        <f t="shared" si="77"/>
        <v/>
      </c>
      <c r="BV51" s="108" t="str">
        <f t="shared" si="77"/>
        <v/>
      </c>
      <c r="BW51" s="108" t="str">
        <f t="shared" si="77"/>
        <v/>
      </c>
      <c r="BX51" s="108" t="str">
        <f t="shared" si="77"/>
        <v/>
      </c>
      <c r="BY51" s="108" t="str">
        <f t="shared" si="77"/>
        <v/>
      </c>
      <c r="BZ51" s="108" t="str">
        <f t="shared" si="77"/>
        <v/>
      </c>
      <c r="CA51" s="108" t="str">
        <f t="shared" si="77"/>
        <v/>
      </c>
      <c r="CB51" s="108" t="str">
        <f t="shared" si="77"/>
        <v/>
      </c>
      <c r="CC51" s="108" t="str">
        <f t="shared" si="78"/>
        <v/>
      </c>
      <c r="CD51" s="108" t="str">
        <f t="shared" si="78"/>
        <v/>
      </c>
      <c r="CE51" s="108" t="str">
        <f t="shared" si="78"/>
        <v/>
      </c>
      <c r="CF51" s="108" t="str">
        <f t="shared" si="78"/>
        <v/>
      </c>
      <c r="CG51" s="108" t="str">
        <f t="shared" si="78"/>
        <v/>
      </c>
      <c r="CH51" s="108" t="str">
        <f t="shared" si="78"/>
        <v/>
      </c>
      <c r="CI51" s="108" t="str">
        <f t="shared" si="78"/>
        <v/>
      </c>
      <c r="CJ51" s="108" t="str">
        <f t="shared" si="78"/>
        <v/>
      </c>
      <c r="CK51" s="108" t="str">
        <f t="shared" si="78"/>
        <v/>
      </c>
      <c r="CL51" s="108" t="str">
        <f t="shared" si="78"/>
        <v/>
      </c>
      <c r="CM51" s="108" t="str">
        <f t="shared" si="79"/>
        <v/>
      </c>
      <c r="CN51" s="108" t="str">
        <f t="shared" si="79"/>
        <v/>
      </c>
      <c r="CO51" s="108" t="str">
        <f t="shared" si="79"/>
        <v/>
      </c>
      <c r="CP51" s="108" t="str">
        <f t="shared" si="79"/>
        <v/>
      </c>
      <c r="CQ51" s="108" t="str">
        <f t="shared" si="79"/>
        <v/>
      </c>
      <c r="CR51" s="109" t="str">
        <f t="shared" si="79"/>
        <v/>
      </c>
      <c r="CS51" s="108" t="str">
        <f t="shared" si="79"/>
        <v/>
      </c>
      <c r="CT51" s="108" t="str">
        <f t="shared" si="79"/>
        <v/>
      </c>
      <c r="CU51" s="108" t="str">
        <f t="shared" si="79"/>
        <v/>
      </c>
      <c r="CV51" s="108" t="str">
        <f t="shared" si="79"/>
        <v/>
      </c>
      <c r="CW51" s="108" t="str">
        <f t="shared" si="80"/>
        <v/>
      </c>
      <c r="CX51" s="108" t="str">
        <f t="shared" si="80"/>
        <v/>
      </c>
      <c r="CY51" s="108" t="str">
        <f t="shared" si="80"/>
        <v/>
      </c>
      <c r="CZ51" s="109" t="str">
        <f t="shared" si="80"/>
        <v/>
      </c>
      <c r="DA51" s="108" t="str">
        <f t="shared" si="80"/>
        <v/>
      </c>
      <c r="DB51" s="108" t="str">
        <f t="shared" si="80"/>
        <v/>
      </c>
      <c r="DC51" s="108" t="str">
        <f t="shared" si="80"/>
        <v/>
      </c>
      <c r="DD51" s="108" t="str">
        <f t="shared" si="80"/>
        <v/>
      </c>
      <c r="DE51" s="108" t="str">
        <f t="shared" si="80"/>
        <v/>
      </c>
      <c r="DF51" s="108" t="str">
        <f t="shared" si="80"/>
        <v/>
      </c>
      <c r="DG51" s="108" t="str">
        <f t="shared" si="81"/>
        <v/>
      </c>
      <c r="DH51" s="109" t="str">
        <f t="shared" si="81"/>
        <v/>
      </c>
      <c r="DI51" s="108" t="str">
        <f t="shared" si="81"/>
        <v/>
      </c>
      <c r="DJ51" s="108" t="str">
        <f t="shared" si="81"/>
        <v/>
      </c>
      <c r="DK51" s="108" t="str">
        <f t="shared" si="81"/>
        <v/>
      </c>
      <c r="DL51" s="108" t="str">
        <f t="shared" si="81"/>
        <v/>
      </c>
      <c r="DM51" s="108" t="str">
        <f t="shared" si="81"/>
        <v/>
      </c>
      <c r="DN51" s="108" t="str">
        <f t="shared" si="81"/>
        <v/>
      </c>
      <c r="DO51" s="109" t="str">
        <f t="shared" si="81"/>
        <v/>
      </c>
      <c r="DP51" s="108" t="str">
        <f t="shared" si="81"/>
        <v/>
      </c>
      <c r="DQ51" s="108" t="str">
        <f t="shared" si="82"/>
        <v/>
      </c>
      <c r="DR51" s="108" t="str">
        <f t="shared" si="82"/>
        <v/>
      </c>
      <c r="DS51" s="108" t="str">
        <f t="shared" si="82"/>
        <v/>
      </c>
      <c r="DT51" s="108" t="str">
        <f t="shared" si="82"/>
        <v/>
      </c>
      <c r="DU51" s="108" t="str">
        <f t="shared" si="82"/>
        <v/>
      </c>
      <c r="DV51" s="108" t="str">
        <f t="shared" si="82"/>
        <v/>
      </c>
      <c r="DW51" s="109" t="str">
        <f t="shared" si="82"/>
        <v/>
      </c>
      <c r="DX51" s="108" t="str">
        <f t="shared" si="82"/>
        <v/>
      </c>
      <c r="DY51" s="108" t="str">
        <f t="shared" si="82"/>
        <v/>
      </c>
      <c r="DZ51" s="108" t="str">
        <f t="shared" si="82"/>
        <v/>
      </c>
      <c r="EA51" s="108" t="str">
        <f t="shared" si="83"/>
        <v/>
      </c>
      <c r="EB51" s="108" t="str">
        <f t="shared" si="83"/>
        <v/>
      </c>
      <c r="EC51" s="108" t="str">
        <f t="shared" si="83"/>
        <v/>
      </c>
      <c r="ED51" s="109" t="str">
        <f t="shared" si="83"/>
        <v/>
      </c>
      <c r="EE51" s="108" t="str">
        <f t="shared" si="83"/>
        <v/>
      </c>
      <c r="EF51" s="108" t="str">
        <f t="shared" si="83"/>
        <v/>
      </c>
      <c r="EG51" s="108" t="str">
        <f t="shared" si="83"/>
        <v/>
      </c>
      <c r="EH51" s="108" t="str">
        <f t="shared" si="83"/>
        <v/>
      </c>
      <c r="EI51" s="108" t="str">
        <f t="shared" si="83"/>
        <v/>
      </c>
      <c r="EJ51" s="108" t="str">
        <f t="shared" si="83"/>
        <v/>
      </c>
      <c r="EK51" s="108" t="str">
        <f t="shared" si="84"/>
        <v/>
      </c>
      <c r="EL51" s="108" t="str">
        <f t="shared" si="84"/>
        <v/>
      </c>
      <c r="EM51" s="108" t="str">
        <f t="shared" si="84"/>
        <v/>
      </c>
      <c r="EN51" s="108" t="str">
        <f t="shared" si="84"/>
        <v/>
      </c>
      <c r="EO51" s="108" t="str">
        <f t="shared" si="84"/>
        <v/>
      </c>
      <c r="EP51" s="108" t="str">
        <f t="shared" si="84"/>
        <v/>
      </c>
      <c r="EQ51" s="108" t="str">
        <f t="shared" si="84"/>
        <v/>
      </c>
      <c r="ER51" s="108" t="str">
        <f t="shared" si="84"/>
        <v/>
      </c>
      <c r="ES51" s="109" t="str">
        <f t="shared" si="84"/>
        <v/>
      </c>
      <c r="ET51" s="108" t="str">
        <f t="shared" si="84"/>
        <v/>
      </c>
      <c r="EU51" s="108" t="str">
        <f t="shared" si="85"/>
        <v/>
      </c>
      <c r="EV51" s="108" t="str">
        <f t="shared" si="85"/>
        <v/>
      </c>
      <c r="EW51" s="108" t="str">
        <f t="shared" si="85"/>
        <v/>
      </c>
      <c r="EX51" s="108" t="str">
        <f t="shared" si="85"/>
        <v/>
      </c>
      <c r="EY51" s="108" t="str">
        <f t="shared" si="85"/>
        <v/>
      </c>
      <c r="EZ51" s="108" t="str">
        <f t="shared" si="85"/>
        <v/>
      </c>
      <c r="FA51" s="108" t="str">
        <f t="shared" si="85"/>
        <v/>
      </c>
      <c r="FB51" s="108" t="str">
        <f t="shared" si="85"/>
        <v/>
      </c>
      <c r="FC51" s="108" t="str">
        <f t="shared" si="85"/>
        <v/>
      </c>
      <c r="FD51" s="108" t="str">
        <f t="shared" si="85"/>
        <v/>
      </c>
      <c r="FE51" s="108" t="str">
        <f t="shared" si="86"/>
        <v/>
      </c>
      <c r="FF51" s="109" t="str">
        <f t="shared" si="86"/>
        <v/>
      </c>
      <c r="FG51" s="108" t="str">
        <f t="shared" si="86"/>
        <v/>
      </c>
      <c r="FH51" s="108" t="str">
        <f t="shared" si="86"/>
        <v/>
      </c>
      <c r="FI51" s="108" t="str">
        <f t="shared" si="86"/>
        <v/>
      </c>
      <c r="FJ51" s="108" t="str">
        <f t="shared" si="86"/>
        <v/>
      </c>
      <c r="FK51" s="108" t="str">
        <f t="shared" si="86"/>
        <v/>
      </c>
      <c r="FL51" s="108" t="str">
        <f t="shared" si="86"/>
        <v/>
      </c>
      <c r="FM51" s="108" t="str">
        <f t="shared" si="86"/>
        <v/>
      </c>
      <c r="FN51" s="108" t="str">
        <f t="shared" si="86"/>
        <v/>
      </c>
      <c r="FO51" s="108" t="str">
        <f t="shared" si="87"/>
        <v/>
      </c>
      <c r="FP51" s="108" t="str">
        <f t="shared" si="87"/>
        <v/>
      </c>
      <c r="FQ51" s="108" t="str">
        <f t="shared" si="87"/>
        <v/>
      </c>
      <c r="FR51" s="108" t="str">
        <f t="shared" si="87"/>
        <v/>
      </c>
      <c r="FS51" s="108" t="str">
        <f t="shared" si="87"/>
        <v/>
      </c>
      <c r="FT51" s="108" t="str">
        <f t="shared" si="87"/>
        <v/>
      </c>
      <c r="FU51" s="108" t="str">
        <f t="shared" si="87"/>
        <v/>
      </c>
      <c r="FV51" s="108" t="str">
        <f t="shared" si="87"/>
        <v/>
      </c>
      <c r="FW51" s="110" t="str">
        <f t="shared" si="87"/>
        <v/>
      </c>
    </row>
    <row r="52" spans="2:179" s="101" customFormat="1" ht="21" customHeight="1" x14ac:dyDescent="0.35">
      <c r="B52" s="27" t="e">
        <f>Portfolio_Daten!#REF!</f>
        <v>#REF!</v>
      </c>
      <c r="C52" s="27">
        <f>Portfolio_Daten!B51</f>
        <v>0</v>
      </c>
      <c r="D52" s="28">
        <f>Portfolio_Daten!E51</f>
        <v>0</v>
      </c>
      <c r="E52" s="31">
        <f>Portfolio_Daten!T51</f>
        <v>0</v>
      </c>
      <c r="F52" s="31">
        <f>Portfolio_Daten!U51</f>
        <v>0</v>
      </c>
      <c r="G52" s="107">
        <f>IF(F52="","",NETWORKDAYS(E52,F52,Parameter!$C$4:$C$51))</f>
        <v>0</v>
      </c>
      <c r="H52" s="29">
        <f>Portfolio_Daten!AG51</f>
        <v>0</v>
      </c>
      <c r="I52" s="33">
        <f>Portfolio_Daten!AI51</f>
        <v>0</v>
      </c>
      <c r="J52" s="106"/>
      <c r="K52" s="108" t="str">
        <f t="shared" si="71"/>
        <v/>
      </c>
      <c r="L52" s="108" t="str">
        <f t="shared" si="71"/>
        <v/>
      </c>
      <c r="M52" s="108" t="str">
        <f t="shared" si="71"/>
        <v/>
      </c>
      <c r="N52" s="108" t="str">
        <f t="shared" si="71"/>
        <v/>
      </c>
      <c r="O52" s="108" t="str">
        <f t="shared" si="71"/>
        <v/>
      </c>
      <c r="P52" s="108" t="str">
        <f t="shared" si="71"/>
        <v/>
      </c>
      <c r="Q52" s="108" t="str">
        <f t="shared" si="71"/>
        <v/>
      </c>
      <c r="R52" s="108" t="str">
        <f t="shared" si="71"/>
        <v/>
      </c>
      <c r="S52" s="108" t="str">
        <f t="shared" si="71"/>
        <v/>
      </c>
      <c r="T52" s="108" t="str">
        <f t="shared" si="71"/>
        <v/>
      </c>
      <c r="U52" s="108" t="str">
        <f t="shared" si="72"/>
        <v/>
      </c>
      <c r="V52" s="108" t="str">
        <f t="shared" si="72"/>
        <v/>
      </c>
      <c r="W52" s="108" t="str">
        <f t="shared" si="72"/>
        <v/>
      </c>
      <c r="X52" s="108" t="str">
        <f t="shared" si="72"/>
        <v/>
      </c>
      <c r="Y52" s="108" t="str">
        <f t="shared" si="72"/>
        <v/>
      </c>
      <c r="Z52" s="108" t="str">
        <f t="shared" si="72"/>
        <v/>
      </c>
      <c r="AA52" s="108" t="str">
        <f t="shared" si="72"/>
        <v/>
      </c>
      <c r="AB52" s="108" t="str">
        <f t="shared" si="72"/>
        <v/>
      </c>
      <c r="AC52" s="108" t="str">
        <f t="shared" si="72"/>
        <v/>
      </c>
      <c r="AD52" s="108" t="str">
        <f t="shared" si="72"/>
        <v/>
      </c>
      <c r="AE52" s="108" t="str">
        <f t="shared" si="73"/>
        <v/>
      </c>
      <c r="AF52" s="108" t="str">
        <f t="shared" si="73"/>
        <v/>
      </c>
      <c r="AG52" s="108" t="str">
        <f t="shared" si="73"/>
        <v/>
      </c>
      <c r="AH52" s="108" t="str">
        <f t="shared" si="73"/>
        <v/>
      </c>
      <c r="AI52" s="108" t="str">
        <f t="shared" si="73"/>
        <v/>
      </c>
      <c r="AJ52" s="108" t="str">
        <f t="shared" si="73"/>
        <v/>
      </c>
      <c r="AK52" s="108" t="str">
        <f t="shared" si="73"/>
        <v/>
      </c>
      <c r="AL52" s="108" t="str">
        <f t="shared" si="73"/>
        <v/>
      </c>
      <c r="AM52" s="108" t="str">
        <f t="shared" si="73"/>
        <v/>
      </c>
      <c r="AN52" s="108" t="str">
        <f t="shared" si="73"/>
        <v/>
      </c>
      <c r="AO52" s="108" t="str">
        <f t="shared" si="74"/>
        <v/>
      </c>
      <c r="AP52" s="108" t="str">
        <f t="shared" si="74"/>
        <v/>
      </c>
      <c r="AQ52" s="108" t="str">
        <f t="shared" si="74"/>
        <v/>
      </c>
      <c r="AR52" s="108" t="str">
        <f t="shared" si="74"/>
        <v/>
      </c>
      <c r="AS52" s="108" t="str">
        <f t="shared" si="74"/>
        <v/>
      </c>
      <c r="AT52" s="108" t="str">
        <f t="shared" si="74"/>
        <v/>
      </c>
      <c r="AU52" s="108" t="str">
        <f t="shared" si="74"/>
        <v/>
      </c>
      <c r="AV52" s="108" t="str">
        <f t="shared" si="74"/>
        <v/>
      </c>
      <c r="AW52" s="108" t="str">
        <f t="shared" si="74"/>
        <v/>
      </c>
      <c r="AX52" s="108" t="str">
        <f t="shared" si="74"/>
        <v/>
      </c>
      <c r="AY52" s="108" t="str">
        <f t="shared" si="75"/>
        <v/>
      </c>
      <c r="AZ52" s="108" t="str">
        <f t="shared" si="75"/>
        <v/>
      </c>
      <c r="BA52" s="108" t="str">
        <f t="shared" si="75"/>
        <v/>
      </c>
      <c r="BB52" s="108" t="str">
        <f t="shared" si="75"/>
        <v/>
      </c>
      <c r="BC52" s="108" t="str">
        <f t="shared" si="75"/>
        <v/>
      </c>
      <c r="BD52" s="108" t="str">
        <f t="shared" si="75"/>
        <v/>
      </c>
      <c r="BE52" s="108" t="str">
        <f t="shared" si="75"/>
        <v/>
      </c>
      <c r="BF52" s="108" t="str">
        <f t="shared" si="75"/>
        <v/>
      </c>
      <c r="BG52" s="108" t="str">
        <f t="shared" si="75"/>
        <v/>
      </c>
      <c r="BH52" s="108" t="str">
        <f t="shared" si="75"/>
        <v/>
      </c>
      <c r="BI52" s="108" t="str">
        <f t="shared" si="76"/>
        <v/>
      </c>
      <c r="BJ52" s="108" t="str">
        <f t="shared" si="76"/>
        <v/>
      </c>
      <c r="BK52" s="108" t="str">
        <f t="shared" si="76"/>
        <v/>
      </c>
      <c r="BL52" s="108" t="str">
        <f t="shared" si="76"/>
        <v/>
      </c>
      <c r="BM52" s="108" t="str">
        <f t="shared" si="76"/>
        <v/>
      </c>
      <c r="BN52" s="108" t="str">
        <f t="shared" si="76"/>
        <v/>
      </c>
      <c r="BO52" s="108" t="str">
        <f t="shared" si="76"/>
        <v/>
      </c>
      <c r="BP52" s="108" t="str">
        <f t="shared" si="76"/>
        <v/>
      </c>
      <c r="BQ52" s="108" t="str">
        <f t="shared" si="76"/>
        <v/>
      </c>
      <c r="BR52" s="108" t="str">
        <f t="shared" si="76"/>
        <v/>
      </c>
      <c r="BS52" s="108" t="str">
        <f t="shared" si="77"/>
        <v/>
      </c>
      <c r="BT52" s="108" t="str">
        <f t="shared" si="77"/>
        <v/>
      </c>
      <c r="BU52" s="108" t="str">
        <f t="shared" si="77"/>
        <v/>
      </c>
      <c r="BV52" s="108" t="str">
        <f t="shared" si="77"/>
        <v/>
      </c>
      <c r="BW52" s="108" t="str">
        <f t="shared" si="77"/>
        <v/>
      </c>
      <c r="BX52" s="108" t="str">
        <f t="shared" si="77"/>
        <v/>
      </c>
      <c r="BY52" s="108" t="str">
        <f t="shared" si="77"/>
        <v/>
      </c>
      <c r="BZ52" s="108" t="str">
        <f t="shared" si="77"/>
        <v/>
      </c>
      <c r="CA52" s="108" t="str">
        <f t="shared" si="77"/>
        <v/>
      </c>
      <c r="CB52" s="108" t="str">
        <f t="shared" si="77"/>
        <v/>
      </c>
      <c r="CC52" s="108" t="str">
        <f t="shared" si="78"/>
        <v/>
      </c>
      <c r="CD52" s="108" t="str">
        <f t="shared" si="78"/>
        <v/>
      </c>
      <c r="CE52" s="108" t="str">
        <f t="shared" si="78"/>
        <v/>
      </c>
      <c r="CF52" s="108" t="str">
        <f t="shared" si="78"/>
        <v/>
      </c>
      <c r="CG52" s="108" t="str">
        <f t="shared" si="78"/>
        <v/>
      </c>
      <c r="CH52" s="108" t="str">
        <f t="shared" si="78"/>
        <v/>
      </c>
      <c r="CI52" s="108" t="str">
        <f t="shared" si="78"/>
        <v/>
      </c>
      <c r="CJ52" s="108" t="str">
        <f t="shared" si="78"/>
        <v/>
      </c>
      <c r="CK52" s="108" t="str">
        <f t="shared" si="78"/>
        <v/>
      </c>
      <c r="CL52" s="108" t="str">
        <f t="shared" si="78"/>
        <v/>
      </c>
      <c r="CM52" s="108" t="str">
        <f t="shared" si="79"/>
        <v/>
      </c>
      <c r="CN52" s="108" t="str">
        <f t="shared" si="79"/>
        <v/>
      </c>
      <c r="CO52" s="108" t="str">
        <f t="shared" si="79"/>
        <v/>
      </c>
      <c r="CP52" s="108" t="str">
        <f t="shared" si="79"/>
        <v/>
      </c>
      <c r="CQ52" s="108" t="str">
        <f t="shared" si="79"/>
        <v/>
      </c>
      <c r="CR52" s="109" t="str">
        <f t="shared" si="79"/>
        <v/>
      </c>
      <c r="CS52" s="108" t="str">
        <f t="shared" si="79"/>
        <v/>
      </c>
      <c r="CT52" s="108" t="str">
        <f t="shared" si="79"/>
        <v/>
      </c>
      <c r="CU52" s="108" t="str">
        <f t="shared" si="79"/>
        <v/>
      </c>
      <c r="CV52" s="108" t="str">
        <f t="shared" si="79"/>
        <v/>
      </c>
      <c r="CW52" s="108" t="str">
        <f t="shared" si="80"/>
        <v/>
      </c>
      <c r="CX52" s="108" t="str">
        <f t="shared" si="80"/>
        <v/>
      </c>
      <c r="CY52" s="108" t="str">
        <f t="shared" si="80"/>
        <v/>
      </c>
      <c r="CZ52" s="109" t="str">
        <f t="shared" si="80"/>
        <v/>
      </c>
      <c r="DA52" s="108" t="str">
        <f t="shared" si="80"/>
        <v/>
      </c>
      <c r="DB52" s="108" t="str">
        <f t="shared" si="80"/>
        <v/>
      </c>
      <c r="DC52" s="108" t="str">
        <f t="shared" si="80"/>
        <v/>
      </c>
      <c r="DD52" s="108" t="str">
        <f t="shared" si="80"/>
        <v/>
      </c>
      <c r="DE52" s="108" t="str">
        <f t="shared" si="80"/>
        <v/>
      </c>
      <c r="DF52" s="108" t="str">
        <f t="shared" si="80"/>
        <v/>
      </c>
      <c r="DG52" s="108" t="str">
        <f t="shared" si="81"/>
        <v/>
      </c>
      <c r="DH52" s="109" t="str">
        <f t="shared" si="81"/>
        <v/>
      </c>
      <c r="DI52" s="108" t="str">
        <f t="shared" si="81"/>
        <v/>
      </c>
      <c r="DJ52" s="108" t="str">
        <f t="shared" si="81"/>
        <v/>
      </c>
      <c r="DK52" s="108" t="str">
        <f t="shared" si="81"/>
        <v/>
      </c>
      <c r="DL52" s="108" t="str">
        <f t="shared" si="81"/>
        <v/>
      </c>
      <c r="DM52" s="108" t="str">
        <f t="shared" si="81"/>
        <v/>
      </c>
      <c r="DN52" s="108" t="str">
        <f t="shared" si="81"/>
        <v/>
      </c>
      <c r="DO52" s="109" t="str">
        <f t="shared" si="81"/>
        <v/>
      </c>
      <c r="DP52" s="108" t="str">
        <f t="shared" si="81"/>
        <v/>
      </c>
      <c r="DQ52" s="108" t="str">
        <f t="shared" si="82"/>
        <v/>
      </c>
      <c r="DR52" s="108" t="str">
        <f t="shared" si="82"/>
        <v/>
      </c>
      <c r="DS52" s="108" t="str">
        <f t="shared" si="82"/>
        <v/>
      </c>
      <c r="DT52" s="108" t="str">
        <f t="shared" si="82"/>
        <v/>
      </c>
      <c r="DU52" s="108" t="str">
        <f t="shared" si="82"/>
        <v/>
      </c>
      <c r="DV52" s="108" t="str">
        <f t="shared" si="82"/>
        <v/>
      </c>
      <c r="DW52" s="109" t="str">
        <f t="shared" si="82"/>
        <v/>
      </c>
      <c r="DX52" s="108" t="str">
        <f t="shared" si="82"/>
        <v/>
      </c>
      <c r="DY52" s="108" t="str">
        <f t="shared" si="82"/>
        <v/>
      </c>
      <c r="DZ52" s="108" t="str">
        <f t="shared" si="82"/>
        <v/>
      </c>
      <c r="EA52" s="108" t="str">
        <f t="shared" si="83"/>
        <v/>
      </c>
      <c r="EB52" s="108" t="str">
        <f t="shared" si="83"/>
        <v/>
      </c>
      <c r="EC52" s="108" t="str">
        <f t="shared" si="83"/>
        <v/>
      </c>
      <c r="ED52" s="109" t="str">
        <f t="shared" si="83"/>
        <v/>
      </c>
      <c r="EE52" s="108" t="str">
        <f t="shared" si="83"/>
        <v/>
      </c>
      <c r="EF52" s="108" t="str">
        <f t="shared" si="83"/>
        <v/>
      </c>
      <c r="EG52" s="108" t="str">
        <f t="shared" si="83"/>
        <v/>
      </c>
      <c r="EH52" s="108" t="str">
        <f t="shared" si="83"/>
        <v/>
      </c>
      <c r="EI52" s="108" t="str">
        <f t="shared" si="83"/>
        <v/>
      </c>
      <c r="EJ52" s="108" t="str">
        <f t="shared" si="83"/>
        <v/>
      </c>
      <c r="EK52" s="108" t="str">
        <f t="shared" si="84"/>
        <v/>
      </c>
      <c r="EL52" s="108" t="str">
        <f t="shared" si="84"/>
        <v/>
      </c>
      <c r="EM52" s="108" t="str">
        <f t="shared" si="84"/>
        <v/>
      </c>
      <c r="EN52" s="108" t="str">
        <f t="shared" si="84"/>
        <v/>
      </c>
      <c r="EO52" s="108" t="str">
        <f t="shared" si="84"/>
        <v/>
      </c>
      <c r="EP52" s="108" t="str">
        <f t="shared" si="84"/>
        <v/>
      </c>
      <c r="EQ52" s="108" t="str">
        <f t="shared" si="84"/>
        <v/>
      </c>
      <c r="ER52" s="108" t="str">
        <f t="shared" si="84"/>
        <v/>
      </c>
      <c r="ES52" s="109" t="str">
        <f t="shared" si="84"/>
        <v/>
      </c>
      <c r="ET52" s="108" t="str">
        <f t="shared" si="84"/>
        <v/>
      </c>
      <c r="EU52" s="108" t="str">
        <f t="shared" si="85"/>
        <v/>
      </c>
      <c r="EV52" s="108" t="str">
        <f t="shared" si="85"/>
        <v/>
      </c>
      <c r="EW52" s="108" t="str">
        <f t="shared" si="85"/>
        <v/>
      </c>
      <c r="EX52" s="108" t="str">
        <f t="shared" si="85"/>
        <v/>
      </c>
      <c r="EY52" s="108" t="str">
        <f t="shared" si="85"/>
        <v/>
      </c>
      <c r="EZ52" s="108" t="str">
        <f t="shared" si="85"/>
        <v/>
      </c>
      <c r="FA52" s="108" t="str">
        <f t="shared" si="85"/>
        <v/>
      </c>
      <c r="FB52" s="108" t="str">
        <f t="shared" si="85"/>
        <v/>
      </c>
      <c r="FC52" s="108" t="str">
        <f t="shared" si="85"/>
        <v/>
      </c>
      <c r="FD52" s="108" t="str">
        <f t="shared" si="85"/>
        <v/>
      </c>
      <c r="FE52" s="108" t="str">
        <f t="shared" si="86"/>
        <v/>
      </c>
      <c r="FF52" s="109" t="str">
        <f t="shared" si="86"/>
        <v/>
      </c>
      <c r="FG52" s="108" t="str">
        <f t="shared" si="86"/>
        <v/>
      </c>
      <c r="FH52" s="108" t="str">
        <f t="shared" si="86"/>
        <v/>
      </c>
      <c r="FI52" s="108" t="str">
        <f t="shared" si="86"/>
        <v/>
      </c>
      <c r="FJ52" s="108" t="str">
        <f t="shared" si="86"/>
        <v/>
      </c>
      <c r="FK52" s="108" t="str">
        <f t="shared" si="86"/>
        <v/>
      </c>
      <c r="FL52" s="108" t="str">
        <f t="shared" si="86"/>
        <v/>
      </c>
      <c r="FM52" s="108" t="str">
        <f t="shared" si="86"/>
        <v/>
      </c>
      <c r="FN52" s="108" t="str">
        <f t="shared" si="86"/>
        <v/>
      </c>
      <c r="FO52" s="108" t="str">
        <f t="shared" si="87"/>
        <v/>
      </c>
      <c r="FP52" s="108" t="str">
        <f t="shared" si="87"/>
        <v/>
      </c>
      <c r="FQ52" s="108" t="str">
        <f t="shared" si="87"/>
        <v/>
      </c>
      <c r="FR52" s="108" t="str">
        <f t="shared" si="87"/>
        <v/>
      </c>
      <c r="FS52" s="108" t="str">
        <f t="shared" si="87"/>
        <v/>
      </c>
      <c r="FT52" s="108" t="str">
        <f t="shared" si="87"/>
        <v/>
      </c>
      <c r="FU52" s="108" t="str">
        <f t="shared" si="87"/>
        <v/>
      </c>
      <c r="FV52" s="108" t="str">
        <f t="shared" si="87"/>
        <v/>
      </c>
      <c r="FW52" s="110" t="str">
        <f t="shared" si="87"/>
        <v/>
      </c>
    </row>
    <row r="53" spans="2:179" s="101" customFormat="1" ht="21" customHeight="1" x14ac:dyDescent="0.35">
      <c r="B53" s="27" t="e">
        <f>Portfolio_Daten!#REF!</f>
        <v>#REF!</v>
      </c>
      <c r="C53" s="27">
        <f>Portfolio_Daten!B52</f>
        <v>0</v>
      </c>
      <c r="D53" s="28">
        <f>Portfolio_Daten!E52</f>
        <v>0</v>
      </c>
      <c r="E53" s="31">
        <f>Portfolio_Daten!T52</f>
        <v>0</v>
      </c>
      <c r="F53" s="31">
        <f>Portfolio_Daten!U52</f>
        <v>0</v>
      </c>
      <c r="G53" s="107">
        <f>IF(F53="","",NETWORKDAYS(E53,F53,Parameter!$C$4:$C$51))</f>
        <v>0</v>
      </c>
      <c r="H53" s="29">
        <f>Portfolio_Daten!AG52</f>
        <v>0</v>
      </c>
      <c r="I53" s="33">
        <f>Portfolio_Daten!AI52</f>
        <v>0</v>
      </c>
      <c r="J53" s="106"/>
      <c r="K53" s="108" t="str">
        <f t="shared" si="71"/>
        <v/>
      </c>
      <c r="L53" s="108" t="str">
        <f t="shared" si="71"/>
        <v/>
      </c>
      <c r="M53" s="108" t="str">
        <f t="shared" si="71"/>
        <v/>
      </c>
      <c r="N53" s="108" t="str">
        <f t="shared" si="71"/>
        <v/>
      </c>
      <c r="O53" s="108" t="str">
        <f t="shared" si="71"/>
        <v/>
      </c>
      <c r="P53" s="108" t="str">
        <f t="shared" si="71"/>
        <v/>
      </c>
      <c r="Q53" s="108" t="str">
        <f t="shared" si="71"/>
        <v/>
      </c>
      <c r="R53" s="108" t="str">
        <f t="shared" si="71"/>
        <v/>
      </c>
      <c r="S53" s="108" t="str">
        <f t="shared" si="71"/>
        <v/>
      </c>
      <c r="T53" s="108" t="str">
        <f t="shared" si="71"/>
        <v/>
      </c>
      <c r="U53" s="108" t="str">
        <f t="shared" si="72"/>
        <v/>
      </c>
      <c r="V53" s="108" t="str">
        <f t="shared" si="72"/>
        <v/>
      </c>
      <c r="W53" s="108" t="str">
        <f t="shared" si="72"/>
        <v/>
      </c>
      <c r="X53" s="108" t="str">
        <f t="shared" si="72"/>
        <v/>
      </c>
      <c r="Y53" s="108" t="str">
        <f t="shared" si="72"/>
        <v/>
      </c>
      <c r="Z53" s="108" t="str">
        <f t="shared" si="72"/>
        <v/>
      </c>
      <c r="AA53" s="108" t="str">
        <f t="shared" si="72"/>
        <v/>
      </c>
      <c r="AB53" s="108" t="str">
        <f t="shared" si="72"/>
        <v/>
      </c>
      <c r="AC53" s="108" t="str">
        <f t="shared" si="72"/>
        <v/>
      </c>
      <c r="AD53" s="108" t="str">
        <f t="shared" si="72"/>
        <v/>
      </c>
      <c r="AE53" s="108" t="str">
        <f t="shared" si="73"/>
        <v/>
      </c>
      <c r="AF53" s="108" t="str">
        <f t="shared" si="73"/>
        <v/>
      </c>
      <c r="AG53" s="108" t="str">
        <f t="shared" si="73"/>
        <v/>
      </c>
      <c r="AH53" s="108" t="str">
        <f t="shared" si="73"/>
        <v/>
      </c>
      <c r="AI53" s="108" t="str">
        <f t="shared" si="73"/>
        <v/>
      </c>
      <c r="AJ53" s="108" t="str">
        <f t="shared" si="73"/>
        <v/>
      </c>
      <c r="AK53" s="108" t="str">
        <f t="shared" si="73"/>
        <v/>
      </c>
      <c r="AL53" s="108" t="str">
        <f t="shared" si="73"/>
        <v/>
      </c>
      <c r="AM53" s="108" t="str">
        <f t="shared" si="73"/>
        <v/>
      </c>
      <c r="AN53" s="108" t="str">
        <f t="shared" si="73"/>
        <v/>
      </c>
      <c r="AO53" s="108" t="str">
        <f t="shared" si="74"/>
        <v/>
      </c>
      <c r="AP53" s="108" t="str">
        <f t="shared" si="74"/>
        <v/>
      </c>
      <c r="AQ53" s="108" t="str">
        <f t="shared" si="74"/>
        <v/>
      </c>
      <c r="AR53" s="108" t="str">
        <f t="shared" si="74"/>
        <v/>
      </c>
      <c r="AS53" s="108" t="str">
        <f t="shared" si="74"/>
        <v/>
      </c>
      <c r="AT53" s="108" t="str">
        <f t="shared" si="74"/>
        <v/>
      </c>
      <c r="AU53" s="108" t="str">
        <f t="shared" si="74"/>
        <v/>
      </c>
      <c r="AV53" s="108" t="str">
        <f t="shared" si="74"/>
        <v/>
      </c>
      <c r="AW53" s="108" t="str">
        <f t="shared" si="74"/>
        <v/>
      </c>
      <c r="AX53" s="108" t="str">
        <f t="shared" si="74"/>
        <v/>
      </c>
      <c r="AY53" s="108" t="str">
        <f t="shared" si="75"/>
        <v/>
      </c>
      <c r="AZ53" s="108" t="str">
        <f t="shared" si="75"/>
        <v/>
      </c>
      <c r="BA53" s="108" t="str">
        <f t="shared" si="75"/>
        <v/>
      </c>
      <c r="BB53" s="108" t="str">
        <f t="shared" si="75"/>
        <v/>
      </c>
      <c r="BC53" s="108" t="str">
        <f t="shared" si="75"/>
        <v/>
      </c>
      <c r="BD53" s="108" t="str">
        <f t="shared" si="75"/>
        <v/>
      </c>
      <c r="BE53" s="108" t="str">
        <f t="shared" si="75"/>
        <v/>
      </c>
      <c r="BF53" s="108" t="str">
        <f t="shared" si="75"/>
        <v/>
      </c>
      <c r="BG53" s="108" t="str">
        <f t="shared" si="75"/>
        <v/>
      </c>
      <c r="BH53" s="108" t="str">
        <f t="shared" si="75"/>
        <v/>
      </c>
      <c r="BI53" s="108" t="str">
        <f t="shared" si="76"/>
        <v/>
      </c>
      <c r="BJ53" s="108" t="str">
        <f t="shared" si="76"/>
        <v/>
      </c>
      <c r="BK53" s="108" t="str">
        <f t="shared" si="76"/>
        <v/>
      </c>
      <c r="BL53" s="108" t="str">
        <f t="shared" si="76"/>
        <v/>
      </c>
      <c r="BM53" s="108" t="str">
        <f t="shared" si="76"/>
        <v/>
      </c>
      <c r="BN53" s="108" t="str">
        <f t="shared" si="76"/>
        <v/>
      </c>
      <c r="BO53" s="108" t="str">
        <f t="shared" si="76"/>
        <v/>
      </c>
      <c r="BP53" s="108" t="str">
        <f t="shared" si="76"/>
        <v/>
      </c>
      <c r="BQ53" s="108" t="str">
        <f t="shared" si="76"/>
        <v/>
      </c>
      <c r="BR53" s="108" t="str">
        <f t="shared" si="76"/>
        <v/>
      </c>
      <c r="BS53" s="108" t="str">
        <f t="shared" si="77"/>
        <v/>
      </c>
      <c r="BT53" s="108" t="str">
        <f t="shared" si="77"/>
        <v/>
      </c>
      <c r="BU53" s="108" t="str">
        <f t="shared" si="77"/>
        <v/>
      </c>
      <c r="BV53" s="108" t="str">
        <f t="shared" si="77"/>
        <v/>
      </c>
      <c r="BW53" s="108" t="str">
        <f t="shared" si="77"/>
        <v/>
      </c>
      <c r="BX53" s="108" t="str">
        <f t="shared" si="77"/>
        <v/>
      </c>
      <c r="BY53" s="108" t="str">
        <f t="shared" si="77"/>
        <v/>
      </c>
      <c r="BZ53" s="108" t="str">
        <f t="shared" si="77"/>
        <v/>
      </c>
      <c r="CA53" s="108" t="str">
        <f t="shared" si="77"/>
        <v/>
      </c>
      <c r="CB53" s="108" t="str">
        <f t="shared" si="77"/>
        <v/>
      </c>
      <c r="CC53" s="108" t="str">
        <f t="shared" si="78"/>
        <v/>
      </c>
      <c r="CD53" s="108" t="str">
        <f t="shared" si="78"/>
        <v/>
      </c>
      <c r="CE53" s="108" t="str">
        <f t="shared" si="78"/>
        <v/>
      </c>
      <c r="CF53" s="108" t="str">
        <f t="shared" si="78"/>
        <v/>
      </c>
      <c r="CG53" s="108" t="str">
        <f t="shared" si="78"/>
        <v/>
      </c>
      <c r="CH53" s="108" t="str">
        <f t="shared" si="78"/>
        <v/>
      </c>
      <c r="CI53" s="108" t="str">
        <f t="shared" si="78"/>
        <v/>
      </c>
      <c r="CJ53" s="108" t="str">
        <f t="shared" si="78"/>
        <v/>
      </c>
      <c r="CK53" s="108" t="str">
        <f t="shared" si="78"/>
        <v/>
      </c>
      <c r="CL53" s="108" t="str">
        <f t="shared" si="78"/>
        <v/>
      </c>
      <c r="CM53" s="108" t="str">
        <f t="shared" si="79"/>
        <v/>
      </c>
      <c r="CN53" s="108" t="str">
        <f t="shared" si="79"/>
        <v/>
      </c>
      <c r="CO53" s="108" t="str">
        <f t="shared" si="79"/>
        <v/>
      </c>
      <c r="CP53" s="108" t="str">
        <f t="shared" si="79"/>
        <v/>
      </c>
      <c r="CQ53" s="108" t="str">
        <f t="shared" si="79"/>
        <v/>
      </c>
      <c r="CR53" s="109" t="str">
        <f t="shared" si="79"/>
        <v/>
      </c>
      <c r="CS53" s="108" t="str">
        <f t="shared" si="79"/>
        <v/>
      </c>
      <c r="CT53" s="108" t="str">
        <f t="shared" si="79"/>
        <v/>
      </c>
      <c r="CU53" s="108" t="str">
        <f t="shared" si="79"/>
        <v/>
      </c>
      <c r="CV53" s="108" t="str">
        <f t="shared" si="79"/>
        <v/>
      </c>
      <c r="CW53" s="108" t="str">
        <f t="shared" si="80"/>
        <v/>
      </c>
      <c r="CX53" s="108" t="str">
        <f t="shared" si="80"/>
        <v/>
      </c>
      <c r="CY53" s="108" t="str">
        <f t="shared" si="80"/>
        <v/>
      </c>
      <c r="CZ53" s="109" t="str">
        <f t="shared" si="80"/>
        <v/>
      </c>
      <c r="DA53" s="108" t="str">
        <f t="shared" si="80"/>
        <v/>
      </c>
      <c r="DB53" s="108" t="str">
        <f t="shared" si="80"/>
        <v/>
      </c>
      <c r="DC53" s="108" t="str">
        <f t="shared" si="80"/>
        <v/>
      </c>
      <c r="DD53" s="108" t="str">
        <f t="shared" si="80"/>
        <v/>
      </c>
      <c r="DE53" s="108" t="str">
        <f t="shared" si="80"/>
        <v/>
      </c>
      <c r="DF53" s="108" t="str">
        <f t="shared" si="80"/>
        <v/>
      </c>
      <c r="DG53" s="108" t="str">
        <f t="shared" si="81"/>
        <v/>
      </c>
      <c r="DH53" s="109" t="str">
        <f t="shared" si="81"/>
        <v/>
      </c>
      <c r="DI53" s="108" t="str">
        <f t="shared" si="81"/>
        <v/>
      </c>
      <c r="DJ53" s="108" t="str">
        <f t="shared" si="81"/>
        <v/>
      </c>
      <c r="DK53" s="108" t="str">
        <f t="shared" si="81"/>
        <v/>
      </c>
      <c r="DL53" s="108" t="str">
        <f t="shared" si="81"/>
        <v/>
      </c>
      <c r="DM53" s="108" t="str">
        <f t="shared" si="81"/>
        <v/>
      </c>
      <c r="DN53" s="108" t="str">
        <f t="shared" si="81"/>
        <v/>
      </c>
      <c r="DO53" s="109" t="str">
        <f t="shared" si="81"/>
        <v/>
      </c>
      <c r="DP53" s="108" t="str">
        <f t="shared" si="81"/>
        <v/>
      </c>
      <c r="DQ53" s="108" t="str">
        <f t="shared" si="82"/>
        <v/>
      </c>
      <c r="DR53" s="108" t="str">
        <f t="shared" si="82"/>
        <v/>
      </c>
      <c r="DS53" s="108" t="str">
        <f t="shared" si="82"/>
        <v/>
      </c>
      <c r="DT53" s="108" t="str">
        <f t="shared" si="82"/>
        <v/>
      </c>
      <c r="DU53" s="108" t="str">
        <f t="shared" si="82"/>
        <v/>
      </c>
      <c r="DV53" s="108" t="str">
        <f t="shared" si="82"/>
        <v/>
      </c>
      <c r="DW53" s="109" t="str">
        <f t="shared" si="82"/>
        <v/>
      </c>
      <c r="DX53" s="108" t="str">
        <f t="shared" si="82"/>
        <v/>
      </c>
      <c r="DY53" s="108" t="str">
        <f t="shared" si="82"/>
        <v/>
      </c>
      <c r="DZ53" s="108" t="str">
        <f t="shared" si="82"/>
        <v/>
      </c>
      <c r="EA53" s="108" t="str">
        <f t="shared" si="83"/>
        <v/>
      </c>
      <c r="EB53" s="108" t="str">
        <f t="shared" si="83"/>
        <v/>
      </c>
      <c r="EC53" s="108" t="str">
        <f t="shared" si="83"/>
        <v/>
      </c>
      <c r="ED53" s="109" t="str">
        <f t="shared" si="83"/>
        <v/>
      </c>
      <c r="EE53" s="108" t="str">
        <f t="shared" si="83"/>
        <v/>
      </c>
      <c r="EF53" s="108" t="str">
        <f t="shared" si="83"/>
        <v/>
      </c>
      <c r="EG53" s="108" t="str">
        <f t="shared" si="83"/>
        <v/>
      </c>
      <c r="EH53" s="108" t="str">
        <f t="shared" si="83"/>
        <v/>
      </c>
      <c r="EI53" s="108" t="str">
        <f t="shared" si="83"/>
        <v/>
      </c>
      <c r="EJ53" s="108" t="str">
        <f t="shared" si="83"/>
        <v/>
      </c>
      <c r="EK53" s="108" t="str">
        <f t="shared" si="84"/>
        <v/>
      </c>
      <c r="EL53" s="108" t="str">
        <f t="shared" si="84"/>
        <v/>
      </c>
      <c r="EM53" s="108" t="str">
        <f t="shared" si="84"/>
        <v/>
      </c>
      <c r="EN53" s="108" t="str">
        <f t="shared" si="84"/>
        <v/>
      </c>
      <c r="EO53" s="108" t="str">
        <f t="shared" si="84"/>
        <v/>
      </c>
      <c r="EP53" s="108" t="str">
        <f t="shared" si="84"/>
        <v/>
      </c>
      <c r="EQ53" s="108" t="str">
        <f t="shared" si="84"/>
        <v/>
      </c>
      <c r="ER53" s="108" t="str">
        <f t="shared" si="84"/>
        <v/>
      </c>
      <c r="ES53" s="109" t="str">
        <f t="shared" si="84"/>
        <v/>
      </c>
      <c r="ET53" s="108" t="str">
        <f t="shared" si="84"/>
        <v/>
      </c>
      <c r="EU53" s="108" t="str">
        <f t="shared" si="85"/>
        <v/>
      </c>
      <c r="EV53" s="108" t="str">
        <f t="shared" si="85"/>
        <v/>
      </c>
      <c r="EW53" s="108" t="str">
        <f t="shared" si="85"/>
        <v/>
      </c>
      <c r="EX53" s="108" t="str">
        <f t="shared" si="85"/>
        <v/>
      </c>
      <c r="EY53" s="108" t="str">
        <f t="shared" si="85"/>
        <v/>
      </c>
      <c r="EZ53" s="108" t="str">
        <f t="shared" si="85"/>
        <v/>
      </c>
      <c r="FA53" s="108" t="str">
        <f t="shared" si="85"/>
        <v/>
      </c>
      <c r="FB53" s="108" t="str">
        <f t="shared" si="85"/>
        <v/>
      </c>
      <c r="FC53" s="108" t="str">
        <f t="shared" si="85"/>
        <v/>
      </c>
      <c r="FD53" s="108" t="str">
        <f t="shared" si="85"/>
        <v/>
      </c>
      <c r="FE53" s="108" t="str">
        <f t="shared" si="86"/>
        <v/>
      </c>
      <c r="FF53" s="109" t="str">
        <f t="shared" si="86"/>
        <v/>
      </c>
      <c r="FG53" s="108" t="str">
        <f t="shared" si="86"/>
        <v/>
      </c>
      <c r="FH53" s="108" t="str">
        <f t="shared" si="86"/>
        <v/>
      </c>
      <c r="FI53" s="108" t="str">
        <f t="shared" si="86"/>
        <v/>
      </c>
      <c r="FJ53" s="108" t="str">
        <f t="shared" si="86"/>
        <v/>
      </c>
      <c r="FK53" s="108" t="str">
        <f t="shared" si="86"/>
        <v/>
      </c>
      <c r="FL53" s="108" t="str">
        <f t="shared" si="86"/>
        <v/>
      </c>
      <c r="FM53" s="108" t="str">
        <f t="shared" si="86"/>
        <v/>
      </c>
      <c r="FN53" s="108" t="str">
        <f t="shared" si="86"/>
        <v/>
      </c>
      <c r="FO53" s="108" t="str">
        <f t="shared" si="87"/>
        <v/>
      </c>
      <c r="FP53" s="108" t="str">
        <f t="shared" si="87"/>
        <v/>
      </c>
      <c r="FQ53" s="108" t="str">
        <f t="shared" si="87"/>
        <v/>
      </c>
      <c r="FR53" s="108" t="str">
        <f t="shared" si="87"/>
        <v/>
      </c>
      <c r="FS53" s="108" t="str">
        <f t="shared" si="87"/>
        <v/>
      </c>
      <c r="FT53" s="108" t="str">
        <f t="shared" si="87"/>
        <v/>
      </c>
      <c r="FU53" s="108" t="str">
        <f t="shared" si="87"/>
        <v/>
      </c>
      <c r="FV53" s="108" t="str">
        <f t="shared" si="87"/>
        <v/>
      </c>
      <c r="FW53" s="110" t="str">
        <f t="shared" si="87"/>
        <v/>
      </c>
    </row>
    <row r="54" spans="2:179" s="101" customFormat="1" ht="21" customHeight="1" x14ac:dyDescent="0.35">
      <c r="B54" s="27" t="e">
        <f>Portfolio_Daten!#REF!</f>
        <v>#REF!</v>
      </c>
      <c r="C54" s="27">
        <f>Portfolio_Daten!B54</f>
        <v>0</v>
      </c>
      <c r="D54" s="28">
        <f>Portfolio_Daten!E54</f>
        <v>0</v>
      </c>
      <c r="E54" s="31">
        <f>Portfolio_Daten!T54</f>
        <v>0</v>
      </c>
      <c r="F54" s="31">
        <f>Portfolio_Daten!U54</f>
        <v>0</v>
      </c>
      <c r="G54" s="107">
        <f>IF(F54="","",NETWORKDAYS(E54,F54,Parameter!$C$4:$C$51))</f>
        <v>0</v>
      </c>
      <c r="H54" s="29">
        <f>Portfolio_Daten!AG54</f>
        <v>0</v>
      </c>
      <c r="I54" s="33">
        <f>Portfolio_Daten!AI54</f>
        <v>0</v>
      </c>
      <c r="J54" s="106"/>
      <c r="K54" s="108" t="str">
        <f t="shared" si="71"/>
        <v/>
      </c>
      <c r="L54" s="108" t="str">
        <f t="shared" si="71"/>
        <v/>
      </c>
      <c r="M54" s="108" t="str">
        <f t="shared" si="71"/>
        <v/>
      </c>
      <c r="N54" s="108" t="str">
        <f t="shared" si="71"/>
        <v/>
      </c>
      <c r="O54" s="108" t="str">
        <f t="shared" si="71"/>
        <v/>
      </c>
      <c r="P54" s="108" t="str">
        <f t="shared" si="71"/>
        <v/>
      </c>
      <c r="Q54" s="108" t="str">
        <f t="shared" si="71"/>
        <v/>
      </c>
      <c r="R54" s="108" t="str">
        <f t="shared" si="71"/>
        <v/>
      </c>
      <c r="S54" s="108" t="str">
        <f t="shared" si="71"/>
        <v/>
      </c>
      <c r="T54" s="108" t="str">
        <f t="shared" si="71"/>
        <v/>
      </c>
      <c r="U54" s="108" t="str">
        <f t="shared" si="72"/>
        <v/>
      </c>
      <c r="V54" s="108" t="str">
        <f t="shared" si="72"/>
        <v/>
      </c>
      <c r="W54" s="108" t="str">
        <f t="shared" si="72"/>
        <v/>
      </c>
      <c r="X54" s="108" t="str">
        <f t="shared" si="72"/>
        <v/>
      </c>
      <c r="Y54" s="108" t="str">
        <f t="shared" si="72"/>
        <v/>
      </c>
      <c r="Z54" s="108" t="str">
        <f t="shared" si="72"/>
        <v/>
      </c>
      <c r="AA54" s="108" t="str">
        <f t="shared" si="72"/>
        <v/>
      </c>
      <c r="AB54" s="108" t="str">
        <f t="shared" si="72"/>
        <v/>
      </c>
      <c r="AC54" s="108" t="str">
        <f t="shared" si="72"/>
        <v/>
      </c>
      <c r="AD54" s="108" t="str">
        <f t="shared" si="72"/>
        <v/>
      </c>
      <c r="AE54" s="108" t="str">
        <f t="shared" si="73"/>
        <v/>
      </c>
      <c r="AF54" s="108" t="str">
        <f t="shared" si="73"/>
        <v/>
      </c>
      <c r="AG54" s="108" t="str">
        <f t="shared" si="73"/>
        <v/>
      </c>
      <c r="AH54" s="108" t="str">
        <f t="shared" si="73"/>
        <v/>
      </c>
      <c r="AI54" s="108" t="str">
        <f t="shared" si="73"/>
        <v/>
      </c>
      <c r="AJ54" s="108" t="str">
        <f t="shared" si="73"/>
        <v/>
      </c>
      <c r="AK54" s="108" t="str">
        <f t="shared" si="73"/>
        <v/>
      </c>
      <c r="AL54" s="108" t="str">
        <f t="shared" si="73"/>
        <v/>
      </c>
      <c r="AM54" s="108" t="str">
        <f t="shared" si="73"/>
        <v/>
      </c>
      <c r="AN54" s="108" t="str">
        <f t="shared" si="73"/>
        <v/>
      </c>
      <c r="AO54" s="108" t="str">
        <f t="shared" si="74"/>
        <v/>
      </c>
      <c r="AP54" s="108" t="str">
        <f t="shared" si="74"/>
        <v/>
      </c>
      <c r="AQ54" s="108" t="str">
        <f t="shared" si="74"/>
        <v/>
      </c>
      <c r="AR54" s="108" t="str">
        <f t="shared" si="74"/>
        <v/>
      </c>
      <c r="AS54" s="108" t="str">
        <f t="shared" si="74"/>
        <v/>
      </c>
      <c r="AT54" s="108" t="str">
        <f t="shared" si="74"/>
        <v/>
      </c>
      <c r="AU54" s="108" t="str">
        <f t="shared" si="74"/>
        <v/>
      </c>
      <c r="AV54" s="108" t="str">
        <f t="shared" si="74"/>
        <v/>
      </c>
      <c r="AW54" s="108" t="str">
        <f t="shared" si="74"/>
        <v/>
      </c>
      <c r="AX54" s="108" t="str">
        <f t="shared" si="74"/>
        <v/>
      </c>
      <c r="AY54" s="108" t="str">
        <f t="shared" si="75"/>
        <v/>
      </c>
      <c r="AZ54" s="108" t="str">
        <f t="shared" si="75"/>
        <v/>
      </c>
      <c r="BA54" s="108" t="str">
        <f t="shared" si="75"/>
        <v/>
      </c>
      <c r="BB54" s="108" t="str">
        <f t="shared" si="75"/>
        <v/>
      </c>
      <c r="BC54" s="108" t="str">
        <f t="shared" si="75"/>
        <v/>
      </c>
      <c r="BD54" s="108" t="str">
        <f t="shared" si="75"/>
        <v/>
      </c>
      <c r="BE54" s="108" t="str">
        <f t="shared" si="75"/>
        <v/>
      </c>
      <c r="BF54" s="108" t="str">
        <f t="shared" si="75"/>
        <v/>
      </c>
      <c r="BG54" s="108" t="str">
        <f t="shared" si="75"/>
        <v/>
      </c>
      <c r="BH54" s="108" t="str">
        <f t="shared" si="75"/>
        <v/>
      </c>
      <c r="BI54" s="108" t="str">
        <f t="shared" si="76"/>
        <v/>
      </c>
      <c r="BJ54" s="108" t="str">
        <f t="shared" si="76"/>
        <v/>
      </c>
      <c r="BK54" s="108" t="str">
        <f t="shared" si="76"/>
        <v/>
      </c>
      <c r="BL54" s="108" t="str">
        <f t="shared" si="76"/>
        <v/>
      </c>
      <c r="BM54" s="108" t="str">
        <f t="shared" si="76"/>
        <v/>
      </c>
      <c r="BN54" s="108" t="str">
        <f t="shared" si="76"/>
        <v/>
      </c>
      <c r="BO54" s="108" t="str">
        <f t="shared" si="76"/>
        <v/>
      </c>
      <c r="BP54" s="108" t="str">
        <f t="shared" si="76"/>
        <v/>
      </c>
      <c r="BQ54" s="108" t="str">
        <f t="shared" si="76"/>
        <v/>
      </c>
      <c r="BR54" s="108" t="str">
        <f t="shared" si="76"/>
        <v/>
      </c>
      <c r="BS54" s="108" t="str">
        <f t="shared" si="77"/>
        <v/>
      </c>
      <c r="BT54" s="108" t="str">
        <f t="shared" si="77"/>
        <v/>
      </c>
      <c r="BU54" s="108" t="str">
        <f t="shared" si="77"/>
        <v/>
      </c>
      <c r="BV54" s="108" t="str">
        <f t="shared" si="77"/>
        <v/>
      </c>
      <c r="BW54" s="108" t="str">
        <f t="shared" si="77"/>
        <v/>
      </c>
      <c r="BX54" s="108" t="str">
        <f t="shared" si="77"/>
        <v/>
      </c>
      <c r="BY54" s="108" t="str">
        <f t="shared" si="77"/>
        <v/>
      </c>
      <c r="BZ54" s="108" t="str">
        <f t="shared" si="77"/>
        <v/>
      </c>
      <c r="CA54" s="108" t="str">
        <f t="shared" si="77"/>
        <v/>
      </c>
      <c r="CB54" s="108" t="str">
        <f t="shared" si="77"/>
        <v/>
      </c>
      <c r="CC54" s="108" t="str">
        <f t="shared" si="78"/>
        <v/>
      </c>
      <c r="CD54" s="108" t="str">
        <f t="shared" si="78"/>
        <v/>
      </c>
      <c r="CE54" s="108" t="str">
        <f t="shared" si="78"/>
        <v/>
      </c>
      <c r="CF54" s="108" t="str">
        <f t="shared" si="78"/>
        <v/>
      </c>
      <c r="CG54" s="108" t="str">
        <f t="shared" si="78"/>
        <v/>
      </c>
      <c r="CH54" s="108" t="str">
        <f t="shared" si="78"/>
        <v/>
      </c>
      <c r="CI54" s="108" t="str">
        <f t="shared" si="78"/>
        <v/>
      </c>
      <c r="CJ54" s="108" t="str">
        <f t="shared" si="78"/>
        <v/>
      </c>
      <c r="CK54" s="108" t="str">
        <f t="shared" si="78"/>
        <v/>
      </c>
      <c r="CL54" s="108" t="str">
        <f t="shared" si="78"/>
        <v/>
      </c>
      <c r="CM54" s="108" t="str">
        <f t="shared" si="79"/>
        <v/>
      </c>
      <c r="CN54" s="108" t="str">
        <f t="shared" si="79"/>
        <v/>
      </c>
      <c r="CO54" s="108" t="str">
        <f t="shared" si="79"/>
        <v/>
      </c>
      <c r="CP54" s="108" t="str">
        <f t="shared" si="79"/>
        <v/>
      </c>
      <c r="CQ54" s="108" t="str">
        <f t="shared" si="79"/>
        <v/>
      </c>
      <c r="CR54" s="109" t="str">
        <f t="shared" si="79"/>
        <v/>
      </c>
      <c r="CS54" s="108" t="str">
        <f t="shared" si="79"/>
        <v/>
      </c>
      <c r="CT54" s="108" t="str">
        <f t="shared" si="79"/>
        <v/>
      </c>
      <c r="CU54" s="108" t="str">
        <f t="shared" si="79"/>
        <v/>
      </c>
      <c r="CV54" s="108" t="str">
        <f t="shared" si="79"/>
        <v/>
      </c>
      <c r="CW54" s="108" t="str">
        <f t="shared" si="80"/>
        <v/>
      </c>
      <c r="CX54" s="108" t="str">
        <f t="shared" si="80"/>
        <v/>
      </c>
      <c r="CY54" s="108" t="str">
        <f t="shared" si="80"/>
        <v/>
      </c>
      <c r="CZ54" s="109" t="str">
        <f t="shared" si="80"/>
        <v/>
      </c>
      <c r="DA54" s="108" t="str">
        <f t="shared" si="80"/>
        <v/>
      </c>
      <c r="DB54" s="108" t="str">
        <f t="shared" si="80"/>
        <v/>
      </c>
      <c r="DC54" s="108" t="str">
        <f t="shared" si="80"/>
        <v/>
      </c>
      <c r="DD54" s="108" t="str">
        <f t="shared" si="80"/>
        <v/>
      </c>
      <c r="DE54" s="108" t="str">
        <f t="shared" si="80"/>
        <v/>
      </c>
      <c r="DF54" s="108" t="str">
        <f t="shared" si="80"/>
        <v/>
      </c>
      <c r="DG54" s="108" t="str">
        <f t="shared" si="81"/>
        <v/>
      </c>
      <c r="DH54" s="109" t="str">
        <f t="shared" si="81"/>
        <v/>
      </c>
      <c r="DI54" s="108" t="str">
        <f t="shared" si="81"/>
        <v/>
      </c>
      <c r="DJ54" s="108" t="str">
        <f t="shared" si="81"/>
        <v/>
      </c>
      <c r="DK54" s="108" t="str">
        <f t="shared" si="81"/>
        <v/>
      </c>
      <c r="DL54" s="108" t="str">
        <f t="shared" si="81"/>
        <v/>
      </c>
      <c r="DM54" s="108" t="str">
        <f t="shared" si="81"/>
        <v/>
      </c>
      <c r="DN54" s="108" t="str">
        <f t="shared" si="81"/>
        <v/>
      </c>
      <c r="DO54" s="109" t="str">
        <f t="shared" si="81"/>
        <v/>
      </c>
      <c r="DP54" s="108" t="str">
        <f t="shared" si="81"/>
        <v/>
      </c>
      <c r="DQ54" s="108" t="str">
        <f t="shared" si="82"/>
        <v/>
      </c>
      <c r="DR54" s="108" t="str">
        <f t="shared" si="82"/>
        <v/>
      </c>
      <c r="DS54" s="108" t="str">
        <f t="shared" si="82"/>
        <v/>
      </c>
      <c r="DT54" s="108" t="str">
        <f t="shared" si="82"/>
        <v/>
      </c>
      <c r="DU54" s="108" t="str">
        <f t="shared" si="82"/>
        <v/>
      </c>
      <c r="DV54" s="108" t="str">
        <f t="shared" si="82"/>
        <v/>
      </c>
      <c r="DW54" s="109" t="str">
        <f t="shared" si="82"/>
        <v/>
      </c>
      <c r="DX54" s="108" t="str">
        <f t="shared" si="82"/>
        <v/>
      </c>
      <c r="DY54" s="108" t="str">
        <f t="shared" si="82"/>
        <v/>
      </c>
      <c r="DZ54" s="108" t="str">
        <f t="shared" si="82"/>
        <v/>
      </c>
      <c r="EA54" s="108" t="str">
        <f t="shared" si="83"/>
        <v/>
      </c>
      <c r="EB54" s="108" t="str">
        <f t="shared" si="83"/>
        <v/>
      </c>
      <c r="EC54" s="108" t="str">
        <f t="shared" si="83"/>
        <v/>
      </c>
      <c r="ED54" s="109" t="str">
        <f t="shared" si="83"/>
        <v/>
      </c>
      <c r="EE54" s="108" t="str">
        <f t="shared" si="83"/>
        <v/>
      </c>
      <c r="EF54" s="108" t="str">
        <f t="shared" si="83"/>
        <v/>
      </c>
      <c r="EG54" s="108" t="str">
        <f t="shared" si="83"/>
        <v/>
      </c>
      <c r="EH54" s="108" t="str">
        <f t="shared" si="83"/>
        <v/>
      </c>
      <c r="EI54" s="108" t="str">
        <f t="shared" si="83"/>
        <v/>
      </c>
      <c r="EJ54" s="108" t="str">
        <f t="shared" si="83"/>
        <v/>
      </c>
      <c r="EK54" s="108" t="str">
        <f t="shared" si="84"/>
        <v/>
      </c>
      <c r="EL54" s="108" t="str">
        <f t="shared" si="84"/>
        <v/>
      </c>
      <c r="EM54" s="108" t="str">
        <f t="shared" si="84"/>
        <v/>
      </c>
      <c r="EN54" s="108" t="str">
        <f t="shared" si="84"/>
        <v/>
      </c>
      <c r="EO54" s="108" t="str">
        <f t="shared" si="84"/>
        <v/>
      </c>
      <c r="EP54" s="108" t="str">
        <f t="shared" si="84"/>
        <v/>
      </c>
      <c r="EQ54" s="108" t="str">
        <f t="shared" si="84"/>
        <v/>
      </c>
      <c r="ER54" s="108" t="str">
        <f t="shared" si="84"/>
        <v/>
      </c>
      <c r="ES54" s="109" t="str">
        <f t="shared" si="84"/>
        <v/>
      </c>
      <c r="ET54" s="108" t="str">
        <f t="shared" si="84"/>
        <v/>
      </c>
      <c r="EU54" s="108" t="str">
        <f t="shared" si="85"/>
        <v/>
      </c>
      <c r="EV54" s="108" t="str">
        <f t="shared" si="85"/>
        <v/>
      </c>
      <c r="EW54" s="108" t="str">
        <f t="shared" si="85"/>
        <v/>
      </c>
      <c r="EX54" s="108" t="str">
        <f t="shared" si="85"/>
        <v/>
      </c>
      <c r="EY54" s="108" t="str">
        <f t="shared" si="85"/>
        <v/>
      </c>
      <c r="EZ54" s="108" t="str">
        <f t="shared" si="85"/>
        <v/>
      </c>
      <c r="FA54" s="108" t="str">
        <f t="shared" si="85"/>
        <v/>
      </c>
      <c r="FB54" s="108" t="str">
        <f t="shared" si="85"/>
        <v/>
      </c>
      <c r="FC54" s="108" t="str">
        <f t="shared" si="85"/>
        <v/>
      </c>
      <c r="FD54" s="108" t="str">
        <f t="shared" si="85"/>
        <v/>
      </c>
      <c r="FE54" s="108" t="str">
        <f t="shared" si="86"/>
        <v/>
      </c>
      <c r="FF54" s="109" t="str">
        <f t="shared" si="86"/>
        <v/>
      </c>
      <c r="FG54" s="108" t="str">
        <f t="shared" si="86"/>
        <v/>
      </c>
      <c r="FH54" s="108" t="str">
        <f t="shared" si="86"/>
        <v/>
      </c>
      <c r="FI54" s="108" t="str">
        <f t="shared" si="86"/>
        <v/>
      </c>
      <c r="FJ54" s="108" t="str">
        <f t="shared" si="86"/>
        <v/>
      </c>
      <c r="FK54" s="108" t="str">
        <f t="shared" si="86"/>
        <v/>
      </c>
      <c r="FL54" s="108" t="str">
        <f t="shared" si="86"/>
        <v/>
      </c>
      <c r="FM54" s="108" t="str">
        <f t="shared" si="86"/>
        <v/>
      </c>
      <c r="FN54" s="108" t="str">
        <f t="shared" si="86"/>
        <v/>
      </c>
      <c r="FO54" s="108" t="str">
        <f t="shared" si="87"/>
        <v/>
      </c>
      <c r="FP54" s="108" t="str">
        <f t="shared" si="87"/>
        <v/>
      </c>
      <c r="FQ54" s="108" t="str">
        <f t="shared" si="87"/>
        <v/>
      </c>
      <c r="FR54" s="108" t="str">
        <f t="shared" si="87"/>
        <v/>
      </c>
      <c r="FS54" s="108" t="str">
        <f t="shared" si="87"/>
        <v/>
      </c>
      <c r="FT54" s="108" t="str">
        <f t="shared" si="87"/>
        <v/>
      </c>
      <c r="FU54" s="108" t="str">
        <f t="shared" si="87"/>
        <v/>
      </c>
      <c r="FV54" s="108" t="str">
        <f t="shared" si="87"/>
        <v/>
      </c>
      <c r="FW54" s="110" t="str">
        <f t="shared" si="87"/>
        <v/>
      </c>
    </row>
    <row r="55" spans="2:179" s="101" customFormat="1" ht="21" customHeight="1" x14ac:dyDescent="0.35">
      <c r="B55" s="27" t="e">
        <f>Portfolio_Daten!#REF!</f>
        <v>#REF!</v>
      </c>
      <c r="C55" s="27">
        <f>Portfolio_Daten!B56</f>
        <v>0</v>
      </c>
      <c r="D55" s="28">
        <f>Portfolio_Daten!E56</f>
        <v>0</v>
      </c>
      <c r="E55" s="31">
        <f>Portfolio_Daten!T56</f>
        <v>0</v>
      </c>
      <c r="F55" s="31">
        <f>Portfolio_Daten!U56</f>
        <v>0</v>
      </c>
      <c r="G55" s="107">
        <f>IF(F55="","",NETWORKDAYS(E55,F55,Parameter!$C$4:$C$51))</f>
        <v>0</v>
      </c>
      <c r="H55" s="29">
        <f>Portfolio_Daten!AG56</f>
        <v>0</v>
      </c>
      <c r="I55" s="33">
        <f>Portfolio_Daten!AI56</f>
        <v>0</v>
      </c>
      <c r="J55" s="106"/>
      <c r="K55" s="108" t="str">
        <f t="shared" si="71"/>
        <v/>
      </c>
      <c r="L55" s="108" t="str">
        <f t="shared" si="71"/>
        <v/>
      </c>
      <c r="M55" s="108" t="str">
        <f t="shared" si="71"/>
        <v/>
      </c>
      <c r="N55" s="108" t="str">
        <f t="shared" si="71"/>
        <v/>
      </c>
      <c r="O55" s="108" t="str">
        <f t="shared" si="71"/>
        <v/>
      </c>
      <c r="P55" s="108" t="str">
        <f t="shared" si="71"/>
        <v/>
      </c>
      <c r="Q55" s="108" t="str">
        <f t="shared" si="71"/>
        <v/>
      </c>
      <c r="R55" s="108" t="str">
        <f t="shared" si="71"/>
        <v/>
      </c>
      <c r="S55" s="108" t="str">
        <f t="shared" si="71"/>
        <v/>
      </c>
      <c r="T55" s="108" t="str">
        <f t="shared" si="71"/>
        <v/>
      </c>
      <c r="U55" s="108" t="str">
        <f t="shared" si="72"/>
        <v/>
      </c>
      <c r="V55" s="108" t="str">
        <f t="shared" si="72"/>
        <v/>
      </c>
      <c r="W55" s="108" t="str">
        <f t="shared" si="72"/>
        <v/>
      </c>
      <c r="X55" s="108" t="str">
        <f t="shared" si="72"/>
        <v/>
      </c>
      <c r="Y55" s="108" t="str">
        <f t="shared" si="72"/>
        <v/>
      </c>
      <c r="Z55" s="108" t="str">
        <f t="shared" si="72"/>
        <v/>
      </c>
      <c r="AA55" s="108" t="str">
        <f t="shared" si="72"/>
        <v/>
      </c>
      <c r="AB55" s="108" t="str">
        <f t="shared" si="72"/>
        <v/>
      </c>
      <c r="AC55" s="108" t="str">
        <f t="shared" si="72"/>
        <v/>
      </c>
      <c r="AD55" s="108" t="str">
        <f t="shared" si="72"/>
        <v/>
      </c>
      <c r="AE55" s="108" t="str">
        <f t="shared" si="73"/>
        <v/>
      </c>
      <c r="AF55" s="108" t="str">
        <f t="shared" si="73"/>
        <v/>
      </c>
      <c r="AG55" s="108" t="str">
        <f t="shared" si="73"/>
        <v/>
      </c>
      <c r="AH55" s="108" t="str">
        <f t="shared" si="73"/>
        <v/>
      </c>
      <c r="AI55" s="108" t="str">
        <f t="shared" si="73"/>
        <v/>
      </c>
      <c r="AJ55" s="108" t="str">
        <f t="shared" si="73"/>
        <v/>
      </c>
      <c r="AK55" s="108" t="str">
        <f t="shared" si="73"/>
        <v/>
      </c>
      <c r="AL55" s="108" t="str">
        <f t="shared" si="73"/>
        <v/>
      </c>
      <c r="AM55" s="108" t="str">
        <f t="shared" si="73"/>
        <v/>
      </c>
      <c r="AN55" s="108" t="str">
        <f t="shared" si="73"/>
        <v/>
      </c>
      <c r="AO55" s="108" t="str">
        <f t="shared" si="74"/>
        <v/>
      </c>
      <c r="AP55" s="108" t="str">
        <f t="shared" si="74"/>
        <v/>
      </c>
      <c r="AQ55" s="108" t="str">
        <f t="shared" si="74"/>
        <v/>
      </c>
      <c r="AR55" s="108" t="str">
        <f t="shared" si="74"/>
        <v/>
      </c>
      <c r="AS55" s="108" t="str">
        <f t="shared" si="74"/>
        <v/>
      </c>
      <c r="AT55" s="108" t="str">
        <f t="shared" si="74"/>
        <v/>
      </c>
      <c r="AU55" s="108" t="str">
        <f t="shared" si="74"/>
        <v/>
      </c>
      <c r="AV55" s="108" t="str">
        <f t="shared" si="74"/>
        <v/>
      </c>
      <c r="AW55" s="108" t="str">
        <f t="shared" si="74"/>
        <v/>
      </c>
      <c r="AX55" s="108" t="str">
        <f t="shared" si="74"/>
        <v/>
      </c>
      <c r="AY55" s="108" t="str">
        <f t="shared" si="75"/>
        <v/>
      </c>
      <c r="AZ55" s="108" t="str">
        <f t="shared" si="75"/>
        <v/>
      </c>
      <c r="BA55" s="108" t="str">
        <f t="shared" si="75"/>
        <v/>
      </c>
      <c r="BB55" s="108" t="str">
        <f t="shared" si="75"/>
        <v/>
      </c>
      <c r="BC55" s="108" t="str">
        <f t="shared" si="75"/>
        <v/>
      </c>
      <c r="BD55" s="108" t="str">
        <f t="shared" si="75"/>
        <v/>
      </c>
      <c r="BE55" s="108" t="str">
        <f t="shared" si="75"/>
        <v/>
      </c>
      <c r="BF55" s="108" t="str">
        <f t="shared" si="75"/>
        <v/>
      </c>
      <c r="BG55" s="108" t="str">
        <f t="shared" si="75"/>
        <v/>
      </c>
      <c r="BH55" s="108" t="str">
        <f t="shared" si="75"/>
        <v/>
      </c>
      <c r="BI55" s="108" t="str">
        <f t="shared" si="76"/>
        <v/>
      </c>
      <c r="BJ55" s="108" t="str">
        <f t="shared" si="76"/>
        <v/>
      </c>
      <c r="BK55" s="108" t="str">
        <f t="shared" si="76"/>
        <v/>
      </c>
      <c r="BL55" s="108" t="str">
        <f t="shared" si="76"/>
        <v/>
      </c>
      <c r="BM55" s="108" t="str">
        <f t="shared" si="76"/>
        <v/>
      </c>
      <c r="BN55" s="108" t="str">
        <f t="shared" si="76"/>
        <v/>
      </c>
      <c r="BO55" s="108" t="str">
        <f t="shared" si="76"/>
        <v/>
      </c>
      <c r="BP55" s="108" t="str">
        <f t="shared" si="76"/>
        <v/>
      </c>
      <c r="BQ55" s="108" t="str">
        <f t="shared" si="76"/>
        <v/>
      </c>
      <c r="BR55" s="108" t="str">
        <f t="shared" si="76"/>
        <v/>
      </c>
      <c r="BS55" s="108" t="str">
        <f t="shared" si="77"/>
        <v/>
      </c>
      <c r="BT55" s="108" t="str">
        <f t="shared" si="77"/>
        <v/>
      </c>
      <c r="BU55" s="108" t="str">
        <f t="shared" si="77"/>
        <v/>
      </c>
      <c r="BV55" s="108" t="str">
        <f t="shared" si="77"/>
        <v/>
      </c>
      <c r="BW55" s="108" t="str">
        <f t="shared" si="77"/>
        <v/>
      </c>
      <c r="BX55" s="108" t="str">
        <f t="shared" si="77"/>
        <v/>
      </c>
      <c r="BY55" s="108" t="str">
        <f t="shared" si="77"/>
        <v/>
      </c>
      <c r="BZ55" s="108" t="str">
        <f t="shared" si="77"/>
        <v/>
      </c>
      <c r="CA55" s="108" t="str">
        <f t="shared" si="77"/>
        <v/>
      </c>
      <c r="CB55" s="108" t="str">
        <f t="shared" si="77"/>
        <v/>
      </c>
      <c r="CC55" s="108" t="str">
        <f t="shared" si="78"/>
        <v/>
      </c>
      <c r="CD55" s="108" t="str">
        <f t="shared" si="78"/>
        <v/>
      </c>
      <c r="CE55" s="108" t="str">
        <f t="shared" si="78"/>
        <v/>
      </c>
      <c r="CF55" s="108" t="str">
        <f t="shared" si="78"/>
        <v/>
      </c>
      <c r="CG55" s="108" t="str">
        <f t="shared" si="78"/>
        <v/>
      </c>
      <c r="CH55" s="108" t="str">
        <f t="shared" si="78"/>
        <v/>
      </c>
      <c r="CI55" s="108" t="str">
        <f t="shared" si="78"/>
        <v/>
      </c>
      <c r="CJ55" s="108" t="str">
        <f t="shared" si="78"/>
        <v/>
      </c>
      <c r="CK55" s="108" t="str">
        <f t="shared" si="78"/>
        <v/>
      </c>
      <c r="CL55" s="108" t="str">
        <f t="shared" si="78"/>
        <v/>
      </c>
      <c r="CM55" s="108" t="str">
        <f t="shared" si="79"/>
        <v/>
      </c>
      <c r="CN55" s="108" t="str">
        <f t="shared" si="79"/>
        <v/>
      </c>
      <c r="CO55" s="108" t="str">
        <f t="shared" si="79"/>
        <v/>
      </c>
      <c r="CP55" s="108" t="str">
        <f t="shared" si="79"/>
        <v/>
      </c>
      <c r="CQ55" s="108" t="str">
        <f t="shared" si="79"/>
        <v/>
      </c>
      <c r="CR55" s="109" t="str">
        <f t="shared" si="79"/>
        <v/>
      </c>
      <c r="CS55" s="108" t="str">
        <f t="shared" si="79"/>
        <v/>
      </c>
      <c r="CT55" s="108" t="str">
        <f t="shared" si="79"/>
        <v/>
      </c>
      <c r="CU55" s="108" t="str">
        <f t="shared" si="79"/>
        <v/>
      </c>
      <c r="CV55" s="108" t="str">
        <f t="shared" si="79"/>
        <v/>
      </c>
      <c r="CW55" s="108" t="str">
        <f t="shared" si="80"/>
        <v/>
      </c>
      <c r="CX55" s="108" t="str">
        <f t="shared" si="80"/>
        <v/>
      </c>
      <c r="CY55" s="108" t="str">
        <f t="shared" si="80"/>
        <v/>
      </c>
      <c r="CZ55" s="109" t="str">
        <f t="shared" si="80"/>
        <v/>
      </c>
      <c r="DA55" s="108" t="str">
        <f t="shared" si="80"/>
        <v/>
      </c>
      <c r="DB55" s="108" t="str">
        <f t="shared" si="80"/>
        <v/>
      </c>
      <c r="DC55" s="108" t="str">
        <f t="shared" si="80"/>
        <v/>
      </c>
      <c r="DD55" s="108" t="str">
        <f t="shared" si="80"/>
        <v/>
      </c>
      <c r="DE55" s="108" t="str">
        <f t="shared" si="80"/>
        <v/>
      </c>
      <c r="DF55" s="108" t="str">
        <f t="shared" si="80"/>
        <v/>
      </c>
      <c r="DG55" s="108" t="str">
        <f t="shared" si="81"/>
        <v/>
      </c>
      <c r="DH55" s="109" t="str">
        <f t="shared" si="81"/>
        <v/>
      </c>
      <c r="DI55" s="108" t="str">
        <f t="shared" si="81"/>
        <v/>
      </c>
      <c r="DJ55" s="108" t="str">
        <f t="shared" si="81"/>
        <v/>
      </c>
      <c r="DK55" s="108" t="str">
        <f t="shared" si="81"/>
        <v/>
      </c>
      <c r="DL55" s="108" t="str">
        <f t="shared" si="81"/>
        <v/>
      </c>
      <c r="DM55" s="108" t="str">
        <f t="shared" si="81"/>
        <v/>
      </c>
      <c r="DN55" s="108" t="str">
        <f t="shared" si="81"/>
        <v/>
      </c>
      <c r="DO55" s="109" t="str">
        <f t="shared" si="81"/>
        <v/>
      </c>
      <c r="DP55" s="108" t="str">
        <f t="shared" si="81"/>
        <v/>
      </c>
      <c r="DQ55" s="108" t="str">
        <f t="shared" si="82"/>
        <v/>
      </c>
      <c r="DR55" s="108" t="str">
        <f t="shared" si="82"/>
        <v/>
      </c>
      <c r="DS55" s="108" t="str">
        <f t="shared" si="82"/>
        <v/>
      </c>
      <c r="DT55" s="108" t="str">
        <f t="shared" si="82"/>
        <v/>
      </c>
      <c r="DU55" s="108" t="str">
        <f t="shared" si="82"/>
        <v/>
      </c>
      <c r="DV55" s="108" t="str">
        <f t="shared" si="82"/>
        <v/>
      </c>
      <c r="DW55" s="109" t="str">
        <f t="shared" si="82"/>
        <v/>
      </c>
      <c r="DX55" s="108" t="str">
        <f t="shared" si="82"/>
        <v/>
      </c>
      <c r="DY55" s="108" t="str">
        <f t="shared" si="82"/>
        <v/>
      </c>
      <c r="DZ55" s="108" t="str">
        <f t="shared" si="82"/>
        <v/>
      </c>
      <c r="EA55" s="108" t="str">
        <f t="shared" si="83"/>
        <v/>
      </c>
      <c r="EB55" s="108" t="str">
        <f t="shared" si="83"/>
        <v/>
      </c>
      <c r="EC55" s="108" t="str">
        <f t="shared" si="83"/>
        <v/>
      </c>
      <c r="ED55" s="109" t="str">
        <f t="shared" si="83"/>
        <v/>
      </c>
      <c r="EE55" s="108" t="str">
        <f t="shared" si="83"/>
        <v/>
      </c>
      <c r="EF55" s="108" t="str">
        <f t="shared" si="83"/>
        <v/>
      </c>
      <c r="EG55" s="108" t="str">
        <f t="shared" si="83"/>
        <v/>
      </c>
      <c r="EH55" s="108" t="str">
        <f t="shared" si="83"/>
        <v/>
      </c>
      <c r="EI55" s="108" t="str">
        <f t="shared" si="83"/>
        <v/>
      </c>
      <c r="EJ55" s="108" t="str">
        <f t="shared" si="83"/>
        <v/>
      </c>
      <c r="EK55" s="108" t="str">
        <f t="shared" si="84"/>
        <v/>
      </c>
      <c r="EL55" s="108" t="str">
        <f t="shared" si="84"/>
        <v/>
      </c>
      <c r="EM55" s="108" t="str">
        <f t="shared" si="84"/>
        <v/>
      </c>
      <c r="EN55" s="108" t="str">
        <f t="shared" si="84"/>
        <v/>
      </c>
      <c r="EO55" s="108" t="str">
        <f t="shared" si="84"/>
        <v/>
      </c>
      <c r="EP55" s="108" t="str">
        <f t="shared" si="84"/>
        <v/>
      </c>
      <c r="EQ55" s="108" t="str">
        <f t="shared" si="84"/>
        <v/>
      </c>
      <c r="ER55" s="108" t="str">
        <f t="shared" si="84"/>
        <v/>
      </c>
      <c r="ES55" s="109" t="str">
        <f t="shared" si="84"/>
        <v/>
      </c>
      <c r="ET55" s="108" t="str">
        <f t="shared" si="84"/>
        <v/>
      </c>
      <c r="EU55" s="108" t="str">
        <f t="shared" si="85"/>
        <v/>
      </c>
      <c r="EV55" s="108" t="str">
        <f t="shared" si="85"/>
        <v/>
      </c>
      <c r="EW55" s="108" t="str">
        <f t="shared" si="85"/>
        <v/>
      </c>
      <c r="EX55" s="108" t="str">
        <f t="shared" si="85"/>
        <v/>
      </c>
      <c r="EY55" s="108" t="str">
        <f t="shared" si="85"/>
        <v/>
      </c>
      <c r="EZ55" s="108" t="str">
        <f t="shared" si="85"/>
        <v/>
      </c>
      <c r="FA55" s="108" t="str">
        <f t="shared" si="85"/>
        <v/>
      </c>
      <c r="FB55" s="108" t="str">
        <f t="shared" si="85"/>
        <v/>
      </c>
      <c r="FC55" s="108" t="str">
        <f t="shared" si="85"/>
        <v/>
      </c>
      <c r="FD55" s="108" t="str">
        <f t="shared" si="85"/>
        <v/>
      </c>
      <c r="FE55" s="108" t="str">
        <f t="shared" si="86"/>
        <v/>
      </c>
      <c r="FF55" s="109" t="str">
        <f t="shared" si="86"/>
        <v/>
      </c>
      <c r="FG55" s="108" t="str">
        <f t="shared" si="86"/>
        <v/>
      </c>
      <c r="FH55" s="108" t="str">
        <f t="shared" si="86"/>
        <v/>
      </c>
      <c r="FI55" s="108" t="str">
        <f t="shared" si="86"/>
        <v/>
      </c>
      <c r="FJ55" s="108" t="str">
        <f t="shared" si="86"/>
        <v/>
      </c>
      <c r="FK55" s="108" t="str">
        <f t="shared" si="86"/>
        <v/>
      </c>
      <c r="FL55" s="108" t="str">
        <f t="shared" si="86"/>
        <v/>
      </c>
      <c r="FM55" s="108" t="str">
        <f t="shared" si="86"/>
        <v/>
      </c>
      <c r="FN55" s="108" t="str">
        <f t="shared" si="86"/>
        <v/>
      </c>
      <c r="FO55" s="108" t="str">
        <f t="shared" si="87"/>
        <v/>
      </c>
      <c r="FP55" s="108" t="str">
        <f t="shared" si="87"/>
        <v/>
      </c>
      <c r="FQ55" s="108" t="str">
        <f t="shared" si="87"/>
        <v/>
      </c>
      <c r="FR55" s="108" t="str">
        <f t="shared" si="87"/>
        <v/>
      </c>
      <c r="FS55" s="108" t="str">
        <f t="shared" si="87"/>
        <v/>
      </c>
      <c r="FT55" s="108" t="str">
        <f t="shared" si="87"/>
        <v/>
      </c>
      <c r="FU55" s="108" t="str">
        <f t="shared" si="87"/>
        <v/>
      </c>
      <c r="FV55" s="108" t="str">
        <f t="shared" si="87"/>
        <v/>
      </c>
      <c r="FW55" s="110" t="str">
        <f t="shared" si="87"/>
        <v/>
      </c>
    </row>
    <row r="56" spans="2:179" s="101" customFormat="1" ht="21" customHeight="1" x14ac:dyDescent="0.35">
      <c r="B56" s="27" t="e">
        <f>Portfolio_Daten!#REF!</f>
        <v>#REF!</v>
      </c>
      <c r="C56" s="27">
        <f>Portfolio_Daten!B57</f>
        <v>0</v>
      </c>
      <c r="D56" s="28">
        <f>Portfolio_Daten!E57</f>
        <v>0</v>
      </c>
      <c r="E56" s="31">
        <f>Portfolio_Daten!T57</f>
        <v>0</v>
      </c>
      <c r="F56" s="31">
        <f>Portfolio_Daten!U57</f>
        <v>0</v>
      </c>
      <c r="G56" s="107">
        <f>IF(F56="","",NETWORKDAYS(E56,F56,Parameter!$C$4:$C$51))</f>
        <v>0</v>
      </c>
      <c r="H56" s="29">
        <f>Portfolio_Daten!AG57</f>
        <v>0</v>
      </c>
      <c r="I56" s="33">
        <f>Portfolio_Daten!AI57</f>
        <v>0</v>
      </c>
      <c r="J56" s="106"/>
      <c r="K56" s="108" t="str">
        <f t="shared" si="71"/>
        <v/>
      </c>
      <c r="L56" s="108" t="str">
        <f t="shared" si="71"/>
        <v/>
      </c>
      <c r="M56" s="108" t="str">
        <f t="shared" si="71"/>
        <v/>
      </c>
      <c r="N56" s="108" t="str">
        <f t="shared" si="71"/>
        <v/>
      </c>
      <c r="O56" s="108" t="str">
        <f t="shared" si="71"/>
        <v/>
      </c>
      <c r="P56" s="108" t="str">
        <f t="shared" si="71"/>
        <v/>
      </c>
      <c r="Q56" s="108" t="str">
        <f t="shared" si="71"/>
        <v/>
      </c>
      <c r="R56" s="108" t="str">
        <f t="shared" si="71"/>
        <v/>
      </c>
      <c r="S56" s="108" t="str">
        <f t="shared" si="71"/>
        <v/>
      </c>
      <c r="T56" s="108" t="str">
        <f t="shared" si="71"/>
        <v/>
      </c>
      <c r="U56" s="108" t="str">
        <f t="shared" si="72"/>
        <v/>
      </c>
      <c r="V56" s="108" t="str">
        <f t="shared" si="72"/>
        <v/>
      </c>
      <c r="W56" s="108" t="str">
        <f t="shared" si="72"/>
        <v/>
      </c>
      <c r="X56" s="108" t="str">
        <f t="shared" si="72"/>
        <v/>
      </c>
      <c r="Y56" s="108" t="str">
        <f t="shared" si="72"/>
        <v/>
      </c>
      <c r="Z56" s="108" t="str">
        <f t="shared" si="72"/>
        <v/>
      </c>
      <c r="AA56" s="108" t="str">
        <f t="shared" si="72"/>
        <v/>
      </c>
      <c r="AB56" s="108" t="str">
        <f t="shared" si="72"/>
        <v/>
      </c>
      <c r="AC56" s="108" t="str">
        <f t="shared" si="72"/>
        <v/>
      </c>
      <c r="AD56" s="108" t="str">
        <f t="shared" si="72"/>
        <v/>
      </c>
      <c r="AE56" s="108" t="str">
        <f t="shared" si="73"/>
        <v/>
      </c>
      <c r="AF56" s="108" t="str">
        <f t="shared" si="73"/>
        <v/>
      </c>
      <c r="AG56" s="108" t="str">
        <f t="shared" si="73"/>
        <v/>
      </c>
      <c r="AH56" s="108" t="str">
        <f t="shared" si="73"/>
        <v/>
      </c>
      <c r="AI56" s="108" t="str">
        <f t="shared" si="73"/>
        <v/>
      </c>
      <c r="AJ56" s="108" t="str">
        <f t="shared" si="73"/>
        <v/>
      </c>
      <c r="AK56" s="108" t="str">
        <f t="shared" si="73"/>
        <v/>
      </c>
      <c r="AL56" s="108" t="str">
        <f t="shared" si="73"/>
        <v/>
      </c>
      <c r="AM56" s="108" t="str">
        <f t="shared" si="73"/>
        <v/>
      </c>
      <c r="AN56" s="108" t="str">
        <f t="shared" si="73"/>
        <v/>
      </c>
      <c r="AO56" s="108" t="str">
        <f t="shared" si="74"/>
        <v/>
      </c>
      <c r="AP56" s="108" t="str">
        <f t="shared" si="74"/>
        <v/>
      </c>
      <c r="AQ56" s="108" t="str">
        <f t="shared" si="74"/>
        <v/>
      </c>
      <c r="AR56" s="108" t="str">
        <f t="shared" si="74"/>
        <v/>
      </c>
      <c r="AS56" s="108" t="str">
        <f t="shared" si="74"/>
        <v/>
      </c>
      <c r="AT56" s="108" t="str">
        <f t="shared" si="74"/>
        <v/>
      </c>
      <c r="AU56" s="108" t="str">
        <f t="shared" si="74"/>
        <v/>
      </c>
      <c r="AV56" s="108" t="str">
        <f t="shared" si="74"/>
        <v/>
      </c>
      <c r="AW56" s="108" t="str">
        <f t="shared" si="74"/>
        <v/>
      </c>
      <c r="AX56" s="108" t="str">
        <f t="shared" si="74"/>
        <v/>
      </c>
      <c r="AY56" s="108" t="str">
        <f t="shared" si="75"/>
        <v/>
      </c>
      <c r="AZ56" s="108" t="str">
        <f t="shared" si="75"/>
        <v/>
      </c>
      <c r="BA56" s="108" t="str">
        <f t="shared" si="75"/>
        <v/>
      </c>
      <c r="BB56" s="108" t="str">
        <f t="shared" si="75"/>
        <v/>
      </c>
      <c r="BC56" s="108" t="str">
        <f t="shared" si="75"/>
        <v/>
      </c>
      <c r="BD56" s="108" t="str">
        <f t="shared" si="75"/>
        <v/>
      </c>
      <c r="BE56" s="108" t="str">
        <f t="shared" si="75"/>
        <v/>
      </c>
      <c r="BF56" s="108" t="str">
        <f t="shared" si="75"/>
        <v/>
      </c>
      <c r="BG56" s="108" t="str">
        <f t="shared" si="75"/>
        <v/>
      </c>
      <c r="BH56" s="108" t="str">
        <f t="shared" si="75"/>
        <v/>
      </c>
      <c r="BI56" s="108" t="str">
        <f t="shared" si="76"/>
        <v/>
      </c>
      <c r="BJ56" s="108" t="str">
        <f t="shared" si="76"/>
        <v/>
      </c>
      <c r="BK56" s="108" t="str">
        <f t="shared" si="76"/>
        <v/>
      </c>
      <c r="BL56" s="108" t="str">
        <f t="shared" si="76"/>
        <v/>
      </c>
      <c r="BM56" s="108" t="str">
        <f t="shared" si="76"/>
        <v/>
      </c>
      <c r="BN56" s="108" t="str">
        <f t="shared" si="76"/>
        <v/>
      </c>
      <c r="BO56" s="108" t="str">
        <f t="shared" si="76"/>
        <v/>
      </c>
      <c r="BP56" s="108" t="str">
        <f t="shared" si="76"/>
        <v/>
      </c>
      <c r="BQ56" s="108" t="str">
        <f t="shared" si="76"/>
        <v/>
      </c>
      <c r="BR56" s="108" t="str">
        <f t="shared" si="76"/>
        <v/>
      </c>
      <c r="BS56" s="108" t="str">
        <f t="shared" si="77"/>
        <v/>
      </c>
      <c r="BT56" s="108" t="str">
        <f t="shared" si="77"/>
        <v/>
      </c>
      <c r="BU56" s="108" t="str">
        <f t="shared" si="77"/>
        <v/>
      </c>
      <c r="BV56" s="108" t="str">
        <f t="shared" si="77"/>
        <v/>
      </c>
      <c r="BW56" s="108" t="str">
        <f t="shared" si="77"/>
        <v/>
      </c>
      <c r="BX56" s="108" t="str">
        <f t="shared" si="77"/>
        <v/>
      </c>
      <c r="BY56" s="108" t="str">
        <f t="shared" si="77"/>
        <v/>
      </c>
      <c r="BZ56" s="108" t="str">
        <f t="shared" si="77"/>
        <v/>
      </c>
      <c r="CA56" s="108" t="str">
        <f t="shared" si="77"/>
        <v/>
      </c>
      <c r="CB56" s="108" t="str">
        <f t="shared" si="77"/>
        <v/>
      </c>
      <c r="CC56" s="108" t="str">
        <f t="shared" si="78"/>
        <v/>
      </c>
      <c r="CD56" s="108" t="str">
        <f t="shared" si="78"/>
        <v/>
      </c>
      <c r="CE56" s="108" t="str">
        <f t="shared" si="78"/>
        <v/>
      </c>
      <c r="CF56" s="108" t="str">
        <f t="shared" si="78"/>
        <v/>
      </c>
      <c r="CG56" s="108" t="str">
        <f t="shared" si="78"/>
        <v/>
      </c>
      <c r="CH56" s="108" t="str">
        <f t="shared" si="78"/>
        <v/>
      </c>
      <c r="CI56" s="108" t="str">
        <f t="shared" si="78"/>
        <v/>
      </c>
      <c r="CJ56" s="108" t="str">
        <f t="shared" si="78"/>
        <v/>
      </c>
      <c r="CK56" s="108" t="str">
        <f t="shared" si="78"/>
        <v/>
      </c>
      <c r="CL56" s="108" t="str">
        <f t="shared" si="78"/>
        <v/>
      </c>
      <c r="CM56" s="108" t="str">
        <f t="shared" si="79"/>
        <v/>
      </c>
      <c r="CN56" s="108" t="str">
        <f t="shared" si="79"/>
        <v/>
      </c>
      <c r="CO56" s="108" t="str">
        <f t="shared" si="79"/>
        <v/>
      </c>
      <c r="CP56" s="108" t="str">
        <f t="shared" si="79"/>
        <v/>
      </c>
      <c r="CQ56" s="108" t="str">
        <f t="shared" si="79"/>
        <v/>
      </c>
      <c r="CR56" s="109" t="str">
        <f t="shared" si="79"/>
        <v/>
      </c>
      <c r="CS56" s="108" t="str">
        <f t="shared" si="79"/>
        <v/>
      </c>
      <c r="CT56" s="108" t="str">
        <f t="shared" si="79"/>
        <v/>
      </c>
      <c r="CU56" s="108" t="str">
        <f t="shared" si="79"/>
        <v/>
      </c>
      <c r="CV56" s="108" t="str">
        <f t="shared" si="79"/>
        <v/>
      </c>
      <c r="CW56" s="108" t="str">
        <f t="shared" si="80"/>
        <v/>
      </c>
      <c r="CX56" s="108" t="str">
        <f t="shared" si="80"/>
        <v/>
      </c>
      <c r="CY56" s="108" t="str">
        <f t="shared" si="80"/>
        <v/>
      </c>
      <c r="CZ56" s="109" t="str">
        <f t="shared" si="80"/>
        <v/>
      </c>
      <c r="DA56" s="108" t="str">
        <f t="shared" si="80"/>
        <v/>
      </c>
      <c r="DB56" s="108" t="str">
        <f t="shared" si="80"/>
        <v/>
      </c>
      <c r="DC56" s="108" t="str">
        <f t="shared" si="80"/>
        <v/>
      </c>
      <c r="DD56" s="108" t="str">
        <f t="shared" si="80"/>
        <v/>
      </c>
      <c r="DE56" s="108" t="str">
        <f t="shared" si="80"/>
        <v/>
      </c>
      <c r="DF56" s="108" t="str">
        <f t="shared" si="80"/>
        <v/>
      </c>
      <c r="DG56" s="108" t="str">
        <f t="shared" si="81"/>
        <v/>
      </c>
      <c r="DH56" s="109" t="str">
        <f t="shared" si="81"/>
        <v/>
      </c>
      <c r="DI56" s="108" t="str">
        <f t="shared" si="81"/>
        <v/>
      </c>
      <c r="DJ56" s="108" t="str">
        <f t="shared" si="81"/>
        <v/>
      </c>
      <c r="DK56" s="108" t="str">
        <f t="shared" si="81"/>
        <v/>
      </c>
      <c r="DL56" s="108" t="str">
        <f t="shared" si="81"/>
        <v/>
      </c>
      <c r="DM56" s="108" t="str">
        <f t="shared" si="81"/>
        <v/>
      </c>
      <c r="DN56" s="108" t="str">
        <f t="shared" si="81"/>
        <v/>
      </c>
      <c r="DO56" s="109" t="str">
        <f t="shared" si="81"/>
        <v/>
      </c>
      <c r="DP56" s="108" t="str">
        <f t="shared" si="81"/>
        <v/>
      </c>
      <c r="DQ56" s="108" t="str">
        <f t="shared" si="82"/>
        <v/>
      </c>
      <c r="DR56" s="108" t="str">
        <f t="shared" si="82"/>
        <v/>
      </c>
      <c r="DS56" s="108" t="str">
        <f t="shared" si="82"/>
        <v/>
      </c>
      <c r="DT56" s="108" t="str">
        <f t="shared" si="82"/>
        <v/>
      </c>
      <c r="DU56" s="108" t="str">
        <f t="shared" si="82"/>
        <v/>
      </c>
      <c r="DV56" s="108" t="str">
        <f t="shared" si="82"/>
        <v/>
      </c>
      <c r="DW56" s="109" t="str">
        <f t="shared" si="82"/>
        <v/>
      </c>
      <c r="DX56" s="108" t="str">
        <f t="shared" si="82"/>
        <v/>
      </c>
      <c r="DY56" s="108" t="str">
        <f t="shared" si="82"/>
        <v/>
      </c>
      <c r="DZ56" s="108" t="str">
        <f t="shared" si="82"/>
        <v/>
      </c>
      <c r="EA56" s="108" t="str">
        <f t="shared" si="83"/>
        <v/>
      </c>
      <c r="EB56" s="108" t="str">
        <f t="shared" si="83"/>
        <v/>
      </c>
      <c r="EC56" s="108" t="str">
        <f t="shared" si="83"/>
        <v/>
      </c>
      <c r="ED56" s="109" t="str">
        <f t="shared" si="83"/>
        <v/>
      </c>
      <c r="EE56" s="108" t="str">
        <f t="shared" si="83"/>
        <v/>
      </c>
      <c r="EF56" s="108" t="str">
        <f t="shared" si="83"/>
        <v/>
      </c>
      <c r="EG56" s="108" t="str">
        <f t="shared" si="83"/>
        <v/>
      </c>
      <c r="EH56" s="108" t="str">
        <f t="shared" si="83"/>
        <v/>
      </c>
      <c r="EI56" s="108" t="str">
        <f t="shared" si="83"/>
        <v/>
      </c>
      <c r="EJ56" s="108" t="str">
        <f t="shared" si="83"/>
        <v/>
      </c>
      <c r="EK56" s="108" t="str">
        <f t="shared" si="84"/>
        <v/>
      </c>
      <c r="EL56" s="108" t="str">
        <f t="shared" si="84"/>
        <v/>
      </c>
      <c r="EM56" s="108" t="str">
        <f t="shared" si="84"/>
        <v/>
      </c>
      <c r="EN56" s="108" t="str">
        <f t="shared" si="84"/>
        <v/>
      </c>
      <c r="EO56" s="108" t="str">
        <f t="shared" si="84"/>
        <v/>
      </c>
      <c r="EP56" s="108" t="str">
        <f t="shared" si="84"/>
        <v/>
      </c>
      <c r="EQ56" s="108" t="str">
        <f t="shared" si="84"/>
        <v/>
      </c>
      <c r="ER56" s="108" t="str">
        <f t="shared" si="84"/>
        <v/>
      </c>
      <c r="ES56" s="109" t="str">
        <f t="shared" si="84"/>
        <v/>
      </c>
      <c r="ET56" s="108" t="str">
        <f t="shared" si="84"/>
        <v/>
      </c>
      <c r="EU56" s="108" t="str">
        <f t="shared" si="85"/>
        <v/>
      </c>
      <c r="EV56" s="108" t="str">
        <f t="shared" si="85"/>
        <v/>
      </c>
      <c r="EW56" s="108" t="str">
        <f t="shared" si="85"/>
        <v/>
      </c>
      <c r="EX56" s="108" t="str">
        <f t="shared" si="85"/>
        <v/>
      </c>
      <c r="EY56" s="108" t="str">
        <f t="shared" si="85"/>
        <v/>
      </c>
      <c r="EZ56" s="108" t="str">
        <f t="shared" si="85"/>
        <v/>
      </c>
      <c r="FA56" s="108" t="str">
        <f t="shared" si="85"/>
        <v/>
      </c>
      <c r="FB56" s="108" t="str">
        <f t="shared" si="85"/>
        <v/>
      </c>
      <c r="FC56" s="108" t="str">
        <f t="shared" si="85"/>
        <v/>
      </c>
      <c r="FD56" s="108" t="str">
        <f t="shared" si="85"/>
        <v/>
      </c>
      <c r="FE56" s="108" t="str">
        <f t="shared" si="86"/>
        <v/>
      </c>
      <c r="FF56" s="109" t="str">
        <f t="shared" si="86"/>
        <v/>
      </c>
      <c r="FG56" s="108" t="str">
        <f t="shared" si="86"/>
        <v/>
      </c>
      <c r="FH56" s="108" t="str">
        <f t="shared" si="86"/>
        <v/>
      </c>
      <c r="FI56" s="108" t="str">
        <f t="shared" si="86"/>
        <v/>
      </c>
      <c r="FJ56" s="108" t="str">
        <f t="shared" si="86"/>
        <v/>
      </c>
      <c r="FK56" s="108" t="str">
        <f t="shared" si="86"/>
        <v/>
      </c>
      <c r="FL56" s="108" t="str">
        <f t="shared" si="86"/>
        <v/>
      </c>
      <c r="FM56" s="108" t="str">
        <f t="shared" si="86"/>
        <v/>
      </c>
      <c r="FN56" s="108" t="str">
        <f t="shared" si="86"/>
        <v/>
      </c>
      <c r="FO56" s="108" t="str">
        <f t="shared" si="87"/>
        <v/>
      </c>
      <c r="FP56" s="108" t="str">
        <f t="shared" si="87"/>
        <v/>
      </c>
      <c r="FQ56" s="108" t="str">
        <f t="shared" si="87"/>
        <v/>
      </c>
      <c r="FR56" s="108" t="str">
        <f t="shared" si="87"/>
        <v/>
      </c>
      <c r="FS56" s="108" t="str">
        <f t="shared" si="87"/>
        <v/>
      </c>
      <c r="FT56" s="108" t="str">
        <f t="shared" si="87"/>
        <v/>
      </c>
      <c r="FU56" s="108" t="str">
        <f t="shared" si="87"/>
        <v/>
      </c>
      <c r="FV56" s="108" t="str">
        <f t="shared" si="87"/>
        <v/>
      </c>
      <c r="FW56" s="110" t="str">
        <f t="shared" si="87"/>
        <v/>
      </c>
    </row>
    <row r="57" spans="2:179" s="101" customFormat="1" ht="21" customHeight="1" x14ac:dyDescent="0.35">
      <c r="B57" s="27" t="e">
        <f>Portfolio_Daten!#REF!</f>
        <v>#REF!</v>
      </c>
      <c r="C57" s="27">
        <f>Portfolio_Daten!B58</f>
        <v>0</v>
      </c>
      <c r="D57" s="28">
        <f>Portfolio_Daten!E58</f>
        <v>0</v>
      </c>
      <c r="E57" s="31">
        <f>Portfolio_Daten!T58</f>
        <v>0</v>
      </c>
      <c r="F57" s="31">
        <f>Portfolio_Daten!U58</f>
        <v>0</v>
      </c>
      <c r="G57" s="107">
        <f>IF(F57="","",NETWORKDAYS(E57,F57,Parameter!$C$4:$C$51))</f>
        <v>0</v>
      </c>
      <c r="H57" s="29">
        <f>Portfolio_Daten!AG58</f>
        <v>0</v>
      </c>
      <c r="I57" s="33">
        <f>Portfolio_Daten!AI58</f>
        <v>0</v>
      </c>
      <c r="J57" s="106"/>
      <c r="K57" s="108" t="str">
        <f t="shared" ref="K57:T66" si="88">IF(K$5=($F57-WEEKDAY($F57,2)+1),"u","")</f>
        <v/>
      </c>
      <c r="L57" s="108" t="str">
        <f t="shared" si="88"/>
        <v/>
      </c>
      <c r="M57" s="108" t="str">
        <f t="shared" si="88"/>
        <v/>
      </c>
      <c r="N57" s="108" t="str">
        <f t="shared" si="88"/>
        <v/>
      </c>
      <c r="O57" s="108" t="str">
        <f t="shared" si="88"/>
        <v/>
      </c>
      <c r="P57" s="108" t="str">
        <f t="shared" si="88"/>
        <v/>
      </c>
      <c r="Q57" s="108" t="str">
        <f t="shared" si="88"/>
        <v/>
      </c>
      <c r="R57" s="108" t="str">
        <f t="shared" si="88"/>
        <v/>
      </c>
      <c r="S57" s="108" t="str">
        <f t="shared" si="88"/>
        <v/>
      </c>
      <c r="T57" s="108" t="str">
        <f t="shared" si="88"/>
        <v/>
      </c>
      <c r="U57" s="108" t="str">
        <f t="shared" ref="U57:AD66" si="89">IF(U$5=($F57-WEEKDAY($F57,2)+1),"u","")</f>
        <v/>
      </c>
      <c r="V57" s="108" t="str">
        <f t="shared" si="89"/>
        <v/>
      </c>
      <c r="W57" s="108" t="str">
        <f t="shared" si="89"/>
        <v/>
      </c>
      <c r="X57" s="108" t="str">
        <f t="shared" si="89"/>
        <v/>
      </c>
      <c r="Y57" s="108" t="str">
        <f t="shared" si="89"/>
        <v/>
      </c>
      <c r="Z57" s="108" t="str">
        <f t="shared" si="89"/>
        <v/>
      </c>
      <c r="AA57" s="108" t="str">
        <f t="shared" si="89"/>
        <v/>
      </c>
      <c r="AB57" s="108" t="str">
        <f t="shared" si="89"/>
        <v/>
      </c>
      <c r="AC57" s="108" t="str">
        <f t="shared" si="89"/>
        <v/>
      </c>
      <c r="AD57" s="108" t="str">
        <f t="shared" si="89"/>
        <v/>
      </c>
      <c r="AE57" s="108" t="str">
        <f t="shared" ref="AE57:AN66" si="90">IF(AE$5=($F57-WEEKDAY($F57,2)+1),"u","")</f>
        <v/>
      </c>
      <c r="AF57" s="108" t="str">
        <f t="shared" si="90"/>
        <v/>
      </c>
      <c r="AG57" s="108" t="str">
        <f t="shared" si="90"/>
        <v/>
      </c>
      <c r="AH57" s="108" t="str">
        <f t="shared" si="90"/>
        <v/>
      </c>
      <c r="AI57" s="108" t="str">
        <f t="shared" si="90"/>
        <v/>
      </c>
      <c r="AJ57" s="108" t="str">
        <f t="shared" si="90"/>
        <v/>
      </c>
      <c r="AK57" s="108" t="str">
        <f t="shared" si="90"/>
        <v/>
      </c>
      <c r="AL57" s="108" t="str">
        <f t="shared" si="90"/>
        <v/>
      </c>
      <c r="AM57" s="108" t="str">
        <f t="shared" si="90"/>
        <v/>
      </c>
      <c r="AN57" s="108" t="str">
        <f t="shared" si="90"/>
        <v/>
      </c>
      <c r="AO57" s="108" t="str">
        <f t="shared" ref="AO57:AX66" si="91">IF(AO$5=($F57-WEEKDAY($F57,2)+1),"u","")</f>
        <v/>
      </c>
      <c r="AP57" s="108" t="str">
        <f t="shared" si="91"/>
        <v/>
      </c>
      <c r="AQ57" s="108" t="str">
        <f t="shared" si="91"/>
        <v/>
      </c>
      <c r="AR57" s="108" t="str">
        <f t="shared" si="91"/>
        <v/>
      </c>
      <c r="AS57" s="108" t="str">
        <f t="shared" si="91"/>
        <v/>
      </c>
      <c r="AT57" s="108" t="str">
        <f t="shared" si="91"/>
        <v/>
      </c>
      <c r="AU57" s="108" t="str">
        <f t="shared" si="91"/>
        <v/>
      </c>
      <c r="AV57" s="108" t="str">
        <f t="shared" si="91"/>
        <v/>
      </c>
      <c r="AW57" s="108" t="str">
        <f t="shared" si="91"/>
        <v/>
      </c>
      <c r="AX57" s="108" t="str">
        <f t="shared" si="91"/>
        <v/>
      </c>
      <c r="AY57" s="108" t="str">
        <f t="shared" ref="AY57:BH66" si="92">IF(AY$5=($F57-WEEKDAY($F57,2)+1),"u","")</f>
        <v/>
      </c>
      <c r="AZ57" s="108" t="str">
        <f t="shared" si="92"/>
        <v/>
      </c>
      <c r="BA57" s="108" t="str">
        <f t="shared" si="92"/>
        <v/>
      </c>
      <c r="BB57" s="108" t="str">
        <f t="shared" si="92"/>
        <v/>
      </c>
      <c r="BC57" s="108" t="str">
        <f t="shared" si="92"/>
        <v/>
      </c>
      <c r="BD57" s="108" t="str">
        <f t="shared" si="92"/>
        <v/>
      </c>
      <c r="BE57" s="108" t="str">
        <f t="shared" si="92"/>
        <v/>
      </c>
      <c r="BF57" s="108" t="str">
        <f t="shared" si="92"/>
        <v/>
      </c>
      <c r="BG57" s="108" t="str">
        <f t="shared" si="92"/>
        <v/>
      </c>
      <c r="BH57" s="108" t="str">
        <f t="shared" si="92"/>
        <v/>
      </c>
      <c r="BI57" s="108" t="str">
        <f t="shared" ref="BI57:BR66" si="93">IF(BI$5=($F57-WEEKDAY($F57,2)+1),"u","")</f>
        <v/>
      </c>
      <c r="BJ57" s="108" t="str">
        <f t="shared" si="93"/>
        <v/>
      </c>
      <c r="BK57" s="108" t="str">
        <f t="shared" si="93"/>
        <v/>
      </c>
      <c r="BL57" s="108" t="str">
        <f t="shared" si="93"/>
        <v/>
      </c>
      <c r="BM57" s="108" t="str">
        <f t="shared" si="93"/>
        <v/>
      </c>
      <c r="BN57" s="108" t="str">
        <f t="shared" si="93"/>
        <v/>
      </c>
      <c r="BO57" s="108" t="str">
        <f t="shared" si="93"/>
        <v/>
      </c>
      <c r="BP57" s="108" t="str">
        <f t="shared" si="93"/>
        <v/>
      </c>
      <c r="BQ57" s="108" t="str">
        <f t="shared" si="93"/>
        <v/>
      </c>
      <c r="BR57" s="108" t="str">
        <f t="shared" si="93"/>
        <v/>
      </c>
      <c r="BS57" s="108" t="str">
        <f t="shared" ref="BS57:CB66" si="94">IF(BS$5=($F57-WEEKDAY($F57,2)+1),"u","")</f>
        <v/>
      </c>
      <c r="BT57" s="108" t="str">
        <f t="shared" si="94"/>
        <v/>
      </c>
      <c r="BU57" s="108" t="str">
        <f t="shared" si="94"/>
        <v/>
      </c>
      <c r="BV57" s="108" t="str">
        <f t="shared" si="94"/>
        <v/>
      </c>
      <c r="BW57" s="108" t="str">
        <f t="shared" si="94"/>
        <v/>
      </c>
      <c r="BX57" s="108" t="str">
        <f t="shared" si="94"/>
        <v/>
      </c>
      <c r="BY57" s="108" t="str">
        <f t="shared" si="94"/>
        <v/>
      </c>
      <c r="BZ57" s="108" t="str">
        <f t="shared" si="94"/>
        <v/>
      </c>
      <c r="CA57" s="108" t="str">
        <f t="shared" si="94"/>
        <v/>
      </c>
      <c r="CB57" s="108" t="str">
        <f t="shared" si="94"/>
        <v/>
      </c>
      <c r="CC57" s="108" t="str">
        <f t="shared" ref="CC57:CL66" si="95">IF(CC$5=($F57-WEEKDAY($F57,2)+1),"u","")</f>
        <v/>
      </c>
      <c r="CD57" s="108" t="str">
        <f t="shared" si="95"/>
        <v/>
      </c>
      <c r="CE57" s="108" t="str">
        <f t="shared" si="95"/>
        <v/>
      </c>
      <c r="CF57" s="108" t="str">
        <f t="shared" si="95"/>
        <v/>
      </c>
      <c r="CG57" s="108" t="str">
        <f t="shared" si="95"/>
        <v/>
      </c>
      <c r="CH57" s="108" t="str">
        <f t="shared" si="95"/>
        <v/>
      </c>
      <c r="CI57" s="108" t="str">
        <f t="shared" si="95"/>
        <v/>
      </c>
      <c r="CJ57" s="108" t="str">
        <f t="shared" si="95"/>
        <v/>
      </c>
      <c r="CK57" s="108" t="str">
        <f t="shared" si="95"/>
        <v/>
      </c>
      <c r="CL57" s="108" t="str">
        <f t="shared" si="95"/>
        <v/>
      </c>
      <c r="CM57" s="108" t="str">
        <f t="shared" ref="CM57:CV66" si="96">IF(CM$5=($F57-WEEKDAY($F57,2)+1),"u","")</f>
        <v/>
      </c>
      <c r="CN57" s="108" t="str">
        <f t="shared" si="96"/>
        <v/>
      </c>
      <c r="CO57" s="108" t="str">
        <f t="shared" si="96"/>
        <v/>
      </c>
      <c r="CP57" s="108" t="str">
        <f t="shared" si="96"/>
        <v/>
      </c>
      <c r="CQ57" s="108" t="str">
        <f t="shared" si="96"/>
        <v/>
      </c>
      <c r="CR57" s="109" t="str">
        <f t="shared" si="96"/>
        <v/>
      </c>
      <c r="CS57" s="108" t="str">
        <f t="shared" si="96"/>
        <v/>
      </c>
      <c r="CT57" s="108" t="str">
        <f t="shared" si="96"/>
        <v/>
      </c>
      <c r="CU57" s="108" t="str">
        <f t="shared" si="96"/>
        <v/>
      </c>
      <c r="CV57" s="108" t="str">
        <f t="shared" si="96"/>
        <v/>
      </c>
      <c r="CW57" s="108" t="str">
        <f t="shared" ref="CW57:DF66" si="97">IF(CW$5=($F57-WEEKDAY($F57,2)+1),"u","")</f>
        <v/>
      </c>
      <c r="CX57" s="108" t="str">
        <f t="shared" si="97"/>
        <v/>
      </c>
      <c r="CY57" s="108" t="str">
        <f t="shared" si="97"/>
        <v/>
      </c>
      <c r="CZ57" s="109" t="str">
        <f t="shared" si="97"/>
        <v/>
      </c>
      <c r="DA57" s="108" t="str">
        <f t="shared" si="97"/>
        <v/>
      </c>
      <c r="DB57" s="108" t="str">
        <f t="shared" si="97"/>
        <v/>
      </c>
      <c r="DC57" s="108" t="str">
        <f t="shared" si="97"/>
        <v/>
      </c>
      <c r="DD57" s="108" t="str">
        <f t="shared" si="97"/>
        <v/>
      </c>
      <c r="DE57" s="108" t="str">
        <f t="shared" si="97"/>
        <v/>
      </c>
      <c r="DF57" s="108" t="str">
        <f t="shared" si="97"/>
        <v/>
      </c>
      <c r="DG57" s="108" t="str">
        <f t="shared" ref="DG57:DP66" si="98">IF(DG$5=($F57-WEEKDAY($F57,2)+1),"u","")</f>
        <v/>
      </c>
      <c r="DH57" s="109" t="str">
        <f t="shared" si="98"/>
        <v/>
      </c>
      <c r="DI57" s="108" t="str">
        <f t="shared" si="98"/>
        <v/>
      </c>
      <c r="DJ57" s="108" t="str">
        <f t="shared" si="98"/>
        <v/>
      </c>
      <c r="DK57" s="108" t="str">
        <f t="shared" si="98"/>
        <v/>
      </c>
      <c r="DL57" s="108" t="str">
        <f t="shared" si="98"/>
        <v/>
      </c>
      <c r="DM57" s="108" t="str">
        <f t="shared" si="98"/>
        <v/>
      </c>
      <c r="DN57" s="108" t="str">
        <f t="shared" si="98"/>
        <v/>
      </c>
      <c r="DO57" s="109" t="str">
        <f t="shared" si="98"/>
        <v/>
      </c>
      <c r="DP57" s="108" t="str">
        <f t="shared" si="98"/>
        <v/>
      </c>
      <c r="DQ57" s="108" t="str">
        <f t="shared" ref="DQ57:DZ66" si="99">IF(DQ$5=($F57-WEEKDAY($F57,2)+1),"u","")</f>
        <v/>
      </c>
      <c r="DR57" s="108" t="str">
        <f t="shared" si="99"/>
        <v/>
      </c>
      <c r="DS57" s="108" t="str">
        <f t="shared" si="99"/>
        <v/>
      </c>
      <c r="DT57" s="108" t="str">
        <f t="shared" si="99"/>
        <v/>
      </c>
      <c r="DU57" s="108" t="str">
        <f t="shared" si="99"/>
        <v/>
      </c>
      <c r="DV57" s="108" t="str">
        <f t="shared" si="99"/>
        <v/>
      </c>
      <c r="DW57" s="109" t="str">
        <f t="shared" si="99"/>
        <v/>
      </c>
      <c r="DX57" s="108" t="str">
        <f t="shared" si="99"/>
        <v/>
      </c>
      <c r="DY57" s="108" t="str">
        <f t="shared" si="99"/>
        <v/>
      </c>
      <c r="DZ57" s="108" t="str">
        <f t="shared" si="99"/>
        <v/>
      </c>
      <c r="EA57" s="108" t="str">
        <f t="shared" ref="EA57:EJ66" si="100">IF(EA$5=($F57-WEEKDAY($F57,2)+1),"u","")</f>
        <v/>
      </c>
      <c r="EB57" s="108" t="str">
        <f t="shared" si="100"/>
        <v/>
      </c>
      <c r="EC57" s="108" t="str">
        <f t="shared" si="100"/>
        <v/>
      </c>
      <c r="ED57" s="109" t="str">
        <f t="shared" si="100"/>
        <v/>
      </c>
      <c r="EE57" s="108" t="str">
        <f t="shared" si="100"/>
        <v/>
      </c>
      <c r="EF57" s="108" t="str">
        <f t="shared" si="100"/>
        <v/>
      </c>
      <c r="EG57" s="108" t="str">
        <f t="shared" si="100"/>
        <v/>
      </c>
      <c r="EH57" s="108" t="str">
        <f t="shared" si="100"/>
        <v/>
      </c>
      <c r="EI57" s="108" t="str">
        <f t="shared" si="100"/>
        <v/>
      </c>
      <c r="EJ57" s="108" t="str">
        <f t="shared" si="100"/>
        <v/>
      </c>
      <c r="EK57" s="108" t="str">
        <f t="shared" ref="EK57:ET66" si="101">IF(EK$5=($F57-WEEKDAY($F57,2)+1),"u","")</f>
        <v/>
      </c>
      <c r="EL57" s="108" t="str">
        <f t="shared" si="101"/>
        <v/>
      </c>
      <c r="EM57" s="108" t="str">
        <f t="shared" si="101"/>
        <v/>
      </c>
      <c r="EN57" s="108" t="str">
        <f t="shared" si="101"/>
        <v/>
      </c>
      <c r="EO57" s="108" t="str">
        <f t="shared" si="101"/>
        <v/>
      </c>
      <c r="EP57" s="108" t="str">
        <f t="shared" si="101"/>
        <v/>
      </c>
      <c r="EQ57" s="108" t="str">
        <f t="shared" si="101"/>
        <v/>
      </c>
      <c r="ER57" s="108" t="str">
        <f t="shared" si="101"/>
        <v/>
      </c>
      <c r="ES57" s="109" t="str">
        <f t="shared" si="101"/>
        <v/>
      </c>
      <c r="ET57" s="108" t="str">
        <f t="shared" si="101"/>
        <v/>
      </c>
      <c r="EU57" s="108" t="str">
        <f t="shared" ref="EU57:FD66" si="102">IF(EU$5=($F57-WEEKDAY($F57,2)+1),"u","")</f>
        <v/>
      </c>
      <c r="EV57" s="108" t="str">
        <f t="shared" si="102"/>
        <v/>
      </c>
      <c r="EW57" s="108" t="str">
        <f t="shared" si="102"/>
        <v/>
      </c>
      <c r="EX57" s="108" t="str">
        <f t="shared" si="102"/>
        <v/>
      </c>
      <c r="EY57" s="108" t="str">
        <f t="shared" si="102"/>
        <v/>
      </c>
      <c r="EZ57" s="108" t="str">
        <f t="shared" si="102"/>
        <v/>
      </c>
      <c r="FA57" s="108" t="str">
        <f t="shared" si="102"/>
        <v/>
      </c>
      <c r="FB57" s="108" t="str">
        <f t="shared" si="102"/>
        <v/>
      </c>
      <c r="FC57" s="108" t="str">
        <f t="shared" si="102"/>
        <v/>
      </c>
      <c r="FD57" s="108" t="str">
        <f t="shared" si="102"/>
        <v/>
      </c>
      <c r="FE57" s="108" t="str">
        <f t="shared" ref="FE57:FN66" si="103">IF(FE$5=($F57-WEEKDAY($F57,2)+1),"u","")</f>
        <v/>
      </c>
      <c r="FF57" s="109" t="str">
        <f t="shared" si="103"/>
        <v/>
      </c>
      <c r="FG57" s="108" t="str">
        <f t="shared" si="103"/>
        <v/>
      </c>
      <c r="FH57" s="108" t="str">
        <f t="shared" si="103"/>
        <v/>
      </c>
      <c r="FI57" s="108" t="str">
        <f t="shared" si="103"/>
        <v/>
      </c>
      <c r="FJ57" s="108" t="str">
        <f t="shared" si="103"/>
        <v/>
      </c>
      <c r="FK57" s="108" t="str">
        <f t="shared" si="103"/>
        <v/>
      </c>
      <c r="FL57" s="108" t="str">
        <f t="shared" si="103"/>
        <v/>
      </c>
      <c r="FM57" s="108" t="str">
        <f t="shared" si="103"/>
        <v/>
      </c>
      <c r="FN57" s="108" t="str">
        <f t="shared" si="103"/>
        <v/>
      </c>
      <c r="FO57" s="108" t="str">
        <f t="shared" ref="FO57:FW66" si="104">IF(FO$5=($F57-WEEKDAY($F57,2)+1),"u","")</f>
        <v/>
      </c>
      <c r="FP57" s="108" t="str">
        <f t="shared" si="104"/>
        <v/>
      </c>
      <c r="FQ57" s="108" t="str">
        <f t="shared" si="104"/>
        <v/>
      </c>
      <c r="FR57" s="108" t="str">
        <f t="shared" si="104"/>
        <v/>
      </c>
      <c r="FS57" s="108" t="str">
        <f t="shared" si="104"/>
        <v/>
      </c>
      <c r="FT57" s="108" t="str">
        <f t="shared" si="104"/>
        <v/>
      </c>
      <c r="FU57" s="108" t="str">
        <f t="shared" si="104"/>
        <v/>
      </c>
      <c r="FV57" s="108" t="str">
        <f t="shared" si="104"/>
        <v/>
      </c>
      <c r="FW57" s="110" t="str">
        <f t="shared" si="104"/>
        <v/>
      </c>
    </row>
    <row r="58" spans="2:179" s="101" customFormat="1" ht="21" customHeight="1" x14ac:dyDescent="0.35">
      <c r="B58" s="27" t="e">
        <f>Portfolio_Daten!#REF!</f>
        <v>#REF!</v>
      </c>
      <c r="C58" s="27">
        <f>Portfolio_Daten!B59</f>
        <v>0</v>
      </c>
      <c r="D58" s="28">
        <f>Portfolio_Daten!E59</f>
        <v>0</v>
      </c>
      <c r="E58" s="31">
        <f>Portfolio_Daten!T59</f>
        <v>0</v>
      </c>
      <c r="F58" s="31">
        <f>Portfolio_Daten!U59</f>
        <v>0</v>
      </c>
      <c r="G58" s="107">
        <f>IF(F58="","",NETWORKDAYS(E58,F58,Parameter!$C$4:$C$51))</f>
        <v>0</v>
      </c>
      <c r="H58" s="29">
        <f>Portfolio_Daten!AG59</f>
        <v>0</v>
      </c>
      <c r="I58" s="33">
        <f>Portfolio_Daten!AI59</f>
        <v>0</v>
      </c>
      <c r="J58" s="106"/>
      <c r="K58" s="108" t="str">
        <f t="shared" si="88"/>
        <v/>
      </c>
      <c r="L58" s="108" t="str">
        <f t="shared" si="88"/>
        <v/>
      </c>
      <c r="M58" s="108" t="str">
        <f t="shared" si="88"/>
        <v/>
      </c>
      <c r="N58" s="108" t="str">
        <f t="shared" si="88"/>
        <v/>
      </c>
      <c r="O58" s="108" t="str">
        <f t="shared" si="88"/>
        <v/>
      </c>
      <c r="P58" s="108" t="str">
        <f t="shared" si="88"/>
        <v/>
      </c>
      <c r="Q58" s="108" t="str">
        <f t="shared" si="88"/>
        <v/>
      </c>
      <c r="R58" s="108" t="str">
        <f t="shared" si="88"/>
        <v/>
      </c>
      <c r="S58" s="108" t="str">
        <f t="shared" si="88"/>
        <v/>
      </c>
      <c r="T58" s="108" t="str">
        <f t="shared" si="88"/>
        <v/>
      </c>
      <c r="U58" s="108" t="str">
        <f t="shared" si="89"/>
        <v/>
      </c>
      <c r="V58" s="108" t="str">
        <f t="shared" si="89"/>
        <v/>
      </c>
      <c r="W58" s="108" t="str">
        <f t="shared" si="89"/>
        <v/>
      </c>
      <c r="X58" s="108" t="str">
        <f t="shared" si="89"/>
        <v/>
      </c>
      <c r="Y58" s="108" t="str">
        <f t="shared" si="89"/>
        <v/>
      </c>
      <c r="Z58" s="108" t="str">
        <f t="shared" si="89"/>
        <v/>
      </c>
      <c r="AA58" s="108" t="str">
        <f t="shared" si="89"/>
        <v/>
      </c>
      <c r="AB58" s="108" t="str">
        <f t="shared" si="89"/>
        <v/>
      </c>
      <c r="AC58" s="108" t="str">
        <f t="shared" si="89"/>
        <v/>
      </c>
      <c r="AD58" s="108" t="str">
        <f t="shared" si="89"/>
        <v/>
      </c>
      <c r="AE58" s="108" t="str">
        <f t="shared" si="90"/>
        <v/>
      </c>
      <c r="AF58" s="108" t="str">
        <f t="shared" si="90"/>
        <v/>
      </c>
      <c r="AG58" s="108" t="str">
        <f t="shared" si="90"/>
        <v/>
      </c>
      <c r="AH58" s="108" t="str">
        <f t="shared" si="90"/>
        <v/>
      </c>
      <c r="AI58" s="108" t="str">
        <f t="shared" si="90"/>
        <v/>
      </c>
      <c r="AJ58" s="108" t="str">
        <f t="shared" si="90"/>
        <v/>
      </c>
      <c r="AK58" s="108" t="str">
        <f t="shared" si="90"/>
        <v/>
      </c>
      <c r="AL58" s="108" t="str">
        <f t="shared" si="90"/>
        <v/>
      </c>
      <c r="AM58" s="108" t="str">
        <f t="shared" si="90"/>
        <v/>
      </c>
      <c r="AN58" s="108" t="str">
        <f t="shared" si="90"/>
        <v/>
      </c>
      <c r="AO58" s="108" t="str">
        <f t="shared" si="91"/>
        <v/>
      </c>
      <c r="AP58" s="108" t="str">
        <f t="shared" si="91"/>
        <v/>
      </c>
      <c r="AQ58" s="108" t="str">
        <f t="shared" si="91"/>
        <v/>
      </c>
      <c r="AR58" s="108" t="str">
        <f t="shared" si="91"/>
        <v/>
      </c>
      <c r="AS58" s="108" t="str">
        <f t="shared" si="91"/>
        <v/>
      </c>
      <c r="AT58" s="108" t="str">
        <f t="shared" si="91"/>
        <v/>
      </c>
      <c r="AU58" s="108" t="str">
        <f t="shared" si="91"/>
        <v/>
      </c>
      <c r="AV58" s="108" t="str">
        <f t="shared" si="91"/>
        <v/>
      </c>
      <c r="AW58" s="108" t="str">
        <f t="shared" si="91"/>
        <v/>
      </c>
      <c r="AX58" s="108" t="str">
        <f t="shared" si="91"/>
        <v/>
      </c>
      <c r="AY58" s="108" t="str">
        <f t="shared" si="92"/>
        <v/>
      </c>
      <c r="AZ58" s="108" t="str">
        <f t="shared" si="92"/>
        <v/>
      </c>
      <c r="BA58" s="108" t="str">
        <f t="shared" si="92"/>
        <v/>
      </c>
      <c r="BB58" s="108" t="str">
        <f t="shared" si="92"/>
        <v/>
      </c>
      <c r="BC58" s="108" t="str">
        <f t="shared" si="92"/>
        <v/>
      </c>
      <c r="BD58" s="108" t="str">
        <f t="shared" si="92"/>
        <v/>
      </c>
      <c r="BE58" s="108" t="str">
        <f t="shared" si="92"/>
        <v/>
      </c>
      <c r="BF58" s="108" t="str">
        <f t="shared" si="92"/>
        <v/>
      </c>
      <c r="BG58" s="108" t="str">
        <f t="shared" si="92"/>
        <v/>
      </c>
      <c r="BH58" s="108" t="str">
        <f t="shared" si="92"/>
        <v/>
      </c>
      <c r="BI58" s="108" t="str">
        <f t="shared" si="93"/>
        <v/>
      </c>
      <c r="BJ58" s="108" t="str">
        <f t="shared" si="93"/>
        <v/>
      </c>
      <c r="BK58" s="108" t="str">
        <f t="shared" si="93"/>
        <v/>
      </c>
      <c r="BL58" s="108" t="str">
        <f t="shared" si="93"/>
        <v/>
      </c>
      <c r="BM58" s="108" t="str">
        <f t="shared" si="93"/>
        <v/>
      </c>
      <c r="BN58" s="108" t="str">
        <f t="shared" si="93"/>
        <v/>
      </c>
      <c r="BO58" s="108" t="str">
        <f t="shared" si="93"/>
        <v/>
      </c>
      <c r="BP58" s="108" t="str">
        <f t="shared" si="93"/>
        <v/>
      </c>
      <c r="BQ58" s="108" t="str">
        <f t="shared" si="93"/>
        <v/>
      </c>
      <c r="BR58" s="108" t="str">
        <f t="shared" si="93"/>
        <v/>
      </c>
      <c r="BS58" s="108" t="str">
        <f t="shared" si="94"/>
        <v/>
      </c>
      <c r="BT58" s="108" t="str">
        <f t="shared" si="94"/>
        <v/>
      </c>
      <c r="BU58" s="108" t="str">
        <f t="shared" si="94"/>
        <v/>
      </c>
      <c r="BV58" s="108" t="str">
        <f t="shared" si="94"/>
        <v/>
      </c>
      <c r="BW58" s="108" t="str">
        <f t="shared" si="94"/>
        <v/>
      </c>
      <c r="BX58" s="108" t="str">
        <f t="shared" si="94"/>
        <v/>
      </c>
      <c r="BY58" s="108" t="str">
        <f t="shared" si="94"/>
        <v/>
      </c>
      <c r="BZ58" s="108" t="str">
        <f t="shared" si="94"/>
        <v/>
      </c>
      <c r="CA58" s="108" t="str">
        <f t="shared" si="94"/>
        <v/>
      </c>
      <c r="CB58" s="108" t="str">
        <f t="shared" si="94"/>
        <v/>
      </c>
      <c r="CC58" s="108" t="str">
        <f t="shared" si="95"/>
        <v/>
      </c>
      <c r="CD58" s="108" t="str">
        <f t="shared" si="95"/>
        <v/>
      </c>
      <c r="CE58" s="108" t="str">
        <f t="shared" si="95"/>
        <v/>
      </c>
      <c r="CF58" s="108" t="str">
        <f t="shared" si="95"/>
        <v/>
      </c>
      <c r="CG58" s="108" t="str">
        <f t="shared" si="95"/>
        <v/>
      </c>
      <c r="CH58" s="108" t="str">
        <f t="shared" si="95"/>
        <v/>
      </c>
      <c r="CI58" s="108" t="str">
        <f t="shared" si="95"/>
        <v/>
      </c>
      <c r="CJ58" s="108" t="str">
        <f t="shared" si="95"/>
        <v/>
      </c>
      <c r="CK58" s="108" t="str">
        <f t="shared" si="95"/>
        <v/>
      </c>
      <c r="CL58" s="108" t="str">
        <f t="shared" si="95"/>
        <v/>
      </c>
      <c r="CM58" s="108" t="str">
        <f t="shared" si="96"/>
        <v/>
      </c>
      <c r="CN58" s="108" t="str">
        <f t="shared" si="96"/>
        <v/>
      </c>
      <c r="CO58" s="108" t="str">
        <f t="shared" si="96"/>
        <v/>
      </c>
      <c r="CP58" s="108" t="str">
        <f t="shared" si="96"/>
        <v/>
      </c>
      <c r="CQ58" s="108" t="str">
        <f t="shared" si="96"/>
        <v/>
      </c>
      <c r="CR58" s="109" t="str">
        <f t="shared" si="96"/>
        <v/>
      </c>
      <c r="CS58" s="108" t="str">
        <f t="shared" si="96"/>
        <v/>
      </c>
      <c r="CT58" s="108" t="str">
        <f t="shared" si="96"/>
        <v/>
      </c>
      <c r="CU58" s="108" t="str">
        <f t="shared" si="96"/>
        <v/>
      </c>
      <c r="CV58" s="108" t="str">
        <f t="shared" si="96"/>
        <v/>
      </c>
      <c r="CW58" s="108" t="str">
        <f t="shared" si="97"/>
        <v/>
      </c>
      <c r="CX58" s="108" t="str">
        <f t="shared" si="97"/>
        <v/>
      </c>
      <c r="CY58" s="108" t="str">
        <f t="shared" si="97"/>
        <v/>
      </c>
      <c r="CZ58" s="109" t="str">
        <f t="shared" si="97"/>
        <v/>
      </c>
      <c r="DA58" s="108" t="str">
        <f t="shared" si="97"/>
        <v/>
      </c>
      <c r="DB58" s="108" t="str">
        <f t="shared" si="97"/>
        <v/>
      </c>
      <c r="DC58" s="108" t="str">
        <f t="shared" si="97"/>
        <v/>
      </c>
      <c r="DD58" s="108" t="str">
        <f t="shared" si="97"/>
        <v/>
      </c>
      <c r="DE58" s="108" t="str">
        <f t="shared" si="97"/>
        <v/>
      </c>
      <c r="DF58" s="108" t="str">
        <f t="shared" si="97"/>
        <v/>
      </c>
      <c r="DG58" s="108" t="str">
        <f t="shared" si="98"/>
        <v/>
      </c>
      <c r="DH58" s="109" t="str">
        <f t="shared" si="98"/>
        <v/>
      </c>
      <c r="DI58" s="108" t="str">
        <f t="shared" si="98"/>
        <v/>
      </c>
      <c r="DJ58" s="108" t="str">
        <f t="shared" si="98"/>
        <v/>
      </c>
      <c r="DK58" s="108" t="str">
        <f t="shared" si="98"/>
        <v/>
      </c>
      <c r="DL58" s="108" t="str">
        <f t="shared" si="98"/>
        <v/>
      </c>
      <c r="DM58" s="108" t="str">
        <f t="shared" si="98"/>
        <v/>
      </c>
      <c r="DN58" s="108" t="str">
        <f t="shared" si="98"/>
        <v/>
      </c>
      <c r="DO58" s="109" t="str">
        <f t="shared" si="98"/>
        <v/>
      </c>
      <c r="DP58" s="108" t="str">
        <f t="shared" si="98"/>
        <v/>
      </c>
      <c r="DQ58" s="108" t="str">
        <f t="shared" si="99"/>
        <v/>
      </c>
      <c r="DR58" s="108" t="str">
        <f t="shared" si="99"/>
        <v/>
      </c>
      <c r="DS58" s="108" t="str">
        <f t="shared" si="99"/>
        <v/>
      </c>
      <c r="DT58" s="108" t="str">
        <f t="shared" si="99"/>
        <v/>
      </c>
      <c r="DU58" s="108" t="str">
        <f t="shared" si="99"/>
        <v/>
      </c>
      <c r="DV58" s="108" t="str">
        <f t="shared" si="99"/>
        <v/>
      </c>
      <c r="DW58" s="109" t="str">
        <f t="shared" si="99"/>
        <v/>
      </c>
      <c r="DX58" s="108" t="str">
        <f t="shared" si="99"/>
        <v/>
      </c>
      <c r="DY58" s="108" t="str">
        <f t="shared" si="99"/>
        <v/>
      </c>
      <c r="DZ58" s="108" t="str">
        <f t="shared" si="99"/>
        <v/>
      </c>
      <c r="EA58" s="108" t="str">
        <f t="shared" si="100"/>
        <v/>
      </c>
      <c r="EB58" s="108" t="str">
        <f t="shared" si="100"/>
        <v/>
      </c>
      <c r="EC58" s="108" t="str">
        <f t="shared" si="100"/>
        <v/>
      </c>
      <c r="ED58" s="109" t="str">
        <f t="shared" si="100"/>
        <v/>
      </c>
      <c r="EE58" s="108" t="str">
        <f t="shared" si="100"/>
        <v/>
      </c>
      <c r="EF58" s="108" t="str">
        <f t="shared" si="100"/>
        <v/>
      </c>
      <c r="EG58" s="108" t="str">
        <f t="shared" si="100"/>
        <v/>
      </c>
      <c r="EH58" s="108" t="str">
        <f t="shared" si="100"/>
        <v/>
      </c>
      <c r="EI58" s="108" t="str">
        <f t="shared" si="100"/>
        <v/>
      </c>
      <c r="EJ58" s="108" t="str">
        <f t="shared" si="100"/>
        <v/>
      </c>
      <c r="EK58" s="108" t="str">
        <f t="shared" si="101"/>
        <v/>
      </c>
      <c r="EL58" s="108" t="str">
        <f t="shared" si="101"/>
        <v/>
      </c>
      <c r="EM58" s="108" t="str">
        <f t="shared" si="101"/>
        <v/>
      </c>
      <c r="EN58" s="108" t="str">
        <f t="shared" si="101"/>
        <v/>
      </c>
      <c r="EO58" s="108" t="str">
        <f t="shared" si="101"/>
        <v/>
      </c>
      <c r="EP58" s="108" t="str">
        <f t="shared" si="101"/>
        <v/>
      </c>
      <c r="EQ58" s="108" t="str">
        <f t="shared" si="101"/>
        <v/>
      </c>
      <c r="ER58" s="108" t="str">
        <f t="shared" si="101"/>
        <v/>
      </c>
      <c r="ES58" s="109" t="str">
        <f t="shared" si="101"/>
        <v/>
      </c>
      <c r="ET58" s="108" t="str">
        <f t="shared" si="101"/>
        <v/>
      </c>
      <c r="EU58" s="108" t="str">
        <f t="shared" si="102"/>
        <v/>
      </c>
      <c r="EV58" s="108" t="str">
        <f t="shared" si="102"/>
        <v/>
      </c>
      <c r="EW58" s="108" t="str">
        <f t="shared" si="102"/>
        <v/>
      </c>
      <c r="EX58" s="108" t="str">
        <f t="shared" si="102"/>
        <v/>
      </c>
      <c r="EY58" s="108" t="str">
        <f t="shared" si="102"/>
        <v/>
      </c>
      <c r="EZ58" s="108" t="str">
        <f t="shared" si="102"/>
        <v/>
      </c>
      <c r="FA58" s="108" t="str">
        <f t="shared" si="102"/>
        <v/>
      </c>
      <c r="FB58" s="108" t="str">
        <f t="shared" si="102"/>
        <v/>
      </c>
      <c r="FC58" s="108" t="str">
        <f t="shared" si="102"/>
        <v/>
      </c>
      <c r="FD58" s="108" t="str">
        <f t="shared" si="102"/>
        <v/>
      </c>
      <c r="FE58" s="108" t="str">
        <f t="shared" si="103"/>
        <v/>
      </c>
      <c r="FF58" s="109" t="str">
        <f t="shared" si="103"/>
        <v/>
      </c>
      <c r="FG58" s="108" t="str">
        <f t="shared" si="103"/>
        <v/>
      </c>
      <c r="FH58" s="108" t="str">
        <f t="shared" si="103"/>
        <v/>
      </c>
      <c r="FI58" s="108" t="str">
        <f t="shared" si="103"/>
        <v/>
      </c>
      <c r="FJ58" s="108" t="str">
        <f t="shared" si="103"/>
        <v/>
      </c>
      <c r="FK58" s="108" t="str">
        <f t="shared" si="103"/>
        <v/>
      </c>
      <c r="FL58" s="108" t="str">
        <f t="shared" si="103"/>
        <v/>
      </c>
      <c r="FM58" s="108" t="str">
        <f t="shared" si="103"/>
        <v/>
      </c>
      <c r="FN58" s="108" t="str">
        <f t="shared" si="103"/>
        <v/>
      </c>
      <c r="FO58" s="108" t="str">
        <f t="shared" si="104"/>
        <v/>
      </c>
      <c r="FP58" s="108" t="str">
        <f t="shared" si="104"/>
        <v/>
      </c>
      <c r="FQ58" s="108" t="str">
        <f t="shared" si="104"/>
        <v/>
      </c>
      <c r="FR58" s="108" t="str">
        <f t="shared" si="104"/>
        <v/>
      </c>
      <c r="FS58" s="108" t="str">
        <f t="shared" si="104"/>
        <v/>
      </c>
      <c r="FT58" s="108" t="str">
        <f t="shared" si="104"/>
        <v/>
      </c>
      <c r="FU58" s="108" t="str">
        <f t="shared" si="104"/>
        <v/>
      </c>
      <c r="FV58" s="108" t="str">
        <f t="shared" si="104"/>
        <v/>
      </c>
      <c r="FW58" s="110" t="str">
        <f t="shared" si="104"/>
        <v/>
      </c>
    </row>
    <row r="59" spans="2:179" s="101" customFormat="1" ht="21" customHeight="1" x14ac:dyDescent="0.35">
      <c r="B59" s="27" t="e">
        <f>Portfolio_Daten!#REF!</f>
        <v>#REF!</v>
      </c>
      <c r="C59" s="27">
        <f>Portfolio_Daten!B60</f>
        <v>0</v>
      </c>
      <c r="D59" s="28">
        <f>Portfolio_Daten!E60</f>
        <v>0</v>
      </c>
      <c r="E59" s="31">
        <f>Portfolio_Daten!T60</f>
        <v>0</v>
      </c>
      <c r="F59" s="31">
        <f>Portfolio_Daten!U60</f>
        <v>0</v>
      </c>
      <c r="G59" s="107">
        <f>IF(F59="","",NETWORKDAYS(E59,F59,Parameter!$C$4:$C$51))</f>
        <v>0</v>
      </c>
      <c r="H59" s="29">
        <f>Portfolio_Daten!AG60</f>
        <v>0</v>
      </c>
      <c r="I59" s="33">
        <f>Portfolio_Daten!AI60</f>
        <v>0</v>
      </c>
      <c r="J59" s="106"/>
      <c r="K59" s="108" t="str">
        <f t="shared" si="88"/>
        <v/>
      </c>
      <c r="L59" s="108" t="str">
        <f t="shared" si="88"/>
        <v/>
      </c>
      <c r="M59" s="108" t="str">
        <f t="shared" si="88"/>
        <v/>
      </c>
      <c r="N59" s="108" t="str">
        <f t="shared" si="88"/>
        <v/>
      </c>
      <c r="O59" s="108" t="str">
        <f t="shared" si="88"/>
        <v/>
      </c>
      <c r="P59" s="108" t="str">
        <f t="shared" si="88"/>
        <v/>
      </c>
      <c r="Q59" s="108" t="str">
        <f t="shared" si="88"/>
        <v/>
      </c>
      <c r="R59" s="108" t="str">
        <f t="shared" si="88"/>
        <v/>
      </c>
      <c r="S59" s="108" t="str">
        <f t="shared" si="88"/>
        <v/>
      </c>
      <c r="T59" s="108" t="str">
        <f t="shared" si="88"/>
        <v/>
      </c>
      <c r="U59" s="108" t="str">
        <f t="shared" si="89"/>
        <v/>
      </c>
      <c r="V59" s="108" t="str">
        <f t="shared" si="89"/>
        <v/>
      </c>
      <c r="W59" s="108" t="str">
        <f t="shared" si="89"/>
        <v/>
      </c>
      <c r="X59" s="108" t="str">
        <f t="shared" si="89"/>
        <v/>
      </c>
      <c r="Y59" s="108" t="str">
        <f t="shared" si="89"/>
        <v/>
      </c>
      <c r="Z59" s="108" t="str">
        <f t="shared" si="89"/>
        <v/>
      </c>
      <c r="AA59" s="108" t="str">
        <f t="shared" si="89"/>
        <v/>
      </c>
      <c r="AB59" s="108" t="str">
        <f t="shared" si="89"/>
        <v/>
      </c>
      <c r="AC59" s="108" t="str">
        <f t="shared" si="89"/>
        <v/>
      </c>
      <c r="AD59" s="108" t="str">
        <f t="shared" si="89"/>
        <v/>
      </c>
      <c r="AE59" s="108" t="str">
        <f t="shared" si="90"/>
        <v/>
      </c>
      <c r="AF59" s="108" t="str">
        <f t="shared" si="90"/>
        <v/>
      </c>
      <c r="AG59" s="108" t="str">
        <f t="shared" si="90"/>
        <v/>
      </c>
      <c r="AH59" s="108" t="str">
        <f t="shared" si="90"/>
        <v/>
      </c>
      <c r="AI59" s="108" t="str">
        <f t="shared" si="90"/>
        <v/>
      </c>
      <c r="AJ59" s="108" t="str">
        <f t="shared" si="90"/>
        <v/>
      </c>
      <c r="AK59" s="108" t="str">
        <f t="shared" si="90"/>
        <v/>
      </c>
      <c r="AL59" s="108" t="str">
        <f t="shared" si="90"/>
        <v/>
      </c>
      <c r="AM59" s="108" t="str">
        <f t="shared" si="90"/>
        <v/>
      </c>
      <c r="AN59" s="108" t="str">
        <f t="shared" si="90"/>
        <v/>
      </c>
      <c r="AO59" s="108" t="str">
        <f t="shared" si="91"/>
        <v/>
      </c>
      <c r="AP59" s="108" t="str">
        <f t="shared" si="91"/>
        <v/>
      </c>
      <c r="AQ59" s="108" t="str">
        <f t="shared" si="91"/>
        <v/>
      </c>
      <c r="AR59" s="108" t="str">
        <f t="shared" si="91"/>
        <v/>
      </c>
      <c r="AS59" s="108" t="str">
        <f t="shared" si="91"/>
        <v/>
      </c>
      <c r="AT59" s="108" t="str">
        <f t="shared" si="91"/>
        <v/>
      </c>
      <c r="AU59" s="108" t="str">
        <f t="shared" si="91"/>
        <v/>
      </c>
      <c r="AV59" s="108" t="str">
        <f t="shared" si="91"/>
        <v/>
      </c>
      <c r="AW59" s="108" t="str">
        <f t="shared" si="91"/>
        <v/>
      </c>
      <c r="AX59" s="108" t="str">
        <f t="shared" si="91"/>
        <v/>
      </c>
      <c r="AY59" s="108" t="str">
        <f t="shared" si="92"/>
        <v/>
      </c>
      <c r="AZ59" s="108" t="str">
        <f t="shared" si="92"/>
        <v/>
      </c>
      <c r="BA59" s="108" t="str">
        <f t="shared" si="92"/>
        <v/>
      </c>
      <c r="BB59" s="108" t="str">
        <f t="shared" si="92"/>
        <v/>
      </c>
      <c r="BC59" s="108" t="str">
        <f t="shared" si="92"/>
        <v/>
      </c>
      <c r="BD59" s="108" t="str">
        <f t="shared" si="92"/>
        <v/>
      </c>
      <c r="BE59" s="108" t="str">
        <f t="shared" si="92"/>
        <v/>
      </c>
      <c r="BF59" s="108" t="str">
        <f t="shared" si="92"/>
        <v/>
      </c>
      <c r="BG59" s="108" t="str">
        <f t="shared" si="92"/>
        <v/>
      </c>
      <c r="BH59" s="108" t="str">
        <f t="shared" si="92"/>
        <v/>
      </c>
      <c r="BI59" s="108" t="str">
        <f t="shared" si="93"/>
        <v/>
      </c>
      <c r="BJ59" s="108" t="str">
        <f t="shared" si="93"/>
        <v/>
      </c>
      <c r="BK59" s="108" t="str">
        <f t="shared" si="93"/>
        <v/>
      </c>
      <c r="BL59" s="108" t="str">
        <f t="shared" si="93"/>
        <v/>
      </c>
      <c r="BM59" s="108" t="str">
        <f t="shared" si="93"/>
        <v/>
      </c>
      <c r="BN59" s="108" t="str">
        <f t="shared" si="93"/>
        <v/>
      </c>
      <c r="BO59" s="108" t="str">
        <f t="shared" si="93"/>
        <v/>
      </c>
      <c r="BP59" s="108" t="str">
        <f t="shared" si="93"/>
        <v/>
      </c>
      <c r="BQ59" s="108" t="str">
        <f t="shared" si="93"/>
        <v/>
      </c>
      <c r="BR59" s="108" t="str">
        <f t="shared" si="93"/>
        <v/>
      </c>
      <c r="BS59" s="108" t="str">
        <f t="shared" si="94"/>
        <v/>
      </c>
      <c r="BT59" s="108" t="str">
        <f t="shared" si="94"/>
        <v/>
      </c>
      <c r="BU59" s="108" t="str">
        <f t="shared" si="94"/>
        <v/>
      </c>
      <c r="BV59" s="108" t="str">
        <f t="shared" si="94"/>
        <v/>
      </c>
      <c r="BW59" s="108" t="str">
        <f t="shared" si="94"/>
        <v/>
      </c>
      <c r="BX59" s="108" t="str">
        <f t="shared" si="94"/>
        <v/>
      </c>
      <c r="BY59" s="108" t="str">
        <f t="shared" si="94"/>
        <v/>
      </c>
      <c r="BZ59" s="108" t="str">
        <f t="shared" si="94"/>
        <v/>
      </c>
      <c r="CA59" s="108" t="str">
        <f t="shared" si="94"/>
        <v/>
      </c>
      <c r="CB59" s="108" t="str">
        <f t="shared" si="94"/>
        <v/>
      </c>
      <c r="CC59" s="108" t="str">
        <f t="shared" si="95"/>
        <v/>
      </c>
      <c r="CD59" s="108" t="str">
        <f t="shared" si="95"/>
        <v/>
      </c>
      <c r="CE59" s="108" t="str">
        <f t="shared" si="95"/>
        <v/>
      </c>
      <c r="CF59" s="108" t="str">
        <f t="shared" si="95"/>
        <v/>
      </c>
      <c r="CG59" s="108" t="str">
        <f t="shared" si="95"/>
        <v/>
      </c>
      <c r="CH59" s="108" t="str">
        <f t="shared" si="95"/>
        <v/>
      </c>
      <c r="CI59" s="108" t="str">
        <f t="shared" si="95"/>
        <v/>
      </c>
      <c r="CJ59" s="108" t="str">
        <f t="shared" si="95"/>
        <v/>
      </c>
      <c r="CK59" s="108" t="str">
        <f t="shared" si="95"/>
        <v/>
      </c>
      <c r="CL59" s="108" t="str">
        <f t="shared" si="95"/>
        <v/>
      </c>
      <c r="CM59" s="108" t="str">
        <f t="shared" si="96"/>
        <v/>
      </c>
      <c r="CN59" s="108" t="str">
        <f t="shared" si="96"/>
        <v/>
      </c>
      <c r="CO59" s="108" t="str">
        <f t="shared" si="96"/>
        <v/>
      </c>
      <c r="CP59" s="108" t="str">
        <f t="shared" si="96"/>
        <v/>
      </c>
      <c r="CQ59" s="108" t="str">
        <f t="shared" si="96"/>
        <v/>
      </c>
      <c r="CR59" s="109" t="str">
        <f t="shared" si="96"/>
        <v/>
      </c>
      <c r="CS59" s="108" t="str">
        <f t="shared" si="96"/>
        <v/>
      </c>
      <c r="CT59" s="108" t="str">
        <f t="shared" si="96"/>
        <v/>
      </c>
      <c r="CU59" s="108" t="str">
        <f t="shared" si="96"/>
        <v/>
      </c>
      <c r="CV59" s="108" t="str">
        <f t="shared" si="96"/>
        <v/>
      </c>
      <c r="CW59" s="108" t="str">
        <f t="shared" si="97"/>
        <v/>
      </c>
      <c r="CX59" s="108" t="str">
        <f t="shared" si="97"/>
        <v/>
      </c>
      <c r="CY59" s="108" t="str">
        <f t="shared" si="97"/>
        <v/>
      </c>
      <c r="CZ59" s="109" t="str">
        <f t="shared" si="97"/>
        <v/>
      </c>
      <c r="DA59" s="108" t="str">
        <f t="shared" si="97"/>
        <v/>
      </c>
      <c r="DB59" s="108" t="str">
        <f t="shared" si="97"/>
        <v/>
      </c>
      <c r="DC59" s="108" t="str">
        <f t="shared" si="97"/>
        <v/>
      </c>
      <c r="DD59" s="108" t="str">
        <f t="shared" si="97"/>
        <v/>
      </c>
      <c r="DE59" s="108" t="str">
        <f t="shared" si="97"/>
        <v/>
      </c>
      <c r="DF59" s="108" t="str">
        <f t="shared" si="97"/>
        <v/>
      </c>
      <c r="DG59" s="108" t="str">
        <f t="shared" si="98"/>
        <v/>
      </c>
      <c r="DH59" s="109" t="str">
        <f t="shared" si="98"/>
        <v/>
      </c>
      <c r="DI59" s="108" t="str">
        <f t="shared" si="98"/>
        <v/>
      </c>
      <c r="DJ59" s="108" t="str">
        <f t="shared" si="98"/>
        <v/>
      </c>
      <c r="DK59" s="108" t="str">
        <f t="shared" si="98"/>
        <v/>
      </c>
      <c r="DL59" s="108" t="str">
        <f t="shared" si="98"/>
        <v/>
      </c>
      <c r="DM59" s="108" t="str">
        <f t="shared" si="98"/>
        <v/>
      </c>
      <c r="DN59" s="108" t="str">
        <f t="shared" si="98"/>
        <v/>
      </c>
      <c r="DO59" s="109" t="str">
        <f t="shared" si="98"/>
        <v/>
      </c>
      <c r="DP59" s="108" t="str">
        <f t="shared" si="98"/>
        <v/>
      </c>
      <c r="DQ59" s="108" t="str">
        <f t="shared" si="99"/>
        <v/>
      </c>
      <c r="DR59" s="108" t="str">
        <f t="shared" si="99"/>
        <v/>
      </c>
      <c r="DS59" s="108" t="str">
        <f t="shared" si="99"/>
        <v/>
      </c>
      <c r="DT59" s="108" t="str">
        <f t="shared" si="99"/>
        <v/>
      </c>
      <c r="DU59" s="108" t="str">
        <f t="shared" si="99"/>
        <v/>
      </c>
      <c r="DV59" s="108" t="str">
        <f t="shared" si="99"/>
        <v/>
      </c>
      <c r="DW59" s="109" t="str">
        <f t="shared" si="99"/>
        <v/>
      </c>
      <c r="DX59" s="108" t="str">
        <f t="shared" si="99"/>
        <v/>
      </c>
      <c r="DY59" s="108" t="str">
        <f t="shared" si="99"/>
        <v/>
      </c>
      <c r="DZ59" s="108" t="str">
        <f t="shared" si="99"/>
        <v/>
      </c>
      <c r="EA59" s="108" t="str">
        <f t="shared" si="100"/>
        <v/>
      </c>
      <c r="EB59" s="108" t="str">
        <f t="shared" si="100"/>
        <v/>
      </c>
      <c r="EC59" s="108" t="str">
        <f t="shared" si="100"/>
        <v/>
      </c>
      <c r="ED59" s="109" t="str">
        <f t="shared" si="100"/>
        <v/>
      </c>
      <c r="EE59" s="108" t="str">
        <f t="shared" si="100"/>
        <v/>
      </c>
      <c r="EF59" s="108" t="str">
        <f t="shared" si="100"/>
        <v/>
      </c>
      <c r="EG59" s="108" t="str">
        <f t="shared" si="100"/>
        <v/>
      </c>
      <c r="EH59" s="108" t="str">
        <f t="shared" si="100"/>
        <v/>
      </c>
      <c r="EI59" s="108" t="str">
        <f t="shared" si="100"/>
        <v/>
      </c>
      <c r="EJ59" s="108" t="str">
        <f t="shared" si="100"/>
        <v/>
      </c>
      <c r="EK59" s="108" t="str">
        <f t="shared" si="101"/>
        <v/>
      </c>
      <c r="EL59" s="108" t="str">
        <f t="shared" si="101"/>
        <v/>
      </c>
      <c r="EM59" s="108" t="str">
        <f t="shared" si="101"/>
        <v/>
      </c>
      <c r="EN59" s="108" t="str">
        <f t="shared" si="101"/>
        <v/>
      </c>
      <c r="EO59" s="108" t="str">
        <f t="shared" si="101"/>
        <v/>
      </c>
      <c r="EP59" s="108" t="str">
        <f t="shared" si="101"/>
        <v/>
      </c>
      <c r="EQ59" s="108" t="str">
        <f t="shared" si="101"/>
        <v/>
      </c>
      <c r="ER59" s="108" t="str">
        <f t="shared" si="101"/>
        <v/>
      </c>
      <c r="ES59" s="109" t="str">
        <f t="shared" si="101"/>
        <v/>
      </c>
      <c r="ET59" s="108" t="str">
        <f t="shared" si="101"/>
        <v/>
      </c>
      <c r="EU59" s="108" t="str">
        <f t="shared" si="102"/>
        <v/>
      </c>
      <c r="EV59" s="108" t="str">
        <f t="shared" si="102"/>
        <v/>
      </c>
      <c r="EW59" s="108" t="str">
        <f t="shared" si="102"/>
        <v/>
      </c>
      <c r="EX59" s="108" t="str">
        <f t="shared" si="102"/>
        <v/>
      </c>
      <c r="EY59" s="108" t="str">
        <f t="shared" si="102"/>
        <v/>
      </c>
      <c r="EZ59" s="108" t="str">
        <f t="shared" si="102"/>
        <v/>
      </c>
      <c r="FA59" s="108" t="str">
        <f t="shared" si="102"/>
        <v/>
      </c>
      <c r="FB59" s="108" t="str">
        <f t="shared" si="102"/>
        <v/>
      </c>
      <c r="FC59" s="108" t="str">
        <f t="shared" si="102"/>
        <v/>
      </c>
      <c r="FD59" s="108" t="str">
        <f t="shared" si="102"/>
        <v/>
      </c>
      <c r="FE59" s="108" t="str">
        <f t="shared" si="103"/>
        <v/>
      </c>
      <c r="FF59" s="109" t="str">
        <f t="shared" si="103"/>
        <v/>
      </c>
      <c r="FG59" s="108" t="str">
        <f t="shared" si="103"/>
        <v/>
      </c>
      <c r="FH59" s="108" t="str">
        <f t="shared" si="103"/>
        <v/>
      </c>
      <c r="FI59" s="108" t="str">
        <f t="shared" si="103"/>
        <v/>
      </c>
      <c r="FJ59" s="108" t="str">
        <f t="shared" si="103"/>
        <v/>
      </c>
      <c r="FK59" s="108" t="str">
        <f t="shared" si="103"/>
        <v/>
      </c>
      <c r="FL59" s="108" t="str">
        <f t="shared" si="103"/>
        <v/>
      </c>
      <c r="FM59" s="108" t="str">
        <f t="shared" si="103"/>
        <v/>
      </c>
      <c r="FN59" s="108" t="str">
        <f t="shared" si="103"/>
        <v/>
      </c>
      <c r="FO59" s="108" t="str">
        <f t="shared" si="104"/>
        <v/>
      </c>
      <c r="FP59" s="108" t="str">
        <f t="shared" si="104"/>
        <v/>
      </c>
      <c r="FQ59" s="108" t="str">
        <f t="shared" si="104"/>
        <v/>
      </c>
      <c r="FR59" s="108" t="str">
        <f t="shared" si="104"/>
        <v/>
      </c>
      <c r="FS59" s="108" t="str">
        <f t="shared" si="104"/>
        <v/>
      </c>
      <c r="FT59" s="108" t="str">
        <f t="shared" si="104"/>
        <v/>
      </c>
      <c r="FU59" s="108" t="str">
        <f t="shared" si="104"/>
        <v/>
      </c>
      <c r="FV59" s="108" t="str">
        <f t="shared" si="104"/>
        <v/>
      </c>
      <c r="FW59" s="110" t="str">
        <f t="shared" si="104"/>
        <v/>
      </c>
    </row>
    <row r="60" spans="2:179" s="101" customFormat="1" ht="21" customHeight="1" x14ac:dyDescent="0.35">
      <c r="B60" s="27" t="e">
        <f>Portfolio_Daten!#REF!</f>
        <v>#REF!</v>
      </c>
      <c r="C60" s="27">
        <f>Portfolio_Daten!B61</f>
        <v>0</v>
      </c>
      <c r="D60" s="28">
        <f>Portfolio_Daten!E61</f>
        <v>0</v>
      </c>
      <c r="E60" s="31">
        <f>Portfolio_Daten!T61</f>
        <v>0</v>
      </c>
      <c r="F60" s="31">
        <f>Portfolio_Daten!U61</f>
        <v>0</v>
      </c>
      <c r="G60" s="107">
        <f>IF(F60="","",NETWORKDAYS(E60,F60,Parameter!$C$4:$C$51))</f>
        <v>0</v>
      </c>
      <c r="H60" s="29">
        <f>Portfolio_Daten!AG61</f>
        <v>0</v>
      </c>
      <c r="I60" s="33">
        <f>Portfolio_Daten!AI61</f>
        <v>0</v>
      </c>
      <c r="J60" s="106"/>
      <c r="K60" s="108" t="str">
        <f t="shared" si="88"/>
        <v/>
      </c>
      <c r="L60" s="108" t="str">
        <f t="shared" si="88"/>
        <v/>
      </c>
      <c r="M60" s="108" t="str">
        <f t="shared" si="88"/>
        <v/>
      </c>
      <c r="N60" s="108" t="str">
        <f t="shared" si="88"/>
        <v/>
      </c>
      <c r="O60" s="108" t="str">
        <f t="shared" si="88"/>
        <v/>
      </c>
      <c r="P60" s="108" t="str">
        <f t="shared" si="88"/>
        <v/>
      </c>
      <c r="Q60" s="108" t="str">
        <f t="shared" si="88"/>
        <v/>
      </c>
      <c r="R60" s="108" t="str">
        <f t="shared" si="88"/>
        <v/>
      </c>
      <c r="S60" s="108" t="str">
        <f t="shared" si="88"/>
        <v/>
      </c>
      <c r="T60" s="108" t="str">
        <f t="shared" si="88"/>
        <v/>
      </c>
      <c r="U60" s="108" t="str">
        <f t="shared" si="89"/>
        <v/>
      </c>
      <c r="V60" s="108" t="str">
        <f t="shared" si="89"/>
        <v/>
      </c>
      <c r="W60" s="108" t="str">
        <f t="shared" si="89"/>
        <v/>
      </c>
      <c r="X60" s="108" t="str">
        <f t="shared" si="89"/>
        <v/>
      </c>
      <c r="Y60" s="108" t="str">
        <f t="shared" si="89"/>
        <v/>
      </c>
      <c r="Z60" s="108" t="str">
        <f t="shared" si="89"/>
        <v/>
      </c>
      <c r="AA60" s="108" t="str">
        <f t="shared" si="89"/>
        <v/>
      </c>
      <c r="AB60" s="108" t="str">
        <f t="shared" si="89"/>
        <v/>
      </c>
      <c r="AC60" s="108" t="str">
        <f t="shared" si="89"/>
        <v/>
      </c>
      <c r="AD60" s="108" t="str">
        <f t="shared" si="89"/>
        <v/>
      </c>
      <c r="AE60" s="108" t="str">
        <f t="shared" si="90"/>
        <v/>
      </c>
      <c r="AF60" s="108" t="str">
        <f t="shared" si="90"/>
        <v/>
      </c>
      <c r="AG60" s="108" t="str">
        <f t="shared" si="90"/>
        <v/>
      </c>
      <c r="AH60" s="108" t="str">
        <f t="shared" si="90"/>
        <v/>
      </c>
      <c r="AI60" s="108" t="str">
        <f t="shared" si="90"/>
        <v/>
      </c>
      <c r="AJ60" s="108" t="str">
        <f t="shared" si="90"/>
        <v/>
      </c>
      <c r="AK60" s="108" t="str">
        <f t="shared" si="90"/>
        <v/>
      </c>
      <c r="AL60" s="108" t="str">
        <f t="shared" si="90"/>
        <v/>
      </c>
      <c r="AM60" s="108" t="str">
        <f t="shared" si="90"/>
        <v/>
      </c>
      <c r="AN60" s="108" t="str">
        <f t="shared" si="90"/>
        <v/>
      </c>
      <c r="AO60" s="108" t="str">
        <f t="shared" si="91"/>
        <v/>
      </c>
      <c r="AP60" s="108" t="str">
        <f t="shared" si="91"/>
        <v/>
      </c>
      <c r="AQ60" s="108" t="str">
        <f t="shared" si="91"/>
        <v/>
      </c>
      <c r="AR60" s="108" t="str">
        <f t="shared" si="91"/>
        <v/>
      </c>
      <c r="AS60" s="108" t="str">
        <f t="shared" si="91"/>
        <v/>
      </c>
      <c r="AT60" s="108" t="str">
        <f t="shared" si="91"/>
        <v/>
      </c>
      <c r="AU60" s="108" t="str">
        <f t="shared" si="91"/>
        <v/>
      </c>
      <c r="AV60" s="108" t="str">
        <f t="shared" si="91"/>
        <v/>
      </c>
      <c r="AW60" s="108" t="str">
        <f t="shared" si="91"/>
        <v/>
      </c>
      <c r="AX60" s="108" t="str">
        <f t="shared" si="91"/>
        <v/>
      </c>
      <c r="AY60" s="108" t="str">
        <f t="shared" si="92"/>
        <v/>
      </c>
      <c r="AZ60" s="108" t="str">
        <f t="shared" si="92"/>
        <v/>
      </c>
      <c r="BA60" s="108" t="str">
        <f t="shared" si="92"/>
        <v/>
      </c>
      <c r="BB60" s="108" t="str">
        <f t="shared" si="92"/>
        <v/>
      </c>
      <c r="BC60" s="108" t="str">
        <f t="shared" si="92"/>
        <v/>
      </c>
      <c r="BD60" s="108" t="str">
        <f t="shared" si="92"/>
        <v/>
      </c>
      <c r="BE60" s="108" t="str">
        <f t="shared" si="92"/>
        <v/>
      </c>
      <c r="BF60" s="108" t="str">
        <f t="shared" si="92"/>
        <v/>
      </c>
      <c r="BG60" s="108" t="str">
        <f t="shared" si="92"/>
        <v/>
      </c>
      <c r="BH60" s="108" t="str">
        <f t="shared" si="92"/>
        <v/>
      </c>
      <c r="BI60" s="108" t="str">
        <f t="shared" si="93"/>
        <v/>
      </c>
      <c r="BJ60" s="108" t="str">
        <f t="shared" si="93"/>
        <v/>
      </c>
      <c r="BK60" s="108" t="str">
        <f t="shared" si="93"/>
        <v/>
      </c>
      <c r="BL60" s="108" t="str">
        <f t="shared" si="93"/>
        <v/>
      </c>
      <c r="BM60" s="108" t="str">
        <f t="shared" si="93"/>
        <v/>
      </c>
      <c r="BN60" s="108" t="str">
        <f t="shared" si="93"/>
        <v/>
      </c>
      <c r="BO60" s="108" t="str">
        <f t="shared" si="93"/>
        <v/>
      </c>
      <c r="BP60" s="108" t="str">
        <f t="shared" si="93"/>
        <v/>
      </c>
      <c r="BQ60" s="108" t="str">
        <f t="shared" si="93"/>
        <v/>
      </c>
      <c r="BR60" s="108" t="str">
        <f t="shared" si="93"/>
        <v/>
      </c>
      <c r="BS60" s="108" t="str">
        <f t="shared" si="94"/>
        <v/>
      </c>
      <c r="BT60" s="108" t="str">
        <f t="shared" si="94"/>
        <v/>
      </c>
      <c r="BU60" s="108" t="str">
        <f t="shared" si="94"/>
        <v/>
      </c>
      <c r="BV60" s="108" t="str">
        <f t="shared" si="94"/>
        <v/>
      </c>
      <c r="BW60" s="108" t="str">
        <f t="shared" si="94"/>
        <v/>
      </c>
      <c r="BX60" s="108" t="str">
        <f t="shared" si="94"/>
        <v/>
      </c>
      <c r="BY60" s="108" t="str">
        <f t="shared" si="94"/>
        <v/>
      </c>
      <c r="BZ60" s="108" t="str">
        <f t="shared" si="94"/>
        <v/>
      </c>
      <c r="CA60" s="108" t="str">
        <f t="shared" si="94"/>
        <v/>
      </c>
      <c r="CB60" s="108" t="str">
        <f t="shared" si="94"/>
        <v/>
      </c>
      <c r="CC60" s="108" t="str">
        <f t="shared" si="95"/>
        <v/>
      </c>
      <c r="CD60" s="108" t="str">
        <f t="shared" si="95"/>
        <v/>
      </c>
      <c r="CE60" s="108" t="str">
        <f t="shared" si="95"/>
        <v/>
      </c>
      <c r="CF60" s="108" t="str">
        <f t="shared" si="95"/>
        <v/>
      </c>
      <c r="CG60" s="108" t="str">
        <f t="shared" si="95"/>
        <v/>
      </c>
      <c r="CH60" s="108" t="str">
        <f t="shared" si="95"/>
        <v/>
      </c>
      <c r="CI60" s="108" t="str">
        <f t="shared" si="95"/>
        <v/>
      </c>
      <c r="CJ60" s="108" t="str">
        <f t="shared" si="95"/>
        <v/>
      </c>
      <c r="CK60" s="108" t="str">
        <f t="shared" si="95"/>
        <v/>
      </c>
      <c r="CL60" s="108" t="str">
        <f t="shared" si="95"/>
        <v/>
      </c>
      <c r="CM60" s="108" t="str">
        <f t="shared" si="96"/>
        <v/>
      </c>
      <c r="CN60" s="108" t="str">
        <f t="shared" si="96"/>
        <v/>
      </c>
      <c r="CO60" s="108" t="str">
        <f t="shared" si="96"/>
        <v/>
      </c>
      <c r="CP60" s="108" t="str">
        <f t="shared" si="96"/>
        <v/>
      </c>
      <c r="CQ60" s="108" t="str">
        <f t="shared" si="96"/>
        <v/>
      </c>
      <c r="CR60" s="109" t="str">
        <f t="shared" si="96"/>
        <v/>
      </c>
      <c r="CS60" s="108" t="str">
        <f t="shared" si="96"/>
        <v/>
      </c>
      <c r="CT60" s="108" t="str">
        <f t="shared" si="96"/>
        <v/>
      </c>
      <c r="CU60" s="108" t="str">
        <f t="shared" si="96"/>
        <v/>
      </c>
      <c r="CV60" s="108" t="str">
        <f t="shared" si="96"/>
        <v/>
      </c>
      <c r="CW60" s="108" t="str">
        <f t="shared" si="97"/>
        <v/>
      </c>
      <c r="CX60" s="108" t="str">
        <f t="shared" si="97"/>
        <v/>
      </c>
      <c r="CY60" s="108" t="str">
        <f t="shared" si="97"/>
        <v/>
      </c>
      <c r="CZ60" s="109" t="str">
        <f t="shared" si="97"/>
        <v/>
      </c>
      <c r="DA60" s="108" t="str">
        <f t="shared" si="97"/>
        <v/>
      </c>
      <c r="DB60" s="108" t="str">
        <f t="shared" si="97"/>
        <v/>
      </c>
      <c r="DC60" s="108" t="str">
        <f t="shared" si="97"/>
        <v/>
      </c>
      <c r="DD60" s="108" t="str">
        <f t="shared" si="97"/>
        <v/>
      </c>
      <c r="DE60" s="108" t="str">
        <f t="shared" si="97"/>
        <v/>
      </c>
      <c r="DF60" s="108" t="str">
        <f t="shared" si="97"/>
        <v/>
      </c>
      <c r="DG60" s="108" t="str">
        <f t="shared" si="98"/>
        <v/>
      </c>
      <c r="DH60" s="109" t="str">
        <f t="shared" si="98"/>
        <v/>
      </c>
      <c r="DI60" s="108" t="str">
        <f t="shared" si="98"/>
        <v/>
      </c>
      <c r="DJ60" s="108" t="str">
        <f t="shared" si="98"/>
        <v/>
      </c>
      <c r="DK60" s="108" t="str">
        <f t="shared" si="98"/>
        <v/>
      </c>
      <c r="DL60" s="108" t="str">
        <f t="shared" si="98"/>
        <v/>
      </c>
      <c r="DM60" s="108" t="str">
        <f t="shared" si="98"/>
        <v/>
      </c>
      <c r="DN60" s="108" t="str">
        <f t="shared" si="98"/>
        <v/>
      </c>
      <c r="DO60" s="109" t="str">
        <f t="shared" si="98"/>
        <v/>
      </c>
      <c r="DP60" s="108" t="str">
        <f t="shared" si="98"/>
        <v/>
      </c>
      <c r="DQ60" s="108" t="str">
        <f t="shared" si="99"/>
        <v/>
      </c>
      <c r="DR60" s="108" t="str">
        <f t="shared" si="99"/>
        <v/>
      </c>
      <c r="DS60" s="108" t="str">
        <f t="shared" si="99"/>
        <v/>
      </c>
      <c r="DT60" s="108" t="str">
        <f t="shared" si="99"/>
        <v/>
      </c>
      <c r="DU60" s="108" t="str">
        <f t="shared" si="99"/>
        <v/>
      </c>
      <c r="DV60" s="108" t="str">
        <f t="shared" si="99"/>
        <v/>
      </c>
      <c r="DW60" s="109" t="str">
        <f t="shared" si="99"/>
        <v/>
      </c>
      <c r="DX60" s="108" t="str">
        <f t="shared" si="99"/>
        <v/>
      </c>
      <c r="DY60" s="108" t="str">
        <f t="shared" si="99"/>
        <v/>
      </c>
      <c r="DZ60" s="108" t="str">
        <f t="shared" si="99"/>
        <v/>
      </c>
      <c r="EA60" s="108" t="str">
        <f t="shared" si="100"/>
        <v/>
      </c>
      <c r="EB60" s="108" t="str">
        <f t="shared" si="100"/>
        <v/>
      </c>
      <c r="EC60" s="108" t="str">
        <f t="shared" si="100"/>
        <v/>
      </c>
      <c r="ED60" s="109" t="str">
        <f t="shared" si="100"/>
        <v/>
      </c>
      <c r="EE60" s="108" t="str">
        <f t="shared" si="100"/>
        <v/>
      </c>
      <c r="EF60" s="108" t="str">
        <f t="shared" si="100"/>
        <v/>
      </c>
      <c r="EG60" s="108" t="str">
        <f t="shared" si="100"/>
        <v/>
      </c>
      <c r="EH60" s="108" t="str">
        <f t="shared" si="100"/>
        <v/>
      </c>
      <c r="EI60" s="108" t="str">
        <f t="shared" si="100"/>
        <v/>
      </c>
      <c r="EJ60" s="108" t="str">
        <f t="shared" si="100"/>
        <v/>
      </c>
      <c r="EK60" s="108" t="str">
        <f t="shared" si="101"/>
        <v/>
      </c>
      <c r="EL60" s="108" t="str">
        <f t="shared" si="101"/>
        <v/>
      </c>
      <c r="EM60" s="108" t="str">
        <f t="shared" si="101"/>
        <v/>
      </c>
      <c r="EN60" s="108" t="str">
        <f t="shared" si="101"/>
        <v/>
      </c>
      <c r="EO60" s="108" t="str">
        <f t="shared" si="101"/>
        <v/>
      </c>
      <c r="EP60" s="108" t="str">
        <f t="shared" si="101"/>
        <v/>
      </c>
      <c r="EQ60" s="108" t="str">
        <f t="shared" si="101"/>
        <v/>
      </c>
      <c r="ER60" s="108" t="str">
        <f t="shared" si="101"/>
        <v/>
      </c>
      <c r="ES60" s="109" t="str">
        <f t="shared" si="101"/>
        <v/>
      </c>
      <c r="ET60" s="108" t="str">
        <f t="shared" si="101"/>
        <v/>
      </c>
      <c r="EU60" s="108" t="str">
        <f t="shared" si="102"/>
        <v/>
      </c>
      <c r="EV60" s="108" t="str">
        <f t="shared" si="102"/>
        <v/>
      </c>
      <c r="EW60" s="108" t="str">
        <f t="shared" si="102"/>
        <v/>
      </c>
      <c r="EX60" s="108" t="str">
        <f t="shared" si="102"/>
        <v/>
      </c>
      <c r="EY60" s="108" t="str">
        <f t="shared" si="102"/>
        <v/>
      </c>
      <c r="EZ60" s="108" t="str">
        <f t="shared" si="102"/>
        <v/>
      </c>
      <c r="FA60" s="108" t="str">
        <f t="shared" si="102"/>
        <v/>
      </c>
      <c r="FB60" s="108" t="str">
        <f t="shared" si="102"/>
        <v/>
      </c>
      <c r="FC60" s="108" t="str">
        <f t="shared" si="102"/>
        <v/>
      </c>
      <c r="FD60" s="108" t="str">
        <f t="shared" si="102"/>
        <v/>
      </c>
      <c r="FE60" s="108" t="str">
        <f t="shared" si="103"/>
        <v/>
      </c>
      <c r="FF60" s="109" t="str">
        <f t="shared" si="103"/>
        <v/>
      </c>
      <c r="FG60" s="108" t="str">
        <f t="shared" si="103"/>
        <v/>
      </c>
      <c r="FH60" s="108" t="str">
        <f t="shared" si="103"/>
        <v/>
      </c>
      <c r="FI60" s="108" t="str">
        <f t="shared" si="103"/>
        <v/>
      </c>
      <c r="FJ60" s="108" t="str">
        <f t="shared" si="103"/>
        <v/>
      </c>
      <c r="FK60" s="108" t="str">
        <f t="shared" si="103"/>
        <v/>
      </c>
      <c r="FL60" s="108" t="str">
        <f t="shared" si="103"/>
        <v/>
      </c>
      <c r="FM60" s="108" t="str">
        <f t="shared" si="103"/>
        <v/>
      </c>
      <c r="FN60" s="108" t="str">
        <f t="shared" si="103"/>
        <v/>
      </c>
      <c r="FO60" s="108" t="str">
        <f t="shared" si="104"/>
        <v/>
      </c>
      <c r="FP60" s="108" t="str">
        <f t="shared" si="104"/>
        <v/>
      </c>
      <c r="FQ60" s="108" t="str">
        <f t="shared" si="104"/>
        <v/>
      </c>
      <c r="FR60" s="108" t="str">
        <f t="shared" si="104"/>
        <v/>
      </c>
      <c r="FS60" s="108" t="str">
        <f t="shared" si="104"/>
        <v/>
      </c>
      <c r="FT60" s="108" t="str">
        <f t="shared" si="104"/>
        <v/>
      </c>
      <c r="FU60" s="108" t="str">
        <f t="shared" si="104"/>
        <v/>
      </c>
      <c r="FV60" s="108" t="str">
        <f t="shared" si="104"/>
        <v/>
      </c>
      <c r="FW60" s="110" t="str">
        <f t="shared" si="104"/>
        <v/>
      </c>
    </row>
    <row r="61" spans="2:179" s="101" customFormat="1" ht="21" customHeight="1" x14ac:dyDescent="0.35">
      <c r="B61" s="27" t="e">
        <f>Portfolio_Daten!#REF!</f>
        <v>#REF!</v>
      </c>
      <c r="C61" s="27">
        <f>Portfolio_Daten!B62</f>
        <v>0</v>
      </c>
      <c r="D61" s="28">
        <f>Portfolio_Daten!E62</f>
        <v>0</v>
      </c>
      <c r="E61" s="31">
        <f>Portfolio_Daten!T62</f>
        <v>0</v>
      </c>
      <c r="F61" s="31">
        <f>Portfolio_Daten!U62</f>
        <v>0</v>
      </c>
      <c r="G61" s="107">
        <f>IF(F61="","",NETWORKDAYS(E61,F61,Parameter!$C$4:$C$51))</f>
        <v>0</v>
      </c>
      <c r="H61" s="29">
        <f>Portfolio_Daten!AG62</f>
        <v>0</v>
      </c>
      <c r="I61" s="33">
        <f>Portfolio_Daten!AI62</f>
        <v>0</v>
      </c>
      <c r="J61" s="106"/>
      <c r="K61" s="108" t="str">
        <f t="shared" si="88"/>
        <v/>
      </c>
      <c r="L61" s="108" t="str">
        <f t="shared" si="88"/>
        <v/>
      </c>
      <c r="M61" s="108" t="str">
        <f t="shared" si="88"/>
        <v/>
      </c>
      <c r="N61" s="108" t="str">
        <f t="shared" si="88"/>
        <v/>
      </c>
      <c r="O61" s="108" t="str">
        <f t="shared" si="88"/>
        <v/>
      </c>
      <c r="P61" s="108" t="str">
        <f t="shared" si="88"/>
        <v/>
      </c>
      <c r="Q61" s="108" t="str">
        <f t="shared" si="88"/>
        <v/>
      </c>
      <c r="R61" s="108" t="str">
        <f t="shared" si="88"/>
        <v/>
      </c>
      <c r="S61" s="108" t="str">
        <f t="shared" si="88"/>
        <v/>
      </c>
      <c r="T61" s="108" t="str">
        <f t="shared" si="88"/>
        <v/>
      </c>
      <c r="U61" s="108" t="str">
        <f t="shared" si="89"/>
        <v/>
      </c>
      <c r="V61" s="108" t="str">
        <f t="shared" si="89"/>
        <v/>
      </c>
      <c r="W61" s="108" t="str">
        <f t="shared" si="89"/>
        <v/>
      </c>
      <c r="X61" s="108" t="str">
        <f t="shared" si="89"/>
        <v/>
      </c>
      <c r="Y61" s="108" t="str">
        <f t="shared" si="89"/>
        <v/>
      </c>
      <c r="Z61" s="108" t="str">
        <f t="shared" si="89"/>
        <v/>
      </c>
      <c r="AA61" s="108" t="str">
        <f t="shared" si="89"/>
        <v/>
      </c>
      <c r="AB61" s="108" t="str">
        <f t="shared" si="89"/>
        <v/>
      </c>
      <c r="AC61" s="108" t="str">
        <f t="shared" si="89"/>
        <v/>
      </c>
      <c r="AD61" s="108" t="str">
        <f t="shared" si="89"/>
        <v/>
      </c>
      <c r="AE61" s="108" t="str">
        <f t="shared" si="90"/>
        <v/>
      </c>
      <c r="AF61" s="108" t="str">
        <f t="shared" si="90"/>
        <v/>
      </c>
      <c r="AG61" s="108" t="str">
        <f t="shared" si="90"/>
        <v/>
      </c>
      <c r="AH61" s="108" t="str">
        <f t="shared" si="90"/>
        <v/>
      </c>
      <c r="AI61" s="108" t="str">
        <f t="shared" si="90"/>
        <v/>
      </c>
      <c r="AJ61" s="108" t="str">
        <f t="shared" si="90"/>
        <v/>
      </c>
      <c r="AK61" s="108" t="str">
        <f t="shared" si="90"/>
        <v/>
      </c>
      <c r="AL61" s="108" t="str">
        <f t="shared" si="90"/>
        <v/>
      </c>
      <c r="AM61" s="108" t="str">
        <f t="shared" si="90"/>
        <v/>
      </c>
      <c r="AN61" s="108" t="str">
        <f t="shared" si="90"/>
        <v/>
      </c>
      <c r="AO61" s="108" t="str">
        <f t="shared" si="91"/>
        <v/>
      </c>
      <c r="AP61" s="108" t="str">
        <f t="shared" si="91"/>
        <v/>
      </c>
      <c r="AQ61" s="108" t="str">
        <f t="shared" si="91"/>
        <v/>
      </c>
      <c r="AR61" s="108" t="str">
        <f t="shared" si="91"/>
        <v/>
      </c>
      <c r="AS61" s="108" t="str">
        <f t="shared" si="91"/>
        <v/>
      </c>
      <c r="AT61" s="108" t="str">
        <f t="shared" si="91"/>
        <v/>
      </c>
      <c r="AU61" s="108" t="str">
        <f t="shared" si="91"/>
        <v/>
      </c>
      <c r="AV61" s="108" t="str">
        <f t="shared" si="91"/>
        <v/>
      </c>
      <c r="AW61" s="108" t="str">
        <f t="shared" si="91"/>
        <v/>
      </c>
      <c r="AX61" s="108" t="str">
        <f t="shared" si="91"/>
        <v/>
      </c>
      <c r="AY61" s="108" t="str">
        <f t="shared" si="92"/>
        <v/>
      </c>
      <c r="AZ61" s="108" t="str">
        <f t="shared" si="92"/>
        <v/>
      </c>
      <c r="BA61" s="108" t="str">
        <f t="shared" si="92"/>
        <v/>
      </c>
      <c r="BB61" s="108" t="str">
        <f t="shared" si="92"/>
        <v/>
      </c>
      <c r="BC61" s="108" t="str">
        <f t="shared" si="92"/>
        <v/>
      </c>
      <c r="BD61" s="108" t="str">
        <f t="shared" si="92"/>
        <v/>
      </c>
      <c r="BE61" s="108" t="str">
        <f t="shared" si="92"/>
        <v/>
      </c>
      <c r="BF61" s="108" t="str">
        <f t="shared" si="92"/>
        <v/>
      </c>
      <c r="BG61" s="108" t="str">
        <f t="shared" si="92"/>
        <v/>
      </c>
      <c r="BH61" s="108" t="str">
        <f t="shared" si="92"/>
        <v/>
      </c>
      <c r="BI61" s="108" t="str">
        <f t="shared" si="93"/>
        <v/>
      </c>
      <c r="BJ61" s="108" t="str">
        <f t="shared" si="93"/>
        <v/>
      </c>
      <c r="BK61" s="108" t="str">
        <f t="shared" si="93"/>
        <v/>
      </c>
      <c r="BL61" s="108" t="str">
        <f t="shared" si="93"/>
        <v/>
      </c>
      <c r="BM61" s="108" t="str">
        <f t="shared" si="93"/>
        <v/>
      </c>
      <c r="BN61" s="108" t="str">
        <f t="shared" si="93"/>
        <v/>
      </c>
      <c r="BO61" s="108" t="str">
        <f t="shared" si="93"/>
        <v/>
      </c>
      <c r="BP61" s="108" t="str">
        <f t="shared" si="93"/>
        <v/>
      </c>
      <c r="BQ61" s="108" t="str">
        <f t="shared" si="93"/>
        <v/>
      </c>
      <c r="BR61" s="108" t="str">
        <f t="shared" si="93"/>
        <v/>
      </c>
      <c r="BS61" s="108" t="str">
        <f t="shared" si="94"/>
        <v/>
      </c>
      <c r="BT61" s="108" t="str">
        <f t="shared" si="94"/>
        <v/>
      </c>
      <c r="BU61" s="108" t="str">
        <f t="shared" si="94"/>
        <v/>
      </c>
      <c r="BV61" s="108" t="str">
        <f t="shared" si="94"/>
        <v/>
      </c>
      <c r="BW61" s="108" t="str">
        <f t="shared" si="94"/>
        <v/>
      </c>
      <c r="BX61" s="108" t="str">
        <f t="shared" si="94"/>
        <v/>
      </c>
      <c r="BY61" s="108" t="str">
        <f t="shared" si="94"/>
        <v/>
      </c>
      <c r="BZ61" s="108" t="str">
        <f t="shared" si="94"/>
        <v/>
      </c>
      <c r="CA61" s="108" t="str">
        <f t="shared" si="94"/>
        <v/>
      </c>
      <c r="CB61" s="108" t="str">
        <f t="shared" si="94"/>
        <v/>
      </c>
      <c r="CC61" s="108" t="str">
        <f t="shared" si="95"/>
        <v/>
      </c>
      <c r="CD61" s="108" t="str">
        <f t="shared" si="95"/>
        <v/>
      </c>
      <c r="CE61" s="108" t="str">
        <f t="shared" si="95"/>
        <v/>
      </c>
      <c r="CF61" s="108" t="str">
        <f t="shared" si="95"/>
        <v/>
      </c>
      <c r="CG61" s="108" t="str">
        <f t="shared" si="95"/>
        <v/>
      </c>
      <c r="CH61" s="108" t="str">
        <f t="shared" si="95"/>
        <v/>
      </c>
      <c r="CI61" s="108" t="str">
        <f t="shared" si="95"/>
        <v/>
      </c>
      <c r="CJ61" s="108" t="str">
        <f t="shared" si="95"/>
        <v/>
      </c>
      <c r="CK61" s="108" t="str">
        <f t="shared" si="95"/>
        <v/>
      </c>
      <c r="CL61" s="108" t="str">
        <f t="shared" si="95"/>
        <v/>
      </c>
      <c r="CM61" s="108" t="str">
        <f t="shared" si="96"/>
        <v/>
      </c>
      <c r="CN61" s="108" t="str">
        <f t="shared" si="96"/>
        <v/>
      </c>
      <c r="CO61" s="108" t="str">
        <f t="shared" si="96"/>
        <v/>
      </c>
      <c r="CP61" s="108" t="str">
        <f t="shared" si="96"/>
        <v/>
      </c>
      <c r="CQ61" s="108" t="str">
        <f t="shared" si="96"/>
        <v/>
      </c>
      <c r="CR61" s="109" t="str">
        <f t="shared" si="96"/>
        <v/>
      </c>
      <c r="CS61" s="108" t="str">
        <f t="shared" si="96"/>
        <v/>
      </c>
      <c r="CT61" s="108" t="str">
        <f t="shared" si="96"/>
        <v/>
      </c>
      <c r="CU61" s="108" t="str">
        <f t="shared" si="96"/>
        <v/>
      </c>
      <c r="CV61" s="108" t="str">
        <f t="shared" si="96"/>
        <v/>
      </c>
      <c r="CW61" s="108" t="str">
        <f t="shared" si="97"/>
        <v/>
      </c>
      <c r="CX61" s="108" t="str">
        <f t="shared" si="97"/>
        <v/>
      </c>
      <c r="CY61" s="108" t="str">
        <f t="shared" si="97"/>
        <v/>
      </c>
      <c r="CZ61" s="109" t="str">
        <f t="shared" si="97"/>
        <v/>
      </c>
      <c r="DA61" s="108" t="str">
        <f t="shared" si="97"/>
        <v/>
      </c>
      <c r="DB61" s="108" t="str">
        <f t="shared" si="97"/>
        <v/>
      </c>
      <c r="DC61" s="108" t="str">
        <f t="shared" si="97"/>
        <v/>
      </c>
      <c r="DD61" s="108" t="str">
        <f t="shared" si="97"/>
        <v/>
      </c>
      <c r="DE61" s="108" t="str">
        <f t="shared" si="97"/>
        <v/>
      </c>
      <c r="DF61" s="108" t="str">
        <f t="shared" si="97"/>
        <v/>
      </c>
      <c r="DG61" s="108" t="str">
        <f t="shared" si="98"/>
        <v/>
      </c>
      <c r="DH61" s="109" t="str">
        <f t="shared" si="98"/>
        <v/>
      </c>
      <c r="DI61" s="108" t="str">
        <f t="shared" si="98"/>
        <v/>
      </c>
      <c r="DJ61" s="108" t="str">
        <f t="shared" si="98"/>
        <v/>
      </c>
      <c r="DK61" s="108" t="str">
        <f t="shared" si="98"/>
        <v/>
      </c>
      <c r="DL61" s="108" t="str">
        <f t="shared" si="98"/>
        <v/>
      </c>
      <c r="DM61" s="108" t="str">
        <f t="shared" si="98"/>
        <v/>
      </c>
      <c r="DN61" s="108" t="str">
        <f t="shared" si="98"/>
        <v/>
      </c>
      <c r="DO61" s="109" t="str">
        <f t="shared" si="98"/>
        <v/>
      </c>
      <c r="DP61" s="108" t="str">
        <f t="shared" si="98"/>
        <v/>
      </c>
      <c r="DQ61" s="108" t="str">
        <f t="shared" si="99"/>
        <v/>
      </c>
      <c r="DR61" s="108" t="str">
        <f t="shared" si="99"/>
        <v/>
      </c>
      <c r="DS61" s="108" t="str">
        <f t="shared" si="99"/>
        <v/>
      </c>
      <c r="DT61" s="108" t="str">
        <f t="shared" si="99"/>
        <v/>
      </c>
      <c r="DU61" s="108" t="str">
        <f t="shared" si="99"/>
        <v/>
      </c>
      <c r="DV61" s="108" t="str">
        <f t="shared" si="99"/>
        <v/>
      </c>
      <c r="DW61" s="109" t="str">
        <f t="shared" si="99"/>
        <v/>
      </c>
      <c r="DX61" s="108" t="str">
        <f t="shared" si="99"/>
        <v/>
      </c>
      <c r="DY61" s="108" t="str">
        <f t="shared" si="99"/>
        <v/>
      </c>
      <c r="DZ61" s="108" t="str">
        <f t="shared" si="99"/>
        <v/>
      </c>
      <c r="EA61" s="108" t="str">
        <f t="shared" si="100"/>
        <v/>
      </c>
      <c r="EB61" s="108" t="str">
        <f t="shared" si="100"/>
        <v/>
      </c>
      <c r="EC61" s="108" t="str">
        <f t="shared" si="100"/>
        <v/>
      </c>
      <c r="ED61" s="109" t="str">
        <f t="shared" si="100"/>
        <v/>
      </c>
      <c r="EE61" s="108" t="str">
        <f t="shared" si="100"/>
        <v/>
      </c>
      <c r="EF61" s="108" t="str">
        <f t="shared" si="100"/>
        <v/>
      </c>
      <c r="EG61" s="108" t="str">
        <f t="shared" si="100"/>
        <v/>
      </c>
      <c r="EH61" s="108" t="str">
        <f t="shared" si="100"/>
        <v/>
      </c>
      <c r="EI61" s="108" t="str">
        <f t="shared" si="100"/>
        <v/>
      </c>
      <c r="EJ61" s="108" t="str">
        <f t="shared" si="100"/>
        <v/>
      </c>
      <c r="EK61" s="108" t="str">
        <f t="shared" si="101"/>
        <v/>
      </c>
      <c r="EL61" s="108" t="str">
        <f t="shared" si="101"/>
        <v/>
      </c>
      <c r="EM61" s="108" t="str">
        <f t="shared" si="101"/>
        <v/>
      </c>
      <c r="EN61" s="108" t="str">
        <f t="shared" si="101"/>
        <v/>
      </c>
      <c r="EO61" s="108" t="str">
        <f t="shared" si="101"/>
        <v/>
      </c>
      <c r="EP61" s="108" t="str">
        <f t="shared" si="101"/>
        <v/>
      </c>
      <c r="EQ61" s="108" t="str">
        <f t="shared" si="101"/>
        <v/>
      </c>
      <c r="ER61" s="108" t="str">
        <f t="shared" si="101"/>
        <v/>
      </c>
      <c r="ES61" s="109" t="str">
        <f t="shared" si="101"/>
        <v/>
      </c>
      <c r="ET61" s="108" t="str">
        <f t="shared" si="101"/>
        <v/>
      </c>
      <c r="EU61" s="108" t="str">
        <f t="shared" si="102"/>
        <v/>
      </c>
      <c r="EV61" s="108" t="str">
        <f t="shared" si="102"/>
        <v/>
      </c>
      <c r="EW61" s="108" t="str">
        <f t="shared" si="102"/>
        <v/>
      </c>
      <c r="EX61" s="108" t="str">
        <f t="shared" si="102"/>
        <v/>
      </c>
      <c r="EY61" s="108" t="str">
        <f t="shared" si="102"/>
        <v/>
      </c>
      <c r="EZ61" s="108" t="str">
        <f t="shared" si="102"/>
        <v/>
      </c>
      <c r="FA61" s="108" t="str">
        <f t="shared" si="102"/>
        <v/>
      </c>
      <c r="FB61" s="108" t="str">
        <f t="shared" si="102"/>
        <v/>
      </c>
      <c r="FC61" s="108" t="str">
        <f t="shared" si="102"/>
        <v/>
      </c>
      <c r="FD61" s="108" t="str">
        <f t="shared" si="102"/>
        <v/>
      </c>
      <c r="FE61" s="108" t="str">
        <f t="shared" si="103"/>
        <v/>
      </c>
      <c r="FF61" s="109" t="str">
        <f t="shared" si="103"/>
        <v/>
      </c>
      <c r="FG61" s="108" t="str">
        <f t="shared" si="103"/>
        <v/>
      </c>
      <c r="FH61" s="108" t="str">
        <f t="shared" si="103"/>
        <v/>
      </c>
      <c r="FI61" s="108" t="str">
        <f t="shared" si="103"/>
        <v/>
      </c>
      <c r="FJ61" s="108" t="str">
        <f t="shared" si="103"/>
        <v/>
      </c>
      <c r="FK61" s="108" t="str">
        <f t="shared" si="103"/>
        <v/>
      </c>
      <c r="FL61" s="108" t="str">
        <f t="shared" si="103"/>
        <v/>
      </c>
      <c r="FM61" s="108" t="str">
        <f t="shared" si="103"/>
        <v/>
      </c>
      <c r="FN61" s="108" t="str">
        <f t="shared" si="103"/>
        <v/>
      </c>
      <c r="FO61" s="108" t="str">
        <f t="shared" si="104"/>
        <v/>
      </c>
      <c r="FP61" s="108" t="str">
        <f t="shared" si="104"/>
        <v/>
      </c>
      <c r="FQ61" s="108" t="str">
        <f t="shared" si="104"/>
        <v/>
      </c>
      <c r="FR61" s="108" t="str">
        <f t="shared" si="104"/>
        <v/>
      </c>
      <c r="FS61" s="108" t="str">
        <f t="shared" si="104"/>
        <v/>
      </c>
      <c r="FT61" s="108" t="str">
        <f t="shared" si="104"/>
        <v/>
      </c>
      <c r="FU61" s="108" t="str">
        <f t="shared" si="104"/>
        <v/>
      </c>
      <c r="FV61" s="108" t="str">
        <f t="shared" si="104"/>
        <v/>
      </c>
      <c r="FW61" s="110" t="str">
        <f t="shared" si="104"/>
        <v/>
      </c>
    </row>
    <row r="62" spans="2:179" s="101" customFormat="1" ht="21" customHeight="1" x14ac:dyDescent="0.35">
      <c r="B62" s="27" t="e">
        <f>Portfolio_Daten!#REF!</f>
        <v>#REF!</v>
      </c>
      <c r="C62" s="27">
        <f>Portfolio_Daten!B63</f>
        <v>0</v>
      </c>
      <c r="D62" s="28">
        <f>Portfolio_Daten!E63</f>
        <v>0</v>
      </c>
      <c r="E62" s="31">
        <f>Portfolio_Daten!T63</f>
        <v>0</v>
      </c>
      <c r="F62" s="31">
        <f>Portfolio_Daten!U63</f>
        <v>0</v>
      </c>
      <c r="G62" s="107">
        <f>IF(F62="","",NETWORKDAYS(E62,F62,Parameter!$C$4:$C$51))</f>
        <v>0</v>
      </c>
      <c r="H62" s="29">
        <f>Portfolio_Daten!AG63</f>
        <v>0</v>
      </c>
      <c r="I62" s="33">
        <f>Portfolio_Daten!AI63</f>
        <v>0</v>
      </c>
      <c r="J62" s="106"/>
      <c r="K62" s="108" t="str">
        <f t="shared" si="88"/>
        <v/>
      </c>
      <c r="L62" s="108" t="str">
        <f t="shared" si="88"/>
        <v/>
      </c>
      <c r="M62" s="108" t="str">
        <f t="shared" si="88"/>
        <v/>
      </c>
      <c r="N62" s="108" t="str">
        <f t="shared" si="88"/>
        <v/>
      </c>
      <c r="O62" s="108" t="str">
        <f t="shared" si="88"/>
        <v/>
      </c>
      <c r="P62" s="108" t="str">
        <f t="shared" si="88"/>
        <v/>
      </c>
      <c r="Q62" s="108" t="str">
        <f t="shared" si="88"/>
        <v/>
      </c>
      <c r="R62" s="108" t="str">
        <f t="shared" si="88"/>
        <v/>
      </c>
      <c r="S62" s="108" t="str">
        <f t="shared" si="88"/>
        <v/>
      </c>
      <c r="T62" s="108" t="str">
        <f t="shared" si="88"/>
        <v/>
      </c>
      <c r="U62" s="108" t="str">
        <f t="shared" si="89"/>
        <v/>
      </c>
      <c r="V62" s="108" t="str">
        <f t="shared" si="89"/>
        <v/>
      </c>
      <c r="W62" s="108" t="str">
        <f t="shared" si="89"/>
        <v/>
      </c>
      <c r="X62" s="108" t="str">
        <f t="shared" si="89"/>
        <v/>
      </c>
      <c r="Y62" s="108" t="str">
        <f t="shared" si="89"/>
        <v/>
      </c>
      <c r="Z62" s="108" t="str">
        <f t="shared" si="89"/>
        <v/>
      </c>
      <c r="AA62" s="108" t="str">
        <f t="shared" si="89"/>
        <v/>
      </c>
      <c r="AB62" s="108" t="str">
        <f t="shared" si="89"/>
        <v/>
      </c>
      <c r="AC62" s="108" t="str">
        <f t="shared" si="89"/>
        <v/>
      </c>
      <c r="AD62" s="108" t="str">
        <f t="shared" si="89"/>
        <v/>
      </c>
      <c r="AE62" s="108" t="str">
        <f t="shared" si="90"/>
        <v/>
      </c>
      <c r="AF62" s="108" t="str">
        <f t="shared" si="90"/>
        <v/>
      </c>
      <c r="AG62" s="108" t="str">
        <f t="shared" si="90"/>
        <v/>
      </c>
      <c r="AH62" s="108" t="str">
        <f t="shared" si="90"/>
        <v/>
      </c>
      <c r="AI62" s="108" t="str">
        <f t="shared" si="90"/>
        <v/>
      </c>
      <c r="AJ62" s="108" t="str">
        <f t="shared" si="90"/>
        <v/>
      </c>
      <c r="AK62" s="108" t="str">
        <f t="shared" si="90"/>
        <v/>
      </c>
      <c r="AL62" s="108" t="str">
        <f t="shared" si="90"/>
        <v/>
      </c>
      <c r="AM62" s="108" t="str">
        <f t="shared" si="90"/>
        <v/>
      </c>
      <c r="AN62" s="108" t="str">
        <f t="shared" si="90"/>
        <v/>
      </c>
      <c r="AO62" s="108" t="str">
        <f t="shared" si="91"/>
        <v/>
      </c>
      <c r="AP62" s="108" t="str">
        <f t="shared" si="91"/>
        <v/>
      </c>
      <c r="AQ62" s="108" t="str">
        <f t="shared" si="91"/>
        <v/>
      </c>
      <c r="AR62" s="108" t="str">
        <f t="shared" si="91"/>
        <v/>
      </c>
      <c r="AS62" s="108" t="str">
        <f t="shared" si="91"/>
        <v/>
      </c>
      <c r="AT62" s="108" t="str">
        <f t="shared" si="91"/>
        <v/>
      </c>
      <c r="AU62" s="108" t="str">
        <f t="shared" si="91"/>
        <v/>
      </c>
      <c r="AV62" s="108" t="str">
        <f t="shared" si="91"/>
        <v/>
      </c>
      <c r="AW62" s="108" t="str">
        <f t="shared" si="91"/>
        <v/>
      </c>
      <c r="AX62" s="108" t="str">
        <f t="shared" si="91"/>
        <v/>
      </c>
      <c r="AY62" s="108" t="str">
        <f t="shared" si="92"/>
        <v/>
      </c>
      <c r="AZ62" s="108" t="str">
        <f t="shared" si="92"/>
        <v/>
      </c>
      <c r="BA62" s="108" t="str">
        <f t="shared" si="92"/>
        <v/>
      </c>
      <c r="BB62" s="108" t="str">
        <f t="shared" si="92"/>
        <v/>
      </c>
      <c r="BC62" s="108" t="str">
        <f t="shared" si="92"/>
        <v/>
      </c>
      <c r="BD62" s="108" t="str">
        <f t="shared" si="92"/>
        <v/>
      </c>
      <c r="BE62" s="108" t="str">
        <f t="shared" si="92"/>
        <v/>
      </c>
      <c r="BF62" s="108" t="str">
        <f t="shared" si="92"/>
        <v/>
      </c>
      <c r="BG62" s="108" t="str">
        <f t="shared" si="92"/>
        <v/>
      </c>
      <c r="BH62" s="108" t="str">
        <f t="shared" si="92"/>
        <v/>
      </c>
      <c r="BI62" s="108" t="str">
        <f t="shared" si="93"/>
        <v/>
      </c>
      <c r="BJ62" s="108" t="str">
        <f t="shared" si="93"/>
        <v/>
      </c>
      <c r="BK62" s="108" t="str">
        <f t="shared" si="93"/>
        <v/>
      </c>
      <c r="BL62" s="108" t="str">
        <f t="shared" si="93"/>
        <v/>
      </c>
      <c r="BM62" s="108" t="str">
        <f t="shared" si="93"/>
        <v/>
      </c>
      <c r="BN62" s="108" t="str">
        <f t="shared" si="93"/>
        <v/>
      </c>
      <c r="BO62" s="108" t="str">
        <f t="shared" si="93"/>
        <v/>
      </c>
      <c r="BP62" s="108" t="str">
        <f t="shared" si="93"/>
        <v/>
      </c>
      <c r="BQ62" s="108" t="str">
        <f t="shared" si="93"/>
        <v/>
      </c>
      <c r="BR62" s="108" t="str">
        <f t="shared" si="93"/>
        <v/>
      </c>
      <c r="BS62" s="108" t="str">
        <f t="shared" si="94"/>
        <v/>
      </c>
      <c r="BT62" s="108" t="str">
        <f t="shared" si="94"/>
        <v/>
      </c>
      <c r="BU62" s="108" t="str">
        <f t="shared" si="94"/>
        <v/>
      </c>
      <c r="BV62" s="108" t="str">
        <f t="shared" si="94"/>
        <v/>
      </c>
      <c r="BW62" s="108" t="str">
        <f t="shared" si="94"/>
        <v/>
      </c>
      <c r="BX62" s="108" t="str">
        <f t="shared" si="94"/>
        <v/>
      </c>
      <c r="BY62" s="108" t="str">
        <f t="shared" si="94"/>
        <v/>
      </c>
      <c r="BZ62" s="108" t="str">
        <f t="shared" si="94"/>
        <v/>
      </c>
      <c r="CA62" s="108" t="str">
        <f t="shared" si="94"/>
        <v/>
      </c>
      <c r="CB62" s="108" t="str">
        <f t="shared" si="94"/>
        <v/>
      </c>
      <c r="CC62" s="108" t="str">
        <f t="shared" si="95"/>
        <v/>
      </c>
      <c r="CD62" s="108" t="str">
        <f t="shared" si="95"/>
        <v/>
      </c>
      <c r="CE62" s="108" t="str">
        <f t="shared" si="95"/>
        <v/>
      </c>
      <c r="CF62" s="108" t="str">
        <f t="shared" si="95"/>
        <v/>
      </c>
      <c r="CG62" s="108" t="str">
        <f t="shared" si="95"/>
        <v/>
      </c>
      <c r="CH62" s="108" t="str">
        <f t="shared" si="95"/>
        <v/>
      </c>
      <c r="CI62" s="108" t="str">
        <f t="shared" si="95"/>
        <v/>
      </c>
      <c r="CJ62" s="108" t="str">
        <f t="shared" si="95"/>
        <v/>
      </c>
      <c r="CK62" s="108" t="str">
        <f t="shared" si="95"/>
        <v/>
      </c>
      <c r="CL62" s="108" t="str">
        <f t="shared" si="95"/>
        <v/>
      </c>
      <c r="CM62" s="108" t="str">
        <f t="shared" si="96"/>
        <v/>
      </c>
      <c r="CN62" s="108" t="str">
        <f t="shared" si="96"/>
        <v/>
      </c>
      <c r="CO62" s="108" t="str">
        <f t="shared" si="96"/>
        <v/>
      </c>
      <c r="CP62" s="108" t="str">
        <f t="shared" si="96"/>
        <v/>
      </c>
      <c r="CQ62" s="108" t="str">
        <f t="shared" si="96"/>
        <v/>
      </c>
      <c r="CR62" s="109" t="str">
        <f t="shared" si="96"/>
        <v/>
      </c>
      <c r="CS62" s="108" t="str">
        <f t="shared" si="96"/>
        <v/>
      </c>
      <c r="CT62" s="108" t="str">
        <f t="shared" si="96"/>
        <v/>
      </c>
      <c r="CU62" s="108" t="str">
        <f t="shared" si="96"/>
        <v/>
      </c>
      <c r="CV62" s="108" t="str">
        <f t="shared" si="96"/>
        <v/>
      </c>
      <c r="CW62" s="108" t="str">
        <f t="shared" si="97"/>
        <v/>
      </c>
      <c r="CX62" s="108" t="str">
        <f t="shared" si="97"/>
        <v/>
      </c>
      <c r="CY62" s="108" t="str">
        <f t="shared" si="97"/>
        <v/>
      </c>
      <c r="CZ62" s="109" t="str">
        <f t="shared" si="97"/>
        <v/>
      </c>
      <c r="DA62" s="108" t="str">
        <f t="shared" si="97"/>
        <v/>
      </c>
      <c r="DB62" s="108" t="str">
        <f t="shared" si="97"/>
        <v/>
      </c>
      <c r="DC62" s="108" t="str">
        <f t="shared" si="97"/>
        <v/>
      </c>
      <c r="DD62" s="108" t="str">
        <f t="shared" si="97"/>
        <v/>
      </c>
      <c r="DE62" s="108" t="str">
        <f t="shared" si="97"/>
        <v/>
      </c>
      <c r="DF62" s="108" t="str">
        <f t="shared" si="97"/>
        <v/>
      </c>
      <c r="DG62" s="108" t="str">
        <f t="shared" si="98"/>
        <v/>
      </c>
      <c r="DH62" s="109" t="str">
        <f t="shared" si="98"/>
        <v/>
      </c>
      <c r="DI62" s="108" t="str">
        <f t="shared" si="98"/>
        <v/>
      </c>
      <c r="DJ62" s="108" t="str">
        <f t="shared" si="98"/>
        <v/>
      </c>
      <c r="DK62" s="108" t="str">
        <f t="shared" si="98"/>
        <v/>
      </c>
      <c r="DL62" s="108" t="str">
        <f t="shared" si="98"/>
        <v/>
      </c>
      <c r="DM62" s="108" t="str">
        <f t="shared" si="98"/>
        <v/>
      </c>
      <c r="DN62" s="108" t="str">
        <f t="shared" si="98"/>
        <v/>
      </c>
      <c r="DO62" s="109" t="str">
        <f t="shared" si="98"/>
        <v/>
      </c>
      <c r="DP62" s="108" t="str">
        <f t="shared" si="98"/>
        <v/>
      </c>
      <c r="DQ62" s="108" t="str">
        <f t="shared" si="99"/>
        <v/>
      </c>
      <c r="DR62" s="108" t="str">
        <f t="shared" si="99"/>
        <v/>
      </c>
      <c r="DS62" s="108" t="str">
        <f t="shared" si="99"/>
        <v/>
      </c>
      <c r="DT62" s="108" t="str">
        <f t="shared" si="99"/>
        <v/>
      </c>
      <c r="DU62" s="108" t="str">
        <f t="shared" si="99"/>
        <v/>
      </c>
      <c r="DV62" s="108" t="str">
        <f t="shared" si="99"/>
        <v/>
      </c>
      <c r="DW62" s="109" t="str">
        <f t="shared" si="99"/>
        <v/>
      </c>
      <c r="DX62" s="108" t="str">
        <f t="shared" si="99"/>
        <v/>
      </c>
      <c r="DY62" s="108" t="str">
        <f t="shared" si="99"/>
        <v/>
      </c>
      <c r="DZ62" s="108" t="str">
        <f t="shared" si="99"/>
        <v/>
      </c>
      <c r="EA62" s="108" t="str">
        <f t="shared" si="100"/>
        <v/>
      </c>
      <c r="EB62" s="108" t="str">
        <f t="shared" si="100"/>
        <v/>
      </c>
      <c r="EC62" s="108" t="str">
        <f t="shared" si="100"/>
        <v/>
      </c>
      <c r="ED62" s="109" t="str">
        <f t="shared" si="100"/>
        <v/>
      </c>
      <c r="EE62" s="108" t="str">
        <f t="shared" si="100"/>
        <v/>
      </c>
      <c r="EF62" s="108" t="str">
        <f t="shared" si="100"/>
        <v/>
      </c>
      <c r="EG62" s="108" t="str">
        <f t="shared" si="100"/>
        <v/>
      </c>
      <c r="EH62" s="108" t="str">
        <f t="shared" si="100"/>
        <v/>
      </c>
      <c r="EI62" s="108" t="str">
        <f t="shared" si="100"/>
        <v/>
      </c>
      <c r="EJ62" s="108" t="str">
        <f t="shared" si="100"/>
        <v/>
      </c>
      <c r="EK62" s="108" t="str">
        <f t="shared" si="101"/>
        <v/>
      </c>
      <c r="EL62" s="108" t="str">
        <f t="shared" si="101"/>
        <v/>
      </c>
      <c r="EM62" s="108" t="str">
        <f t="shared" si="101"/>
        <v/>
      </c>
      <c r="EN62" s="108" t="str">
        <f t="shared" si="101"/>
        <v/>
      </c>
      <c r="EO62" s="108" t="str">
        <f t="shared" si="101"/>
        <v/>
      </c>
      <c r="EP62" s="108" t="str">
        <f t="shared" si="101"/>
        <v/>
      </c>
      <c r="EQ62" s="108" t="str">
        <f t="shared" si="101"/>
        <v/>
      </c>
      <c r="ER62" s="108" t="str">
        <f t="shared" si="101"/>
        <v/>
      </c>
      <c r="ES62" s="109" t="str">
        <f t="shared" si="101"/>
        <v/>
      </c>
      <c r="ET62" s="108" t="str">
        <f t="shared" si="101"/>
        <v/>
      </c>
      <c r="EU62" s="108" t="str">
        <f t="shared" si="102"/>
        <v/>
      </c>
      <c r="EV62" s="108" t="str">
        <f t="shared" si="102"/>
        <v/>
      </c>
      <c r="EW62" s="108" t="str">
        <f t="shared" si="102"/>
        <v/>
      </c>
      <c r="EX62" s="108" t="str">
        <f t="shared" si="102"/>
        <v/>
      </c>
      <c r="EY62" s="108" t="str">
        <f t="shared" si="102"/>
        <v/>
      </c>
      <c r="EZ62" s="108" t="str">
        <f t="shared" si="102"/>
        <v/>
      </c>
      <c r="FA62" s="108" t="str">
        <f t="shared" si="102"/>
        <v/>
      </c>
      <c r="FB62" s="108" t="str">
        <f t="shared" si="102"/>
        <v/>
      </c>
      <c r="FC62" s="108" t="str">
        <f t="shared" si="102"/>
        <v/>
      </c>
      <c r="FD62" s="108" t="str">
        <f t="shared" si="102"/>
        <v/>
      </c>
      <c r="FE62" s="108" t="str">
        <f t="shared" si="103"/>
        <v/>
      </c>
      <c r="FF62" s="109" t="str">
        <f t="shared" si="103"/>
        <v/>
      </c>
      <c r="FG62" s="108" t="str">
        <f t="shared" si="103"/>
        <v/>
      </c>
      <c r="FH62" s="108" t="str">
        <f t="shared" si="103"/>
        <v/>
      </c>
      <c r="FI62" s="108" t="str">
        <f t="shared" si="103"/>
        <v/>
      </c>
      <c r="FJ62" s="108" t="str">
        <f t="shared" si="103"/>
        <v/>
      </c>
      <c r="FK62" s="108" t="str">
        <f t="shared" si="103"/>
        <v/>
      </c>
      <c r="FL62" s="108" t="str">
        <f t="shared" si="103"/>
        <v/>
      </c>
      <c r="FM62" s="108" t="str">
        <f t="shared" si="103"/>
        <v/>
      </c>
      <c r="FN62" s="108" t="str">
        <f t="shared" si="103"/>
        <v/>
      </c>
      <c r="FO62" s="108" t="str">
        <f t="shared" si="104"/>
        <v/>
      </c>
      <c r="FP62" s="108" t="str">
        <f t="shared" si="104"/>
        <v/>
      </c>
      <c r="FQ62" s="108" t="str">
        <f t="shared" si="104"/>
        <v/>
      </c>
      <c r="FR62" s="108" t="str">
        <f t="shared" si="104"/>
        <v/>
      </c>
      <c r="FS62" s="108" t="str">
        <f t="shared" si="104"/>
        <v/>
      </c>
      <c r="FT62" s="108" t="str">
        <f t="shared" si="104"/>
        <v/>
      </c>
      <c r="FU62" s="108" t="str">
        <f t="shared" si="104"/>
        <v/>
      </c>
      <c r="FV62" s="108" t="str">
        <f t="shared" si="104"/>
        <v/>
      </c>
      <c r="FW62" s="110" t="str">
        <f t="shared" si="104"/>
        <v/>
      </c>
    </row>
    <row r="63" spans="2:179" s="101" customFormat="1" ht="21" customHeight="1" x14ac:dyDescent="0.35">
      <c r="B63" s="27" t="e">
        <f>Portfolio_Daten!#REF!</f>
        <v>#REF!</v>
      </c>
      <c r="C63" s="27">
        <f>Portfolio_Daten!B64</f>
        <v>0</v>
      </c>
      <c r="D63" s="28">
        <f>Portfolio_Daten!E64</f>
        <v>0</v>
      </c>
      <c r="E63" s="31">
        <f>Portfolio_Daten!T64</f>
        <v>0</v>
      </c>
      <c r="F63" s="31">
        <f>Portfolio_Daten!U64</f>
        <v>0</v>
      </c>
      <c r="G63" s="107">
        <f>IF(F63="","",NETWORKDAYS(E63,F63,Parameter!$C$4:$C$51))</f>
        <v>0</v>
      </c>
      <c r="H63" s="29">
        <f>Portfolio_Daten!AG64</f>
        <v>0</v>
      </c>
      <c r="I63" s="33">
        <f>Portfolio_Daten!AI64</f>
        <v>0</v>
      </c>
      <c r="J63" s="106"/>
      <c r="K63" s="108" t="str">
        <f t="shared" si="88"/>
        <v/>
      </c>
      <c r="L63" s="108" t="str">
        <f t="shared" si="88"/>
        <v/>
      </c>
      <c r="M63" s="108" t="str">
        <f t="shared" si="88"/>
        <v/>
      </c>
      <c r="N63" s="108" t="str">
        <f t="shared" si="88"/>
        <v/>
      </c>
      <c r="O63" s="108" t="str">
        <f t="shared" si="88"/>
        <v/>
      </c>
      <c r="P63" s="108" t="str">
        <f t="shared" si="88"/>
        <v/>
      </c>
      <c r="Q63" s="108" t="str">
        <f t="shared" si="88"/>
        <v/>
      </c>
      <c r="R63" s="108" t="str">
        <f t="shared" si="88"/>
        <v/>
      </c>
      <c r="S63" s="108" t="str">
        <f t="shared" si="88"/>
        <v/>
      </c>
      <c r="T63" s="108" t="str">
        <f t="shared" si="88"/>
        <v/>
      </c>
      <c r="U63" s="108" t="str">
        <f t="shared" si="89"/>
        <v/>
      </c>
      <c r="V63" s="108" t="str">
        <f t="shared" si="89"/>
        <v/>
      </c>
      <c r="W63" s="108" t="str">
        <f t="shared" si="89"/>
        <v/>
      </c>
      <c r="X63" s="108" t="str">
        <f t="shared" si="89"/>
        <v/>
      </c>
      <c r="Y63" s="108" t="str">
        <f t="shared" si="89"/>
        <v/>
      </c>
      <c r="Z63" s="108" t="str">
        <f t="shared" si="89"/>
        <v/>
      </c>
      <c r="AA63" s="108" t="str">
        <f t="shared" si="89"/>
        <v/>
      </c>
      <c r="AB63" s="108" t="str">
        <f t="shared" si="89"/>
        <v/>
      </c>
      <c r="AC63" s="108" t="str">
        <f t="shared" si="89"/>
        <v/>
      </c>
      <c r="AD63" s="108" t="str">
        <f t="shared" si="89"/>
        <v/>
      </c>
      <c r="AE63" s="108" t="str">
        <f t="shared" si="90"/>
        <v/>
      </c>
      <c r="AF63" s="108" t="str">
        <f t="shared" si="90"/>
        <v/>
      </c>
      <c r="AG63" s="108" t="str">
        <f t="shared" si="90"/>
        <v/>
      </c>
      <c r="AH63" s="108" t="str">
        <f t="shared" si="90"/>
        <v/>
      </c>
      <c r="AI63" s="108" t="str">
        <f t="shared" si="90"/>
        <v/>
      </c>
      <c r="AJ63" s="108" t="str">
        <f t="shared" si="90"/>
        <v/>
      </c>
      <c r="AK63" s="108" t="str">
        <f t="shared" si="90"/>
        <v/>
      </c>
      <c r="AL63" s="108" t="str">
        <f t="shared" si="90"/>
        <v/>
      </c>
      <c r="AM63" s="108" t="str">
        <f t="shared" si="90"/>
        <v/>
      </c>
      <c r="AN63" s="108" t="str">
        <f t="shared" si="90"/>
        <v/>
      </c>
      <c r="AO63" s="108" t="str">
        <f t="shared" si="91"/>
        <v/>
      </c>
      <c r="AP63" s="108" t="str">
        <f t="shared" si="91"/>
        <v/>
      </c>
      <c r="AQ63" s="108" t="str">
        <f t="shared" si="91"/>
        <v/>
      </c>
      <c r="AR63" s="108" t="str">
        <f t="shared" si="91"/>
        <v/>
      </c>
      <c r="AS63" s="108" t="str">
        <f t="shared" si="91"/>
        <v/>
      </c>
      <c r="AT63" s="108" t="str">
        <f t="shared" si="91"/>
        <v/>
      </c>
      <c r="AU63" s="108" t="str">
        <f t="shared" si="91"/>
        <v/>
      </c>
      <c r="AV63" s="108" t="str">
        <f t="shared" si="91"/>
        <v/>
      </c>
      <c r="AW63" s="108" t="str">
        <f t="shared" si="91"/>
        <v/>
      </c>
      <c r="AX63" s="108" t="str">
        <f t="shared" si="91"/>
        <v/>
      </c>
      <c r="AY63" s="108" t="str">
        <f t="shared" si="92"/>
        <v/>
      </c>
      <c r="AZ63" s="108" t="str">
        <f t="shared" si="92"/>
        <v/>
      </c>
      <c r="BA63" s="108" t="str">
        <f t="shared" si="92"/>
        <v/>
      </c>
      <c r="BB63" s="108" t="str">
        <f t="shared" si="92"/>
        <v/>
      </c>
      <c r="BC63" s="108" t="str">
        <f t="shared" si="92"/>
        <v/>
      </c>
      <c r="BD63" s="108" t="str">
        <f t="shared" si="92"/>
        <v/>
      </c>
      <c r="BE63" s="108" t="str">
        <f t="shared" si="92"/>
        <v/>
      </c>
      <c r="BF63" s="108" t="str">
        <f t="shared" si="92"/>
        <v/>
      </c>
      <c r="BG63" s="108" t="str">
        <f t="shared" si="92"/>
        <v/>
      </c>
      <c r="BH63" s="108" t="str">
        <f t="shared" si="92"/>
        <v/>
      </c>
      <c r="BI63" s="108" t="str">
        <f t="shared" si="93"/>
        <v/>
      </c>
      <c r="BJ63" s="108" t="str">
        <f t="shared" si="93"/>
        <v/>
      </c>
      <c r="BK63" s="108" t="str">
        <f t="shared" si="93"/>
        <v/>
      </c>
      <c r="BL63" s="108" t="str">
        <f t="shared" si="93"/>
        <v/>
      </c>
      <c r="BM63" s="108" t="str">
        <f t="shared" si="93"/>
        <v/>
      </c>
      <c r="BN63" s="108" t="str">
        <f t="shared" si="93"/>
        <v/>
      </c>
      <c r="BO63" s="108" t="str">
        <f t="shared" si="93"/>
        <v/>
      </c>
      <c r="BP63" s="108" t="str">
        <f t="shared" si="93"/>
        <v/>
      </c>
      <c r="BQ63" s="108" t="str">
        <f t="shared" si="93"/>
        <v/>
      </c>
      <c r="BR63" s="108" t="str">
        <f t="shared" si="93"/>
        <v/>
      </c>
      <c r="BS63" s="108" t="str">
        <f t="shared" si="94"/>
        <v/>
      </c>
      <c r="BT63" s="108" t="str">
        <f t="shared" si="94"/>
        <v/>
      </c>
      <c r="BU63" s="108" t="str">
        <f t="shared" si="94"/>
        <v/>
      </c>
      <c r="BV63" s="108" t="str">
        <f t="shared" si="94"/>
        <v/>
      </c>
      <c r="BW63" s="108" t="str">
        <f t="shared" si="94"/>
        <v/>
      </c>
      <c r="BX63" s="108" t="str">
        <f t="shared" si="94"/>
        <v/>
      </c>
      <c r="BY63" s="108" t="str">
        <f t="shared" si="94"/>
        <v/>
      </c>
      <c r="BZ63" s="108" t="str">
        <f t="shared" si="94"/>
        <v/>
      </c>
      <c r="CA63" s="108" t="str">
        <f t="shared" si="94"/>
        <v/>
      </c>
      <c r="CB63" s="108" t="str">
        <f t="shared" si="94"/>
        <v/>
      </c>
      <c r="CC63" s="108" t="str">
        <f t="shared" si="95"/>
        <v/>
      </c>
      <c r="CD63" s="108" t="str">
        <f t="shared" si="95"/>
        <v/>
      </c>
      <c r="CE63" s="108" t="str">
        <f t="shared" si="95"/>
        <v/>
      </c>
      <c r="CF63" s="108" t="str">
        <f t="shared" si="95"/>
        <v/>
      </c>
      <c r="CG63" s="108" t="str">
        <f t="shared" si="95"/>
        <v/>
      </c>
      <c r="CH63" s="108" t="str">
        <f t="shared" si="95"/>
        <v/>
      </c>
      <c r="CI63" s="108" t="str">
        <f t="shared" si="95"/>
        <v/>
      </c>
      <c r="CJ63" s="108" t="str">
        <f t="shared" si="95"/>
        <v/>
      </c>
      <c r="CK63" s="108" t="str">
        <f t="shared" si="95"/>
        <v/>
      </c>
      <c r="CL63" s="108" t="str">
        <f t="shared" si="95"/>
        <v/>
      </c>
      <c r="CM63" s="108" t="str">
        <f t="shared" si="96"/>
        <v/>
      </c>
      <c r="CN63" s="108" t="str">
        <f t="shared" si="96"/>
        <v/>
      </c>
      <c r="CO63" s="108" t="str">
        <f t="shared" si="96"/>
        <v/>
      </c>
      <c r="CP63" s="108" t="str">
        <f t="shared" si="96"/>
        <v/>
      </c>
      <c r="CQ63" s="108" t="str">
        <f t="shared" si="96"/>
        <v/>
      </c>
      <c r="CR63" s="109" t="str">
        <f t="shared" si="96"/>
        <v/>
      </c>
      <c r="CS63" s="108" t="str">
        <f t="shared" si="96"/>
        <v/>
      </c>
      <c r="CT63" s="108" t="str">
        <f t="shared" si="96"/>
        <v/>
      </c>
      <c r="CU63" s="108" t="str">
        <f t="shared" si="96"/>
        <v/>
      </c>
      <c r="CV63" s="108" t="str">
        <f t="shared" si="96"/>
        <v/>
      </c>
      <c r="CW63" s="108" t="str">
        <f t="shared" si="97"/>
        <v/>
      </c>
      <c r="CX63" s="108" t="str">
        <f t="shared" si="97"/>
        <v/>
      </c>
      <c r="CY63" s="108" t="str">
        <f t="shared" si="97"/>
        <v/>
      </c>
      <c r="CZ63" s="109" t="str">
        <f t="shared" si="97"/>
        <v/>
      </c>
      <c r="DA63" s="108" t="str">
        <f t="shared" si="97"/>
        <v/>
      </c>
      <c r="DB63" s="108" t="str">
        <f t="shared" si="97"/>
        <v/>
      </c>
      <c r="DC63" s="108" t="str">
        <f t="shared" si="97"/>
        <v/>
      </c>
      <c r="DD63" s="108" t="str">
        <f t="shared" si="97"/>
        <v/>
      </c>
      <c r="DE63" s="108" t="str">
        <f t="shared" si="97"/>
        <v/>
      </c>
      <c r="DF63" s="108" t="str">
        <f t="shared" si="97"/>
        <v/>
      </c>
      <c r="DG63" s="108" t="str">
        <f t="shared" si="98"/>
        <v/>
      </c>
      <c r="DH63" s="109" t="str">
        <f t="shared" si="98"/>
        <v/>
      </c>
      <c r="DI63" s="108" t="str">
        <f t="shared" si="98"/>
        <v/>
      </c>
      <c r="DJ63" s="108" t="str">
        <f t="shared" si="98"/>
        <v/>
      </c>
      <c r="DK63" s="108" t="str">
        <f t="shared" si="98"/>
        <v/>
      </c>
      <c r="DL63" s="108" t="str">
        <f t="shared" si="98"/>
        <v/>
      </c>
      <c r="DM63" s="108" t="str">
        <f t="shared" si="98"/>
        <v/>
      </c>
      <c r="DN63" s="108" t="str">
        <f t="shared" si="98"/>
        <v/>
      </c>
      <c r="DO63" s="109" t="str">
        <f t="shared" si="98"/>
        <v/>
      </c>
      <c r="DP63" s="108" t="str">
        <f t="shared" si="98"/>
        <v/>
      </c>
      <c r="DQ63" s="108" t="str">
        <f t="shared" si="99"/>
        <v/>
      </c>
      <c r="DR63" s="108" t="str">
        <f t="shared" si="99"/>
        <v/>
      </c>
      <c r="DS63" s="108" t="str">
        <f t="shared" si="99"/>
        <v/>
      </c>
      <c r="DT63" s="108" t="str">
        <f t="shared" si="99"/>
        <v/>
      </c>
      <c r="DU63" s="108" t="str">
        <f t="shared" si="99"/>
        <v/>
      </c>
      <c r="DV63" s="108" t="str">
        <f t="shared" si="99"/>
        <v/>
      </c>
      <c r="DW63" s="109" t="str">
        <f t="shared" si="99"/>
        <v/>
      </c>
      <c r="DX63" s="108" t="str">
        <f t="shared" si="99"/>
        <v/>
      </c>
      <c r="DY63" s="108" t="str">
        <f t="shared" si="99"/>
        <v/>
      </c>
      <c r="DZ63" s="108" t="str">
        <f t="shared" si="99"/>
        <v/>
      </c>
      <c r="EA63" s="108" t="str">
        <f t="shared" si="100"/>
        <v/>
      </c>
      <c r="EB63" s="108" t="str">
        <f t="shared" si="100"/>
        <v/>
      </c>
      <c r="EC63" s="108" t="str">
        <f t="shared" si="100"/>
        <v/>
      </c>
      <c r="ED63" s="109" t="str">
        <f t="shared" si="100"/>
        <v/>
      </c>
      <c r="EE63" s="108" t="str">
        <f t="shared" si="100"/>
        <v/>
      </c>
      <c r="EF63" s="108" t="str">
        <f t="shared" si="100"/>
        <v/>
      </c>
      <c r="EG63" s="108" t="str">
        <f t="shared" si="100"/>
        <v/>
      </c>
      <c r="EH63" s="108" t="str">
        <f t="shared" si="100"/>
        <v/>
      </c>
      <c r="EI63" s="108" t="str">
        <f t="shared" si="100"/>
        <v/>
      </c>
      <c r="EJ63" s="108" t="str">
        <f t="shared" si="100"/>
        <v/>
      </c>
      <c r="EK63" s="108" t="str">
        <f t="shared" si="101"/>
        <v/>
      </c>
      <c r="EL63" s="108" t="str">
        <f t="shared" si="101"/>
        <v/>
      </c>
      <c r="EM63" s="108" t="str">
        <f t="shared" si="101"/>
        <v/>
      </c>
      <c r="EN63" s="108" t="str">
        <f t="shared" si="101"/>
        <v/>
      </c>
      <c r="EO63" s="108" t="str">
        <f t="shared" si="101"/>
        <v/>
      </c>
      <c r="EP63" s="108" t="str">
        <f t="shared" si="101"/>
        <v/>
      </c>
      <c r="EQ63" s="108" t="str">
        <f t="shared" si="101"/>
        <v/>
      </c>
      <c r="ER63" s="108" t="str">
        <f t="shared" si="101"/>
        <v/>
      </c>
      <c r="ES63" s="109" t="str">
        <f t="shared" si="101"/>
        <v/>
      </c>
      <c r="ET63" s="108" t="str">
        <f t="shared" si="101"/>
        <v/>
      </c>
      <c r="EU63" s="108" t="str">
        <f t="shared" si="102"/>
        <v/>
      </c>
      <c r="EV63" s="108" t="str">
        <f t="shared" si="102"/>
        <v/>
      </c>
      <c r="EW63" s="108" t="str">
        <f t="shared" si="102"/>
        <v/>
      </c>
      <c r="EX63" s="108" t="str">
        <f t="shared" si="102"/>
        <v/>
      </c>
      <c r="EY63" s="108" t="str">
        <f t="shared" si="102"/>
        <v/>
      </c>
      <c r="EZ63" s="108" t="str">
        <f t="shared" si="102"/>
        <v/>
      </c>
      <c r="FA63" s="108" t="str">
        <f t="shared" si="102"/>
        <v/>
      </c>
      <c r="FB63" s="108" t="str">
        <f t="shared" si="102"/>
        <v/>
      </c>
      <c r="FC63" s="108" t="str">
        <f t="shared" si="102"/>
        <v/>
      </c>
      <c r="FD63" s="108" t="str">
        <f t="shared" si="102"/>
        <v/>
      </c>
      <c r="FE63" s="108" t="str">
        <f t="shared" si="103"/>
        <v/>
      </c>
      <c r="FF63" s="109" t="str">
        <f t="shared" si="103"/>
        <v/>
      </c>
      <c r="FG63" s="108" t="str">
        <f t="shared" si="103"/>
        <v/>
      </c>
      <c r="FH63" s="108" t="str">
        <f t="shared" si="103"/>
        <v/>
      </c>
      <c r="FI63" s="108" t="str">
        <f t="shared" si="103"/>
        <v/>
      </c>
      <c r="FJ63" s="108" t="str">
        <f t="shared" si="103"/>
        <v/>
      </c>
      <c r="FK63" s="108" t="str">
        <f t="shared" si="103"/>
        <v/>
      </c>
      <c r="FL63" s="108" t="str">
        <f t="shared" si="103"/>
        <v/>
      </c>
      <c r="FM63" s="108" t="str">
        <f t="shared" si="103"/>
        <v/>
      </c>
      <c r="FN63" s="108" t="str">
        <f t="shared" si="103"/>
        <v/>
      </c>
      <c r="FO63" s="108" t="str">
        <f t="shared" si="104"/>
        <v/>
      </c>
      <c r="FP63" s="108" t="str">
        <f t="shared" si="104"/>
        <v/>
      </c>
      <c r="FQ63" s="108" t="str">
        <f t="shared" si="104"/>
        <v/>
      </c>
      <c r="FR63" s="108" t="str">
        <f t="shared" si="104"/>
        <v/>
      </c>
      <c r="FS63" s="108" t="str">
        <f t="shared" si="104"/>
        <v/>
      </c>
      <c r="FT63" s="108" t="str">
        <f t="shared" si="104"/>
        <v/>
      </c>
      <c r="FU63" s="108" t="str">
        <f t="shared" si="104"/>
        <v/>
      </c>
      <c r="FV63" s="108" t="str">
        <f t="shared" si="104"/>
        <v/>
      </c>
      <c r="FW63" s="110" t="str">
        <f t="shared" si="104"/>
        <v/>
      </c>
    </row>
    <row r="64" spans="2:179" s="101" customFormat="1" ht="21" customHeight="1" x14ac:dyDescent="0.35">
      <c r="B64" s="27" t="e">
        <f>Portfolio_Daten!#REF!</f>
        <v>#REF!</v>
      </c>
      <c r="C64" s="27">
        <f>Portfolio_Daten!B65</f>
        <v>0</v>
      </c>
      <c r="D64" s="28">
        <f>Portfolio_Daten!E65</f>
        <v>0</v>
      </c>
      <c r="E64" s="31">
        <f>Portfolio_Daten!T65</f>
        <v>0</v>
      </c>
      <c r="F64" s="31">
        <f>Portfolio_Daten!U65</f>
        <v>0</v>
      </c>
      <c r="G64" s="107">
        <f>IF(F64="","",NETWORKDAYS(E64,F64,Parameter!$C$4:$C$51))</f>
        <v>0</v>
      </c>
      <c r="H64" s="29">
        <f>Portfolio_Daten!AG65</f>
        <v>0</v>
      </c>
      <c r="I64" s="33">
        <f>Portfolio_Daten!AI65</f>
        <v>0</v>
      </c>
      <c r="J64" s="106"/>
      <c r="K64" s="108" t="str">
        <f t="shared" si="88"/>
        <v/>
      </c>
      <c r="L64" s="108" t="str">
        <f t="shared" si="88"/>
        <v/>
      </c>
      <c r="M64" s="108" t="str">
        <f t="shared" si="88"/>
        <v/>
      </c>
      <c r="N64" s="108" t="str">
        <f t="shared" si="88"/>
        <v/>
      </c>
      <c r="O64" s="108" t="str">
        <f t="shared" si="88"/>
        <v/>
      </c>
      <c r="P64" s="108" t="str">
        <f t="shared" si="88"/>
        <v/>
      </c>
      <c r="Q64" s="108" t="str">
        <f t="shared" si="88"/>
        <v/>
      </c>
      <c r="R64" s="108" t="str">
        <f t="shared" si="88"/>
        <v/>
      </c>
      <c r="S64" s="108" t="str">
        <f t="shared" si="88"/>
        <v/>
      </c>
      <c r="T64" s="108" t="str">
        <f t="shared" si="88"/>
        <v/>
      </c>
      <c r="U64" s="108" t="str">
        <f t="shared" si="89"/>
        <v/>
      </c>
      <c r="V64" s="108" t="str">
        <f t="shared" si="89"/>
        <v/>
      </c>
      <c r="W64" s="108" t="str">
        <f t="shared" si="89"/>
        <v/>
      </c>
      <c r="X64" s="108" t="str">
        <f t="shared" si="89"/>
        <v/>
      </c>
      <c r="Y64" s="108" t="str">
        <f t="shared" si="89"/>
        <v/>
      </c>
      <c r="Z64" s="108" t="str">
        <f t="shared" si="89"/>
        <v/>
      </c>
      <c r="AA64" s="108" t="str">
        <f t="shared" si="89"/>
        <v/>
      </c>
      <c r="AB64" s="108" t="str">
        <f t="shared" si="89"/>
        <v/>
      </c>
      <c r="AC64" s="108" t="str">
        <f t="shared" si="89"/>
        <v/>
      </c>
      <c r="AD64" s="108" t="str">
        <f t="shared" si="89"/>
        <v/>
      </c>
      <c r="AE64" s="108" t="str">
        <f t="shared" si="90"/>
        <v/>
      </c>
      <c r="AF64" s="108" t="str">
        <f t="shared" si="90"/>
        <v/>
      </c>
      <c r="AG64" s="108" t="str">
        <f t="shared" si="90"/>
        <v/>
      </c>
      <c r="AH64" s="108" t="str">
        <f t="shared" si="90"/>
        <v/>
      </c>
      <c r="AI64" s="108" t="str">
        <f t="shared" si="90"/>
        <v/>
      </c>
      <c r="AJ64" s="108" t="str">
        <f t="shared" si="90"/>
        <v/>
      </c>
      <c r="AK64" s="108" t="str">
        <f t="shared" si="90"/>
        <v/>
      </c>
      <c r="AL64" s="108" t="str">
        <f t="shared" si="90"/>
        <v/>
      </c>
      <c r="AM64" s="108" t="str">
        <f t="shared" si="90"/>
        <v/>
      </c>
      <c r="AN64" s="108" t="str">
        <f t="shared" si="90"/>
        <v/>
      </c>
      <c r="AO64" s="108" t="str">
        <f t="shared" si="91"/>
        <v/>
      </c>
      <c r="AP64" s="108" t="str">
        <f t="shared" si="91"/>
        <v/>
      </c>
      <c r="AQ64" s="108" t="str">
        <f t="shared" si="91"/>
        <v/>
      </c>
      <c r="AR64" s="108" t="str">
        <f t="shared" si="91"/>
        <v/>
      </c>
      <c r="AS64" s="108" t="str">
        <f t="shared" si="91"/>
        <v/>
      </c>
      <c r="AT64" s="108" t="str">
        <f t="shared" si="91"/>
        <v/>
      </c>
      <c r="AU64" s="108" t="str">
        <f t="shared" si="91"/>
        <v/>
      </c>
      <c r="AV64" s="108" t="str">
        <f t="shared" si="91"/>
        <v/>
      </c>
      <c r="AW64" s="108" t="str">
        <f t="shared" si="91"/>
        <v/>
      </c>
      <c r="AX64" s="108" t="str">
        <f t="shared" si="91"/>
        <v/>
      </c>
      <c r="AY64" s="108" t="str">
        <f t="shared" si="92"/>
        <v/>
      </c>
      <c r="AZ64" s="108" t="str">
        <f t="shared" si="92"/>
        <v/>
      </c>
      <c r="BA64" s="108" t="str">
        <f t="shared" si="92"/>
        <v/>
      </c>
      <c r="BB64" s="108" t="str">
        <f t="shared" si="92"/>
        <v/>
      </c>
      <c r="BC64" s="108" t="str">
        <f t="shared" si="92"/>
        <v/>
      </c>
      <c r="BD64" s="108" t="str">
        <f t="shared" si="92"/>
        <v/>
      </c>
      <c r="BE64" s="108" t="str">
        <f t="shared" si="92"/>
        <v/>
      </c>
      <c r="BF64" s="108" t="str">
        <f t="shared" si="92"/>
        <v/>
      </c>
      <c r="BG64" s="108" t="str">
        <f t="shared" si="92"/>
        <v/>
      </c>
      <c r="BH64" s="108" t="str">
        <f t="shared" si="92"/>
        <v/>
      </c>
      <c r="BI64" s="108" t="str">
        <f t="shared" si="93"/>
        <v/>
      </c>
      <c r="BJ64" s="108" t="str">
        <f t="shared" si="93"/>
        <v/>
      </c>
      <c r="BK64" s="108" t="str">
        <f t="shared" si="93"/>
        <v/>
      </c>
      <c r="BL64" s="108" t="str">
        <f t="shared" si="93"/>
        <v/>
      </c>
      <c r="BM64" s="108" t="str">
        <f t="shared" si="93"/>
        <v/>
      </c>
      <c r="BN64" s="108" t="str">
        <f t="shared" si="93"/>
        <v/>
      </c>
      <c r="BO64" s="108" t="str">
        <f t="shared" si="93"/>
        <v/>
      </c>
      <c r="BP64" s="108" t="str">
        <f t="shared" si="93"/>
        <v/>
      </c>
      <c r="BQ64" s="108" t="str">
        <f t="shared" si="93"/>
        <v/>
      </c>
      <c r="BR64" s="108" t="str">
        <f t="shared" si="93"/>
        <v/>
      </c>
      <c r="BS64" s="108" t="str">
        <f t="shared" si="94"/>
        <v/>
      </c>
      <c r="BT64" s="108" t="str">
        <f t="shared" si="94"/>
        <v/>
      </c>
      <c r="BU64" s="108" t="str">
        <f t="shared" si="94"/>
        <v/>
      </c>
      <c r="BV64" s="108" t="str">
        <f t="shared" si="94"/>
        <v/>
      </c>
      <c r="BW64" s="108" t="str">
        <f t="shared" si="94"/>
        <v/>
      </c>
      <c r="BX64" s="108" t="str">
        <f t="shared" si="94"/>
        <v/>
      </c>
      <c r="BY64" s="108" t="str">
        <f t="shared" si="94"/>
        <v/>
      </c>
      <c r="BZ64" s="108" t="str">
        <f t="shared" si="94"/>
        <v/>
      </c>
      <c r="CA64" s="108" t="str">
        <f t="shared" si="94"/>
        <v/>
      </c>
      <c r="CB64" s="108" t="str">
        <f t="shared" si="94"/>
        <v/>
      </c>
      <c r="CC64" s="108" t="str">
        <f t="shared" si="95"/>
        <v/>
      </c>
      <c r="CD64" s="108" t="str">
        <f t="shared" si="95"/>
        <v/>
      </c>
      <c r="CE64" s="108" t="str">
        <f t="shared" si="95"/>
        <v/>
      </c>
      <c r="CF64" s="108" t="str">
        <f t="shared" si="95"/>
        <v/>
      </c>
      <c r="CG64" s="108" t="str">
        <f t="shared" si="95"/>
        <v/>
      </c>
      <c r="CH64" s="108" t="str">
        <f t="shared" si="95"/>
        <v/>
      </c>
      <c r="CI64" s="108" t="str">
        <f t="shared" si="95"/>
        <v/>
      </c>
      <c r="CJ64" s="108" t="str">
        <f t="shared" si="95"/>
        <v/>
      </c>
      <c r="CK64" s="108" t="str">
        <f t="shared" si="95"/>
        <v/>
      </c>
      <c r="CL64" s="108" t="str">
        <f t="shared" si="95"/>
        <v/>
      </c>
      <c r="CM64" s="108" t="str">
        <f t="shared" si="96"/>
        <v/>
      </c>
      <c r="CN64" s="108" t="str">
        <f t="shared" si="96"/>
        <v/>
      </c>
      <c r="CO64" s="108" t="str">
        <f t="shared" si="96"/>
        <v/>
      </c>
      <c r="CP64" s="108" t="str">
        <f t="shared" si="96"/>
        <v/>
      </c>
      <c r="CQ64" s="108" t="str">
        <f t="shared" si="96"/>
        <v/>
      </c>
      <c r="CR64" s="109" t="str">
        <f t="shared" si="96"/>
        <v/>
      </c>
      <c r="CS64" s="108" t="str">
        <f t="shared" si="96"/>
        <v/>
      </c>
      <c r="CT64" s="108" t="str">
        <f t="shared" si="96"/>
        <v/>
      </c>
      <c r="CU64" s="108" t="str">
        <f t="shared" si="96"/>
        <v/>
      </c>
      <c r="CV64" s="108" t="str">
        <f t="shared" si="96"/>
        <v/>
      </c>
      <c r="CW64" s="108" t="str">
        <f t="shared" si="97"/>
        <v/>
      </c>
      <c r="CX64" s="108" t="str">
        <f t="shared" si="97"/>
        <v/>
      </c>
      <c r="CY64" s="108" t="str">
        <f t="shared" si="97"/>
        <v/>
      </c>
      <c r="CZ64" s="109" t="str">
        <f t="shared" si="97"/>
        <v/>
      </c>
      <c r="DA64" s="108" t="str">
        <f t="shared" si="97"/>
        <v/>
      </c>
      <c r="DB64" s="108" t="str">
        <f t="shared" si="97"/>
        <v/>
      </c>
      <c r="DC64" s="108" t="str">
        <f t="shared" si="97"/>
        <v/>
      </c>
      <c r="DD64" s="108" t="str">
        <f t="shared" si="97"/>
        <v/>
      </c>
      <c r="DE64" s="108" t="str">
        <f t="shared" si="97"/>
        <v/>
      </c>
      <c r="DF64" s="108" t="str">
        <f t="shared" si="97"/>
        <v/>
      </c>
      <c r="DG64" s="108" t="str">
        <f t="shared" si="98"/>
        <v/>
      </c>
      <c r="DH64" s="109" t="str">
        <f t="shared" si="98"/>
        <v/>
      </c>
      <c r="DI64" s="108" t="str">
        <f t="shared" si="98"/>
        <v/>
      </c>
      <c r="DJ64" s="108" t="str">
        <f t="shared" si="98"/>
        <v/>
      </c>
      <c r="DK64" s="108" t="str">
        <f t="shared" si="98"/>
        <v/>
      </c>
      <c r="DL64" s="108" t="str">
        <f t="shared" si="98"/>
        <v/>
      </c>
      <c r="DM64" s="108" t="str">
        <f t="shared" si="98"/>
        <v/>
      </c>
      <c r="DN64" s="108" t="str">
        <f t="shared" si="98"/>
        <v/>
      </c>
      <c r="DO64" s="109" t="str">
        <f t="shared" si="98"/>
        <v/>
      </c>
      <c r="DP64" s="108" t="str">
        <f t="shared" si="98"/>
        <v/>
      </c>
      <c r="DQ64" s="108" t="str">
        <f t="shared" si="99"/>
        <v/>
      </c>
      <c r="DR64" s="108" t="str">
        <f t="shared" si="99"/>
        <v/>
      </c>
      <c r="DS64" s="108" t="str">
        <f t="shared" si="99"/>
        <v/>
      </c>
      <c r="DT64" s="108" t="str">
        <f t="shared" si="99"/>
        <v/>
      </c>
      <c r="DU64" s="108" t="str">
        <f t="shared" si="99"/>
        <v/>
      </c>
      <c r="DV64" s="108" t="str">
        <f t="shared" si="99"/>
        <v/>
      </c>
      <c r="DW64" s="109" t="str">
        <f t="shared" si="99"/>
        <v/>
      </c>
      <c r="DX64" s="108" t="str">
        <f t="shared" si="99"/>
        <v/>
      </c>
      <c r="DY64" s="108" t="str">
        <f t="shared" si="99"/>
        <v/>
      </c>
      <c r="DZ64" s="108" t="str">
        <f t="shared" si="99"/>
        <v/>
      </c>
      <c r="EA64" s="108" t="str">
        <f t="shared" si="100"/>
        <v/>
      </c>
      <c r="EB64" s="108" t="str">
        <f t="shared" si="100"/>
        <v/>
      </c>
      <c r="EC64" s="108" t="str">
        <f t="shared" si="100"/>
        <v/>
      </c>
      <c r="ED64" s="109" t="str">
        <f t="shared" si="100"/>
        <v/>
      </c>
      <c r="EE64" s="108" t="str">
        <f t="shared" si="100"/>
        <v/>
      </c>
      <c r="EF64" s="108" t="str">
        <f t="shared" si="100"/>
        <v/>
      </c>
      <c r="EG64" s="108" t="str">
        <f t="shared" si="100"/>
        <v/>
      </c>
      <c r="EH64" s="108" t="str">
        <f t="shared" si="100"/>
        <v/>
      </c>
      <c r="EI64" s="108" t="str">
        <f t="shared" si="100"/>
        <v/>
      </c>
      <c r="EJ64" s="108" t="str">
        <f t="shared" si="100"/>
        <v/>
      </c>
      <c r="EK64" s="108" t="str">
        <f t="shared" si="101"/>
        <v/>
      </c>
      <c r="EL64" s="108" t="str">
        <f t="shared" si="101"/>
        <v/>
      </c>
      <c r="EM64" s="108" t="str">
        <f t="shared" si="101"/>
        <v/>
      </c>
      <c r="EN64" s="108" t="str">
        <f t="shared" si="101"/>
        <v/>
      </c>
      <c r="EO64" s="108" t="str">
        <f t="shared" si="101"/>
        <v/>
      </c>
      <c r="EP64" s="108" t="str">
        <f t="shared" si="101"/>
        <v/>
      </c>
      <c r="EQ64" s="108" t="str">
        <f t="shared" si="101"/>
        <v/>
      </c>
      <c r="ER64" s="108" t="str">
        <f t="shared" si="101"/>
        <v/>
      </c>
      <c r="ES64" s="109" t="str">
        <f t="shared" si="101"/>
        <v/>
      </c>
      <c r="ET64" s="108" t="str">
        <f t="shared" si="101"/>
        <v/>
      </c>
      <c r="EU64" s="108" t="str">
        <f t="shared" si="102"/>
        <v/>
      </c>
      <c r="EV64" s="108" t="str">
        <f t="shared" si="102"/>
        <v/>
      </c>
      <c r="EW64" s="108" t="str">
        <f t="shared" si="102"/>
        <v/>
      </c>
      <c r="EX64" s="108" t="str">
        <f t="shared" si="102"/>
        <v/>
      </c>
      <c r="EY64" s="108" t="str">
        <f t="shared" si="102"/>
        <v/>
      </c>
      <c r="EZ64" s="108" t="str">
        <f t="shared" si="102"/>
        <v/>
      </c>
      <c r="FA64" s="108" t="str">
        <f t="shared" si="102"/>
        <v/>
      </c>
      <c r="FB64" s="108" t="str">
        <f t="shared" si="102"/>
        <v/>
      </c>
      <c r="FC64" s="108" t="str">
        <f t="shared" si="102"/>
        <v/>
      </c>
      <c r="FD64" s="108" t="str">
        <f t="shared" si="102"/>
        <v/>
      </c>
      <c r="FE64" s="108" t="str">
        <f t="shared" si="103"/>
        <v/>
      </c>
      <c r="FF64" s="109" t="str">
        <f t="shared" si="103"/>
        <v/>
      </c>
      <c r="FG64" s="108" t="str">
        <f t="shared" si="103"/>
        <v/>
      </c>
      <c r="FH64" s="108" t="str">
        <f t="shared" si="103"/>
        <v/>
      </c>
      <c r="FI64" s="108" t="str">
        <f t="shared" si="103"/>
        <v/>
      </c>
      <c r="FJ64" s="108" t="str">
        <f t="shared" si="103"/>
        <v/>
      </c>
      <c r="FK64" s="108" t="str">
        <f t="shared" si="103"/>
        <v/>
      </c>
      <c r="FL64" s="108" t="str">
        <f t="shared" si="103"/>
        <v/>
      </c>
      <c r="FM64" s="108" t="str">
        <f t="shared" si="103"/>
        <v/>
      </c>
      <c r="FN64" s="108" t="str">
        <f t="shared" si="103"/>
        <v/>
      </c>
      <c r="FO64" s="108" t="str">
        <f t="shared" si="104"/>
        <v/>
      </c>
      <c r="FP64" s="108" t="str">
        <f t="shared" si="104"/>
        <v/>
      </c>
      <c r="FQ64" s="108" t="str">
        <f t="shared" si="104"/>
        <v/>
      </c>
      <c r="FR64" s="108" t="str">
        <f t="shared" si="104"/>
        <v/>
      </c>
      <c r="FS64" s="108" t="str">
        <f t="shared" si="104"/>
        <v/>
      </c>
      <c r="FT64" s="108" t="str">
        <f t="shared" si="104"/>
        <v/>
      </c>
      <c r="FU64" s="108" t="str">
        <f t="shared" si="104"/>
        <v/>
      </c>
      <c r="FV64" s="108" t="str">
        <f t="shared" si="104"/>
        <v/>
      </c>
      <c r="FW64" s="110" t="str">
        <f t="shared" si="104"/>
        <v/>
      </c>
    </row>
    <row r="65" spans="2:179" s="101" customFormat="1" ht="21" customHeight="1" x14ac:dyDescent="0.35">
      <c r="B65" s="27" t="e">
        <f>Portfolio_Daten!#REF!</f>
        <v>#REF!</v>
      </c>
      <c r="C65" s="27">
        <f>Portfolio_Daten!B66</f>
        <v>0</v>
      </c>
      <c r="D65" s="28">
        <f>Portfolio_Daten!E66</f>
        <v>0</v>
      </c>
      <c r="E65" s="31">
        <f>Portfolio_Daten!T66</f>
        <v>0</v>
      </c>
      <c r="F65" s="31">
        <f>Portfolio_Daten!U66</f>
        <v>0</v>
      </c>
      <c r="G65" s="107">
        <f>IF(F65="","",NETWORKDAYS(E65,F65,Parameter!$C$4:$C$51))</f>
        <v>0</v>
      </c>
      <c r="H65" s="29">
        <f>Portfolio_Daten!AG66</f>
        <v>0</v>
      </c>
      <c r="I65" s="33">
        <f>Portfolio_Daten!AI66</f>
        <v>0</v>
      </c>
      <c r="J65" s="106"/>
      <c r="K65" s="108" t="str">
        <f t="shared" si="88"/>
        <v/>
      </c>
      <c r="L65" s="108" t="str">
        <f t="shared" si="88"/>
        <v/>
      </c>
      <c r="M65" s="108" t="str">
        <f t="shared" si="88"/>
        <v/>
      </c>
      <c r="N65" s="108" t="str">
        <f t="shared" si="88"/>
        <v/>
      </c>
      <c r="O65" s="108" t="str">
        <f t="shared" si="88"/>
        <v/>
      </c>
      <c r="P65" s="108" t="str">
        <f t="shared" si="88"/>
        <v/>
      </c>
      <c r="Q65" s="108" t="str">
        <f t="shared" si="88"/>
        <v/>
      </c>
      <c r="R65" s="108" t="str">
        <f t="shared" si="88"/>
        <v/>
      </c>
      <c r="S65" s="108" t="str">
        <f t="shared" si="88"/>
        <v/>
      </c>
      <c r="T65" s="108" t="str">
        <f t="shared" si="88"/>
        <v/>
      </c>
      <c r="U65" s="108" t="str">
        <f t="shared" si="89"/>
        <v/>
      </c>
      <c r="V65" s="108" t="str">
        <f t="shared" si="89"/>
        <v/>
      </c>
      <c r="W65" s="108" t="str">
        <f t="shared" si="89"/>
        <v/>
      </c>
      <c r="X65" s="108" t="str">
        <f t="shared" si="89"/>
        <v/>
      </c>
      <c r="Y65" s="108" t="str">
        <f t="shared" si="89"/>
        <v/>
      </c>
      <c r="Z65" s="108" t="str">
        <f t="shared" si="89"/>
        <v/>
      </c>
      <c r="AA65" s="108" t="str">
        <f t="shared" si="89"/>
        <v/>
      </c>
      <c r="AB65" s="108" t="str">
        <f t="shared" si="89"/>
        <v/>
      </c>
      <c r="AC65" s="108" t="str">
        <f t="shared" si="89"/>
        <v/>
      </c>
      <c r="AD65" s="108" t="str">
        <f t="shared" si="89"/>
        <v/>
      </c>
      <c r="AE65" s="108" t="str">
        <f t="shared" si="90"/>
        <v/>
      </c>
      <c r="AF65" s="108" t="str">
        <f t="shared" si="90"/>
        <v/>
      </c>
      <c r="AG65" s="108" t="str">
        <f t="shared" si="90"/>
        <v/>
      </c>
      <c r="AH65" s="108" t="str">
        <f t="shared" si="90"/>
        <v/>
      </c>
      <c r="AI65" s="108" t="str">
        <f t="shared" si="90"/>
        <v/>
      </c>
      <c r="AJ65" s="108" t="str">
        <f t="shared" si="90"/>
        <v/>
      </c>
      <c r="AK65" s="108" t="str">
        <f t="shared" si="90"/>
        <v/>
      </c>
      <c r="AL65" s="108" t="str">
        <f t="shared" si="90"/>
        <v/>
      </c>
      <c r="AM65" s="108" t="str">
        <f t="shared" si="90"/>
        <v/>
      </c>
      <c r="AN65" s="108" t="str">
        <f t="shared" si="90"/>
        <v/>
      </c>
      <c r="AO65" s="108" t="str">
        <f t="shared" si="91"/>
        <v/>
      </c>
      <c r="AP65" s="108" t="str">
        <f t="shared" si="91"/>
        <v/>
      </c>
      <c r="AQ65" s="108" t="str">
        <f t="shared" si="91"/>
        <v/>
      </c>
      <c r="AR65" s="108" t="str">
        <f t="shared" si="91"/>
        <v/>
      </c>
      <c r="AS65" s="108" t="str">
        <f t="shared" si="91"/>
        <v/>
      </c>
      <c r="AT65" s="108" t="str">
        <f t="shared" si="91"/>
        <v/>
      </c>
      <c r="AU65" s="108" t="str">
        <f t="shared" si="91"/>
        <v/>
      </c>
      <c r="AV65" s="108" t="str">
        <f t="shared" si="91"/>
        <v/>
      </c>
      <c r="AW65" s="108" t="str">
        <f t="shared" si="91"/>
        <v/>
      </c>
      <c r="AX65" s="108" t="str">
        <f t="shared" si="91"/>
        <v/>
      </c>
      <c r="AY65" s="108" t="str">
        <f t="shared" si="92"/>
        <v/>
      </c>
      <c r="AZ65" s="108" t="str">
        <f t="shared" si="92"/>
        <v/>
      </c>
      <c r="BA65" s="108" t="str">
        <f t="shared" si="92"/>
        <v/>
      </c>
      <c r="BB65" s="108" t="str">
        <f t="shared" si="92"/>
        <v/>
      </c>
      <c r="BC65" s="108" t="str">
        <f t="shared" si="92"/>
        <v/>
      </c>
      <c r="BD65" s="108" t="str">
        <f t="shared" si="92"/>
        <v/>
      </c>
      <c r="BE65" s="108" t="str">
        <f t="shared" si="92"/>
        <v/>
      </c>
      <c r="BF65" s="108" t="str">
        <f t="shared" si="92"/>
        <v/>
      </c>
      <c r="BG65" s="108" t="str">
        <f t="shared" si="92"/>
        <v/>
      </c>
      <c r="BH65" s="108" t="str">
        <f t="shared" si="92"/>
        <v/>
      </c>
      <c r="BI65" s="108" t="str">
        <f t="shared" si="93"/>
        <v/>
      </c>
      <c r="BJ65" s="108" t="str">
        <f t="shared" si="93"/>
        <v/>
      </c>
      <c r="BK65" s="108" t="str">
        <f t="shared" si="93"/>
        <v/>
      </c>
      <c r="BL65" s="108" t="str">
        <f t="shared" si="93"/>
        <v/>
      </c>
      <c r="BM65" s="108" t="str">
        <f t="shared" si="93"/>
        <v/>
      </c>
      <c r="BN65" s="108" t="str">
        <f t="shared" si="93"/>
        <v/>
      </c>
      <c r="BO65" s="108" t="str">
        <f t="shared" si="93"/>
        <v/>
      </c>
      <c r="BP65" s="108" t="str">
        <f t="shared" si="93"/>
        <v/>
      </c>
      <c r="BQ65" s="108" t="str">
        <f t="shared" si="93"/>
        <v/>
      </c>
      <c r="BR65" s="108" t="str">
        <f t="shared" si="93"/>
        <v/>
      </c>
      <c r="BS65" s="108" t="str">
        <f t="shared" si="94"/>
        <v/>
      </c>
      <c r="BT65" s="108" t="str">
        <f t="shared" si="94"/>
        <v/>
      </c>
      <c r="BU65" s="108" t="str">
        <f t="shared" si="94"/>
        <v/>
      </c>
      <c r="BV65" s="108" t="str">
        <f t="shared" si="94"/>
        <v/>
      </c>
      <c r="BW65" s="108" t="str">
        <f t="shared" si="94"/>
        <v/>
      </c>
      <c r="BX65" s="108" t="str">
        <f t="shared" si="94"/>
        <v/>
      </c>
      <c r="BY65" s="108" t="str">
        <f t="shared" si="94"/>
        <v/>
      </c>
      <c r="BZ65" s="108" t="str">
        <f t="shared" si="94"/>
        <v/>
      </c>
      <c r="CA65" s="108" t="str">
        <f t="shared" si="94"/>
        <v/>
      </c>
      <c r="CB65" s="108" t="str">
        <f t="shared" si="94"/>
        <v/>
      </c>
      <c r="CC65" s="108" t="str">
        <f t="shared" si="95"/>
        <v/>
      </c>
      <c r="CD65" s="108" t="str">
        <f t="shared" si="95"/>
        <v/>
      </c>
      <c r="CE65" s="108" t="str">
        <f t="shared" si="95"/>
        <v/>
      </c>
      <c r="CF65" s="108" t="str">
        <f t="shared" si="95"/>
        <v/>
      </c>
      <c r="CG65" s="108" t="str">
        <f t="shared" si="95"/>
        <v/>
      </c>
      <c r="CH65" s="108" t="str">
        <f t="shared" si="95"/>
        <v/>
      </c>
      <c r="CI65" s="108" t="str">
        <f t="shared" si="95"/>
        <v/>
      </c>
      <c r="CJ65" s="108" t="str">
        <f t="shared" si="95"/>
        <v/>
      </c>
      <c r="CK65" s="108" t="str">
        <f t="shared" si="95"/>
        <v/>
      </c>
      <c r="CL65" s="108" t="str">
        <f t="shared" si="95"/>
        <v/>
      </c>
      <c r="CM65" s="108" t="str">
        <f t="shared" si="96"/>
        <v/>
      </c>
      <c r="CN65" s="108" t="str">
        <f t="shared" si="96"/>
        <v/>
      </c>
      <c r="CO65" s="108" t="str">
        <f t="shared" si="96"/>
        <v/>
      </c>
      <c r="CP65" s="108" t="str">
        <f t="shared" si="96"/>
        <v/>
      </c>
      <c r="CQ65" s="108" t="str">
        <f t="shared" si="96"/>
        <v/>
      </c>
      <c r="CR65" s="109" t="str">
        <f t="shared" si="96"/>
        <v/>
      </c>
      <c r="CS65" s="108" t="str">
        <f t="shared" si="96"/>
        <v/>
      </c>
      <c r="CT65" s="108" t="str">
        <f t="shared" si="96"/>
        <v/>
      </c>
      <c r="CU65" s="108" t="str">
        <f t="shared" si="96"/>
        <v/>
      </c>
      <c r="CV65" s="108" t="str">
        <f t="shared" si="96"/>
        <v/>
      </c>
      <c r="CW65" s="108" t="str">
        <f t="shared" si="97"/>
        <v/>
      </c>
      <c r="CX65" s="108" t="str">
        <f t="shared" si="97"/>
        <v/>
      </c>
      <c r="CY65" s="108" t="str">
        <f t="shared" si="97"/>
        <v/>
      </c>
      <c r="CZ65" s="109" t="str">
        <f t="shared" si="97"/>
        <v/>
      </c>
      <c r="DA65" s="108" t="str">
        <f t="shared" si="97"/>
        <v/>
      </c>
      <c r="DB65" s="108" t="str">
        <f t="shared" si="97"/>
        <v/>
      </c>
      <c r="DC65" s="108" t="str">
        <f t="shared" si="97"/>
        <v/>
      </c>
      <c r="DD65" s="108" t="str">
        <f t="shared" si="97"/>
        <v/>
      </c>
      <c r="DE65" s="108" t="str">
        <f t="shared" si="97"/>
        <v/>
      </c>
      <c r="DF65" s="108" t="str">
        <f t="shared" si="97"/>
        <v/>
      </c>
      <c r="DG65" s="108" t="str">
        <f t="shared" si="98"/>
        <v/>
      </c>
      <c r="DH65" s="109" t="str">
        <f t="shared" si="98"/>
        <v/>
      </c>
      <c r="DI65" s="108" t="str">
        <f t="shared" si="98"/>
        <v/>
      </c>
      <c r="DJ65" s="108" t="str">
        <f t="shared" si="98"/>
        <v/>
      </c>
      <c r="DK65" s="108" t="str">
        <f t="shared" si="98"/>
        <v/>
      </c>
      <c r="DL65" s="108" t="str">
        <f t="shared" si="98"/>
        <v/>
      </c>
      <c r="DM65" s="108" t="str">
        <f t="shared" si="98"/>
        <v/>
      </c>
      <c r="DN65" s="108" t="str">
        <f t="shared" si="98"/>
        <v/>
      </c>
      <c r="DO65" s="109" t="str">
        <f t="shared" si="98"/>
        <v/>
      </c>
      <c r="DP65" s="108" t="str">
        <f t="shared" si="98"/>
        <v/>
      </c>
      <c r="DQ65" s="108" t="str">
        <f t="shared" si="99"/>
        <v/>
      </c>
      <c r="DR65" s="108" t="str">
        <f t="shared" si="99"/>
        <v/>
      </c>
      <c r="DS65" s="108" t="str">
        <f t="shared" si="99"/>
        <v/>
      </c>
      <c r="DT65" s="108" t="str">
        <f t="shared" si="99"/>
        <v/>
      </c>
      <c r="DU65" s="108" t="str">
        <f t="shared" si="99"/>
        <v/>
      </c>
      <c r="DV65" s="108" t="str">
        <f t="shared" si="99"/>
        <v/>
      </c>
      <c r="DW65" s="109" t="str">
        <f t="shared" si="99"/>
        <v/>
      </c>
      <c r="DX65" s="108" t="str">
        <f t="shared" si="99"/>
        <v/>
      </c>
      <c r="DY65" s="108" t="str">
        <f t="shared" si="99"/>
        <v/>
      </c>
      <c r="DZ65" s="108" t="str">
        <f t="shared" si="99"/>
        <v/>
      </c>
      <c r="EA65" s="108" t="str">
        <f t="shared" si="100"/>
        <v/>
      </c>
      <c r="EB65" s="108" t="str">
        <f t="shared" si="100"/>
        <v/>
      </c>
      <c r="EC65" s="108" t="str">
        <f t="shared" si="100"/>
        <v/>
      </c>
      <c r="ED65" s="109" t="str">
        <f t="shared" si="100"/>
        <v/>
      </c>
      <c r="EE65" s="108" t="str">
        <f t="shared" si="100"/>
        <v/>
      </c>
      <c r="EF65" s="108" t="str">
        <f t="shared" si="100"/>
        <v/>
      </c>
      <c r="EG65" s="108" t="str">
        <f t="shared" si="100"/>
        <v/>
      </c>
      <c r="EH65" s="108" t="str">
        <f t="shared" si="100"/>
        <v/>
      </c>
      <c r="EI65" s="108" t="str">
        <f t="shared" si="100"/>
        <v/>
      </c>
      <c r="EJ65" s="108" t="str">
        <f t="shared" si="100"/>
        <v/>
      </c>
      <c r="EK65" s="108" t="str">
        <f t="shared" si="101"/>
        <v/>
      </c>
      <c r="EL65" s="108" t="str">
        <f t="shared" si="101"/>
        <v/>
      </c>
      <c r="EM65" s="108" t="str">
        <f t="shared" si="101"/>
        <v/>
      </c>
      <c r="EN65" s="108" t="str">
        <f t="shared" si="101"/>
        <v/>
      </c>
      <c r="EO65" s="108" t="str">
        <f t="shared" si="101"/>
        <v/>
      </c>
      <c r="EP65" s="108" t="str">
        <f t="shared" si="101"/>
        <v/>
      </c>
      <c r="EQ65" s="108" t="str">
        <f t="shared" si="101"/>
        <v/>
      </c>
      <c r="ER65" s="108" t="str">
        <f t="shared" si="101"/>
        <v/>
      </c>
      <c r="ES65" s="109" t="str">
        <f t="shared" si="101"/>
        <v/>
      </c>
      <c r="ET65" s="108" t="str">
        <f t="shared" si="101"/>
        <v/>
      </c>
      <c r="EU65" s="108" t="str">
        <f t="shared" si="102"/>
        <v/>
      </c>
      <c r="EV65" s="108" t="str">
        <f t="shared" si="102"/>
        <v/>
      </c>
      <c r="EW65" s="108" t="str">
        <f t="shared" si="102"/>
        <v/>
      </c>
      <c r="EX65" s="108" t="str">
        <f t="shared" si="102"/>
        <v/>
      </c>
      <c r="EY65" s="108" t="str">
        <f t="shared" si="102"/>
        <v/>
      </c>
      <c r="EZ65" s="108" t="str">
        <f t="shared" si="102"/>
        <v/>
      </c>
      <c r="FA65" s="108" t="str">
        <f t="shared" si="102"/>
        <v/>
      </c>
      <c r="FB65" s="108" t="str">
        <f t="shared" si="102"/>
        <v/>
      </c>
      <c r="FC65" s="108" t="str">
        <f t="shared" si="102"/>
        <v/>
      </c>
      <c r="FD65" s="108" t="str">
        <f t="shared" si="102"/>
        <v/>
      </c>
      <c r="FE65" s="108" t="str">
        <f t="shared" si="103"/>
        <v/>
      </c>
      <c r="FF65" s="109" t="str">
        <f t="shared" si="103"/>
        <v/>
      </c>
      <c r="FG65" s="108" t="str">
        <f t="shared" si="103"/>
        <v/>
      </c>
      <c r="FH65" s="108" t="str">
        <f t="shared" si="103"/>
        <v/>
      </c>
      <c r="FI65" s="108" t="str">
        <f t="shared" si="103"/>
        <v/>
      </c>
      <c r="FJ65" s="108" t="str">
        <f t="shared" si="103"/>
        <v/>
      </c>
      <c r="FK65" s="108" t="str">
        <f t="shared" si="103"/>
        <v/>
      </c>
      <c r="FL65" s="108" t="str">
        <f t="shared" si="103"/>
        <v/>
      </c>
      <c r="FM65" s="108" t="str">
        <f t="shared" si="103"/>
        <v/>
      </c>
      <c r="FN65" s="108" t="str">
        <f t="shared" si="103"/>
        <v/>
      </c>
      <c r="FO65" s="108" t="str">
        <f t="shared" si="104"/>
        <v/>
      </c>
      <c r="FP65" s="108" t="str">
        <f t="shared" si="104"/>
        <v/>
      </c>
      <c r="FQ65" s="108" t="str">
        <f t="shared" si="104"/>
        <v/>
      </c>
      <c r="FR65" s="108" t="str">
        <f t="shared" si="104"/>
        <v/>
      </c>
      <c r="FS65" s="108" t="str">
        <f t="shared" si="104"/>
        <v/>
      </c>
      <c r="FT65" s="108" t="str">
        <f t="shared" si="104"/>
        <v/>
      </c>
      <c r="FU65" s="108" t="str">
        <f t="shared" si="104"/>
        <v/>
      </c>
      <c r="FV65" s="108" t="str">
        <f t="shared" si="104"/>
        <v/>
      </c>
      <c r="FW65" s="110" t="str">
        <f t="shared" si="104"/>
        <v/>
      </c>
    </row>
    <row r="66" spans="2:179" s="101" customFormat="1" ht="21" customHeight="1" x14ac:dyDescent="0.35">
      <c r="B66" s="27" t="e">
        <f>Portfolio_Daten!#REF!</f>
        <v>#REF!</v>
      </c>
      <c r="C66" s="27">
        <f>Portfolio_Daten!B67</f>
        <v>0</v>
      </c>
      <c r="D66" s="28">
        <f>Portfolio_Daten!E67</f>
        <v>0</v>
      </c>
      <c r="E66" s="31">
        <f>Portfolio_Daten!T67</f>
        <v>0</v>
      </c>
      <c r="F66" s="31">
        <f>Portfolio_Daten!U67</f>
        <v>0</v>
      </c>
      <c r="G66" s="107">
        <f>IF(F66="","",NETWORKDAYS(E66,F66,Parameter!$C$4:$C$51))</f>
        <v>0</v>
      </c>
      <c r="H66" s="29">
        <f>Portfolio_Daten!AG67</f>
        <v>0</v>
      </c>
      <c r="I66" s="33">
        <f>Portfolio_Daten!AI67</f>
        <v>0</v>
      </c>
      <c r="J66" s="106"/>
      <c r="K66" s="108" t="str">
        <f t="shared" si="88"/>
        <v/>
      </c>
      <c r="L66" s="108" t="str">
        <f t="shared" si="88"/>
        <v/>
      </c>
      <c r="M66" s="108" t="str">
        <f t="shared" si="88"/>
        <v/>
      </c>
      <c r="N66" s="108" t="str">
        <f t="shared" si="88"/>
        <v/>
      </c>
      <c r="O66" s="108" t="str">
        <f t="shared" si="88"/>
        <v/>
      </c>
      <c r="P66" s="108" t="str">
        <f t="shared" si="88"/>
        <v/>
      </c>
      <c r="Q66" s="108" t="str">
        <f t="shared" si="88"/>
        <v/>
      </c>
      <c r="R66" s="108" t="str">
        <f t="shared" si="88"/>
        <v/>
      </c>
      <c r="S66" s="108" t="str">
        <f t="shared" si="88"/>
        <v/>
      </c>
      <c r="T66" s="108" t="str">
        <f t="shared" si="88"/>
        <v/>
      </c>
      <c r="U66" s="108" t="str">
        <f t="shared" si="89"/>
        <v/>
      </c>
      <c r="V66" s="108" t="str">
        <f t="shared" si="89"/>
        <v/>
      </c>
      <c r="W66" s="108" t="str">
        <f t="shared" si="89"/>
        <v/>
      </c>
      <c r="X66" s="108" t="str">
        <f t="shared" si="89"/>
        <v/>
      </c>
      <c r="Y66" s="108" t="str">
        <f t="shared" si="89"/>
        <v/>
      </c>
      <c r="Z66" s="108" t="str">
        <f t="shared" si="89"/>
        <v/>
      </c>
      <c r="AA66" s="108" t="str">
        <f t="shared" si="89"/>
        <v/>
      </c>
      <c r="AB66" s="108" t="str">
        <f t="shared" si="89"/>
        <v/>
      </c>
      <c r="AC66" s="108" t="str">
        <f t="shared" si="89"/>
        <v/>
      </c>
      <c r="AD66" s="108" t="str">
        <f t="shared" si="89"/>
        <v/>
      </c>
      <c r="AE66" s="108" t="str">
        <f t="shared" si="90"/>
        <v/>
      </c>
      <c r="AF66" s="108" t="str">
        <f t="shared" si="90"/>
        <v/>
      </c>
      <c r="AG66" s="108" t="str">
        <f t="shared" si="90"/>
        <v/>
      </c>
      <c r="AH66" s="108" t="str">
        <f t="shared" si="90"/>
        <v/>
      </c>
      <c r="AI66" s="108" t="str">
        <f t="shared" si="90"/>
        <v/>
      </c>
      <c r="AJ66" s="108" t="str">
        <f t="shared" si="90"/>
        <v/>
      </c>
      <c r="AK66" s="108" t="str">
        <f t="shared" si="90"/>
        <v/>
      </c>
      <c r="AL66" s="108" t="str">
        <f t="shared" si="90"/>
        <v/>
      </c>
      <c r="AM66" s="108" t="str">
        <f t="shared" si="90"/>
        <v/>
      </c>
      <c r="AN66" s="108" t="str">
        <f t="shared" si="90"/>
        <v/>
      </c>
      <c r="AO66" s="108" t="str">
        <f t="shared" si="91"/>
        <v/>
      </c>
      <c r="AP66" s="108" t="str">
        <f t="shared" si="91"/>
        <v/>
      </c>
      <c r="AQ66" s="108" t="str">
        <f t="shared" si="91"/>
        <v/>
      </c>
      <c r="AR66" s="108" t="str">
        <f t="shared" si="91"/>
        <v/>
      </c>
      <c r="AS66" s="108" t="str">
        <f t="shared" si="91"/>
        <v/>
      </c>
      <c r="AT66" s="108" t="str">
        <f t="shared" si="91"/>
        <v/>
      </c>
      <c r="AU66" s="108" t="str">
        <f t="shared" si="91"/>
        <v/>
      </c>
      <c r="AV66" s="108" t="str">
        <f t="shared" si="91"/>
        <v/>
      </c>
      <c r="AW66" s="108" t="str">
        <f t="shared" si="91"/>
        <v/>
      </c>
      <c r="AX66" s="108" t="str">
        <f t="shared" si="91"/>
        <v/>
      </c>
      <c r="AY66" s="108" t="str">
        <f t="shared" si="92"/>
        <v/>
      </c>
      <c r="AZ66" s="108" t="str">
        <f t="shared" si="92"/>
        <v/>
      </c>
      <c r="BA66" s="108" t="str">
        <f t="shared" si="92"/>
        <v/>
      </c>
      <c r="BB66" s="108" t="str">
        <f t="shared" si="92"/>
        <v/>
      </c>
      <c r="BC66" s="108" t="str">
        <f t="shared" si="92"/>
        <v/>
      </c>
      <c r="BD66" s="108" t="str">
        <f t="shared" si="92"/>
        <v/>
      </c>
      <c r="BE66" s="108" t="str">
        <f t="shared" si="92"/>
        <v/>
      </c>
      <c r="BF66" s="108" t="str">
        <f t="shared" si="92"/>
        <v/>
      </c>
      <c r="BG66" s="108" t="str">
        <f t="shared" si="92"/>
        <v/>
      </c>
      <c r="BH66" s="108" t="str">
        <f t="shared" si="92"/>
        <v/>
      </c>
      <c r="BI66" s="108" t="str">
        <f t="shared" si="93"/>
        <v/>
      </c>
      <c r="BJ66" s="108" t="str">
        <f t="shared" si="93"/>
        <v/>
      </c>
      <c r="BK66" s="108" t="str">
        <f t="shared" si="93"/>
        <v/>
      </c>
      <c r="BL66" s="108" t="str">
        <f t="shared" si="93"/>
        <v/>
      </c>
      <c r="BM66" s="108" t="str">
        <f t="shared" si="93"/>
        <v/>
      </c>
      <c r="BN66" s="108" t="str">
        <f t="shared" si="93"/>
        <v/>
      </c>
      <c r="BO66" s="108" t="str">
        <f t="shared" si="93"/>
        <v/>
      </c>
      <c r="BP66" s="108" t="str">
        <f t="shared" si="93"/>
        <v/>
      </c>
      <c r="BQ66" s="108" t="str">
        <f t="shared" si="93"/>
        <v/>
      </c>
      <c r="BR66" s="108" t="str">
        <f t="shared" si="93"/>
        <v/>
      </c>
      <c r="BS66" s="108" t="str">
        <f t="shared" si="94"/>
        <v/>
      </c>
      <c r="BT66" s="108" t="str">
        <f t="shared" si="94"/>
        <v/>
      </c>
      <c r="BU66" s="108" t="str">
        <f t="shared" si="94"/>
        <v/>
      </c>
      <c r="BV66" s="108" t="str">
        <f t="shared" si="94"/>
        <v/>
      </c>
      <c r="BW66" s="108" t="str">
        <f t="shared" si="94"/>
        <v/>
      </c>
      <c r="BX66" s="108" t="str">
        <f t="shared" si="94"/>
        <v/>
      </c>
      <c r="BY66" s="108" t="str">
        <f t="shared" si="94"/>
        <v/>
      </c>
      <c r="BZ66" s="108" t="str">
        <f t="shared" si="94"/>
        <v/>
      </c>
      <c r="CA66" s="108" t="str">
        <f t="shared" si="94"/>
        <v/>
      </c>
      <c r="CB66" s="108" t="str">
        <f t="shared" si="94"/>
        <v/>
      </c>
      <c r="CC66" s="108" t="str">
        <f t="shared" si="95"/>
        <v/>
      </c>
      <c r="CD66" s="108" t="str">
        <f t="shared" si="95"/>
        <v/>
      </c>
      <c r="CE66" s="108" t="str">
        <f t="shared" si="95"/>
        <v/>
      </c>
      <c r="CF66" s="108" t="str">
        <f t="shared" si="95"/>
        <v/>
      </c>
      <c r="CG66" s="108" t="str">
        <f t="shared" si="95"/>
        <v/>
      </c>
      <c r="CH66" s="108" t="str">
        <f t="shared" si="95"/>
        <v/>
      </c>
      <c r="CI66" s="108" t="str">
        <f t="shared" si="95"/>
        <v/>
      </c>
      <c r="CJ66" s="108" t="str">
        <f t="shared" si="95"/>
        <v/>
      </c>
      <c r="CK66" s="108" t="str">
        <f t="shared" si="95"/>
        <v/>
      </c>
      <c r="CL66" s="108" t="str">
        <f t="shared" si="95"/>
        <v/>
      </c>
      <c r="CM66" s="108" t="str">
        <f t="shared" si="96"/>
        <v/>
      </c>
      <c r="CN66" s="108" t="str">
        <f t="shared" si="96"/>
        <v/>
      </c>
      <c r="CO66" s="108" t="str">
        <f t="shared" si="96"/>
        <v/>
      </c>
      <c r="CP66" s="108" t="str">
        <f t="shared" si="96"/>
        <v/>
      </c>
      <c r="CQ66" s="108" t="str">
        <f t="shared" si="96"/>
        <v/>
      </c>
      <c r="CR66" s="109" t="str">
        <f t="shared" si="96"/>
        <v/>
      </c>
      <c r="CS66" s="108" t="str">
        <f t="shared" si="96"/>
        <v/>
      </c>
      <c r="CT66" s="108" t="str">
        <f t="shared" si="96"/>
        <v/>
      </c>
      <c r="CU66" s="108" t="str">
        <f t="shared" si="96"/>
        <v/>
      </c>
      <c r="CV66" s="108" t="str">
        <f t="shared" si="96"/>
        <v/>
      </c>
      <c r="CW66" s="108" t="str">
        <f t="shared" si="97"/>
        <v/>
      </c>
      <c r="CX66" s="108" t="str">
        <f t="shared" si="97"/>
        <v/>
      </c>
      <c r="CY66" s="108" t="str">
        <f t="shared" si="97"/>
        <v/>
      </c>
      <c r="CZ66" s="109" t="str">
        <f t="shared" si="97"/>
        <v/>
      </c>
      <c r="DA66" s="108" t="str">
        <f t="shared" si="97"/>
        <v/>
      </c>
      <c r="DB66" s="108" t="str">
        <f t="shared" si="97"/>
        <v/>
      </c>
      <c r="DC66" s="108" t="str">
        <f t="shared" si="97"/>
        <v/>
      </c>
      <c r="DD66" s="108" t="str">
        <f t="shared" si="97"/>
        <v/>
      </c>
      <c r="DE66" s="108" t="str">
        <f t="shared" si="97"/>
        <v/>
      </c>
      <c r="DF66" s="108" t="str">
        <f t="shared" si="97"/>
        <v/>
      </c>
      <c r="DG66" s="108" t="str">
        <f t="shared" si="98"/>
        <v/>
      </c>
      <c r="DH66" s="109" t="str">
        <f t="shared" si="98"/>
        <v/>
      </c>
      <c r="DI66" s="108" t="str">
        <f t="shared" si="98"/>
        <v/>
      </c>
      <c r="DJ66" s="108" t="str">
        <f t="shared" si="98"/>
        <v/>
      </c>
      <c r="DK66" s="108" t="str">
        <f t="shared" si="98"/>
        <v/>
      </c>
      <c r="DL66" s="108" t="str">
        <f t="shared" si="98"/>
        <v/>
      </c>
      <c r="DM66" s="108" t="str">
        <f t="shared" si="98"/>
        <v/>
      </c>
      <c r="DN66" s="108" t="str">
        <f t="shared" si="98"/>
        <v/>
      </c>
      <c r="DO66" s="109" t="str">
        <f t="shared" si="98"/>
        <v/>
      </c>
      <c r="DP66" s="108" t="str">
        <f t="shared" si="98"/>
        <v/>
      </c>
      <c r="DQ66" s="108" t="str">
        <f t="shared" si="99"/>
        <v/>
      </c>
      <c r="DR66" s="108" t="str">
        <f t="shared" si="99"/>
        <v/>
      </c>
      <c r="DS66" s="108" t="str">
        <f t="shared" si="99"/>
        <v/>
      </c>
      <c r="DT66" s="108" t="str">
        <f t="shared" si="99"/>
        <v/>
      </c>
      <c r="DU66" s="108" t="str">
        <f t="shared" si="99"/>
        <v/>
      </c>
      <c r="DV66" s="108" t="str">
        <f t="shared" si="99"/>
        <v/>
      </c>
      <c r="DW66" s="109" t="str">
        <f t="shared" si="99"/>
        <v/>
      </c>
      <c r="DX66" s="108" t="str">
        <f t="shared" si="99"/>
        <v/>
      </c>
      <c r="DY66" s="108" t="str">
        <f t="shared" si="99"/>
        <v/>
      </c>
      <c r="DZ66" s="108" t="str">
        <f t="shared" si="99"/>
        <v/>
      </c>
      <c r="EA66" s="108" t="str">
        <f t="shared" si="100"/>
        <v/>
      </c>
      <c r="EB66" s="108" t="str">
        <f t="shared" si="100"/>
        <v/>
      </c>
      <c r="EC66" s="108" t="str">
        <f t="shared" si="100"/>
        <v/>
      </c>
      <c r="ED66" s="109" t="str">
        <f t="shared" si="100"/>
        <v/>
      </c>
      <c r="EE66" s="108" t="str">
        <f t="shared" si="100"/>
        <v/>
      </c>
      <c r="EF66" s="108" t="str">
        <f t="shared" si="100"/>
        <v/>
      </c>
      <c r="EG66" s="108" t="str">
        <f t="shared" si="100"/>
        <v/>
      </c>
      <c r="EH66" s="108" t="str">
        <f t="shared" si="100"/>
        <v/>
      </c>
      <c r="EI66" s="108" t="str">
        <f t="shared" si="100"/>
        <v/>
      </c>
      <c r="EJ66" s="108" t="str">
        <f t="shared" si="100"/>
        <v/>
      </c>
      <c r="EK66" s="108" t="str">
        <f t="shared" si="101"/>
        <v/>
      </c>
      <c r="EL66" s="108" t="str">
        <f t="shared" si="101"/>
        <v/>
      </c>
      <c r="EM66" s="108" t="str">
        <f t="shared" si="101"/>
        <v/>
      </c>
      <c r="EN66" s="108" t="str">
        <f t="shared" si="101"/>
        <v/>
      </c>
      <c r="EO66" s="108" t="str">
        <f t="shared" si="101"/>
        <v/>
      </c>
      <c r="EP66" s="108" t="str">
        <f t="shared" si="101"/>
        <v/>
      </c>
      <c r="EQ66" s="108" t="str">
        <f t="shared" si="101"/>
        <v/>
      </c>
      <c r="ER66" s="108" t="str">
        <f t="shared" si="101"/>
        <v/>
      </c>
      <c r="ES66" s="109" t="str">
        <f t="shared" si="101"/>
        <v/>
      </c>
      <c r="ET66" s="108" t="str">
        <f t="shared" si="101"/>
        <v/>
      </c>
      <c r="EU66" s="108" t="str">
        <f t="shared" si="102"/>
        <v/>
      </c>
      <c r="EV66" s="108" t="str">
        <f t="shared" si="102"/>
        <v/>
      </c>
      <c r="EW66" s="108" t="str">
        <f t="shared" si="102"/>
        <v/>
      </c>
      <c r="EX66" s="108" t="str">
        <f t="shared" si="102"/>
        <v/>
      </c>
      <c r="EY66" s="108" t="str">
        <f t="shared" si="102"/>
        <v/>
      </c>
      <c r="EZ66" s="108" t="str">
        <f t="shared" si="102"/>
        <v/>
      </c>
      <c r="FA66" s="108" t="str">
        <f t="shared" si="102"/>
        <v/>
      </c>
      <c r="FB66" s="108" t="str">
        <f t="shared" si="102"/>
        <v/>
      </c>
      <c r="FC66" s="108" t="str">
        <f t="shared" si="102"/>
        <v/>
      </c>
      <c r="FD66" s="108" t="str">
        <f t="shared" si="102"/>
        <v/>
      </c>
      <c r="FE66" s="108" t="str">
        <f t="shared" si="103"/>
        <v/>
      </c>
      <c r="FF66" s="109" t="str">
        <f t="shared" si="103"/>
        <v/>
      </c>
      <c r="FG66" s="108" t="str">
        <f t="shared" si="103"/>
        <v/>
      </c>
      <c r="FH66" s="108" t="str">
        <f t="shared" si="103"/>
        <v/>
      </c>
      <c r="FI66" s="108" t="str">
        <f t="shared" si="103"/>
        <v/>
      </c>
      <c r="FJ66" s="108" t="str">
        <f t="shared" si="103"/>
        <v/>
      </c>
      <c r="FK66" s="108" t="str">
        <f t="shared" si="103"/>
        <v/>
      </c>
      <c r="FL66" s="108" t="str">
        <f t="shared" si="103"/>
        <v/>
      </c>
      <c r="FM66" s="108" t="str">
        <f t="shared" si="103"/>
        <v/>
      </c>
      <c r="FN66" s="108" t="str">
        <f t="shared" si="103"/>
        <v/>
      </c>
      <c r="FO66" s="108" t="str">
        <f t="shared" si="104"/>
        <v/>
      </c>
      <c r="FP66" s="108" t="str">
        <f t="shared" si="104"/>
        <v/>
      </c>
      <c r="FQ66" s="108" t="str">
        <f t="shared" si="104"/>
        <v/>
      </c>
      <c r="FR66" s="108" t="str">
        <f t="shared" si="104"/>
        <v/>
      </c>
      <c r="FS66" s="108" t="str">
        <f t="shared" si="104"/>
        <v/>
      </c>
      <c r="FT66" s="108" t="str">
        <f t="shared" si="104"/>
        <v/>
      </c>
      <c r="FU66" s="108" t="str">
        <f t="shared" si="104"/>
        <v/>
      </c>
      <c r="FV66" s="108" t="str">
        <f t="shared" si="104"/>
        <v/>
      </c>
      <c r="FW66" s="110" t="str">
        <f t="shared" si="104"/>
        <v/>
      </c>
    </row>
    <row r="67" spans="2:179" s="101" customFormat="1" ht="21" customHeight="1" x14ac:dyDescent="0.35">
      <c r="B67" s="27" t="e">
        <f>Portfolio_Daten!#REF!</f>
        <v>#REF!</v>
      </c>
      <c r="C67" s="27">
        <f>Portfolio_Daten!B68</f>
        <v>0</v>
      </c>
      <c r="D67" s="28">
        <f>Portfolio_Daten!E68</f>
        <v>0</v>
      </c>
      <c r="E67" s="31">
        <f>Portfolio_Daten!T68</f>
        <v>0</v>
      </c>
      <c r="F67" s="31">
        <f>Portfolio_Daten!U68</f>
        <v>0</v>
      </c>
      <c r="G67" s="107">
        <f>IF(F67="","",NETWORKDAYS(E67,F67,Parameter!$C$4:$C$51))</f>
        <v>0</v>
      </c>
      <c r="H67" s="29">
        <f>Portfolio_Daten!AG68</f>
        <v>0</v>
      </c>
      <c r="I67" s="33">
        <f>Portfolio_Daten!AI68</f>
        <v>0</v>
      </c>
      <c r="J67" s="106"/>
      <c r="K67" s="108" t="str">
        <f t="shared" ref="K67:T76" si="105">IF(K$5=($F67-WEEKDAY($F67,2)+1),"u","")</f>
        <v/>
      </c>
      <c r="L67" s="108" t="str">
        <f t="shared" si="105"/>
        <v/>
      </c>
      <c r="M67" s="108" t="str">
        <f t="shared" si="105"/>
        <v/>
      </c>
      <c r="N67" s="108" t="str">
        <f t="shared" si="105"/>
        <v/>
      </c>
      <c r="O67" s="108" t="str">
        <f t="shared" si="105"/>
        <v/>
      </c>
      <c r="P67" s="108" t="str">
        <f t="shared" si="105"/>
        <v/>
      </c>
      <c r="Q67" s="108" t="str">
        <f t="shared" si="105"/>
        <v/>
      </c>
      <c r="R67" s="108" t="str">
        <f t="shared" si="105"/>
        <v/>
      </c>
      <c r="S67" s="108" t="str">
        <f t="shared" si="105"/>
        <v/>
      </c>
      <c r="T67" s="108" t="str">
        <f t="shared" si="105"/>
        <v/>
      </c>
      <c r="U67" s="108" t="str">
        <f t="shared" ref="U67:AD76" si="106">IF(U$5=($F67-WEEKDAY($F67,2)+1),"u","")</f>
        <v/>
      </c>
      <c r="V67" s="108" t="str">
        <f t="shared" si="106"/>
        <v/>
      </c>
      <c r="W67" s="108" t="str">
        <f t="shared" si="106"/>
        <v/>
      </c>
      <c r="X67" s="108" t="str">
        <f t="shared" si="106"/>
        <v/>
      </c>
      <c r="Y67" s="108" t="str">
        <f t="shared" si="106"/>
        <v/>
      </c>
      <c r="Z67" s="108" t="str">
        <f t="shared" si="106"/>
        <v/>
      </c>
      <c r="AA67" s="108" t="str">
        <f t="shared" si="106"/>
        <v/>
      </c>
      <c r="AB67" s="108" t="str">
        <f t="shared" si="106"/>
        <v/>
      </c>
      <c r="AC67" s="108" t="str">
        <f t="shared" si="106"/>
        <v/>
      </c>
      <c r="AD67" s="108" t="str">
        <f t="shared" si="106"/>
        <v/>
      </c>
      <c r="AE67" s="108" t="str">
        <f t="shared" ref="AE67:AN76" si="107">IF(AE$5=($F67-WEEKDAY($F67,2)+1),"u","")</f>
        <v/>
      </c>
      <c r="AF67" s="108" t="str">
        <f t="shared" si="107"/>
        <v/>
      </c>
      <c r="AG67" s="108" t="str">
        <f t="shared" si="107"/>
        <v/>
      </c>
      <c r="AH67" s="108" t="str">
        <f t="shared" si="107"/>
        <v/>
      </c>
      <c r="AI67" s="108" t="str">
        <f t="shared" si="107"/>
        <v/>
      </c>
      <c r="AJ67" s="108" t="str">
        <f t="shared" si="107"/>
        <v/>
      </c>
      <c r="AK67" s="108" t="str">
        <f t="shared" si="107"/>
        <v/>
      </c>
      <c r="AL67" s="108" t="str">
        <f t="shared" si="107"/>
        <v/>
      </c>
      <c r="AM67" s="108" t="str">
        <f t="shared" si="107"/>
        <v/>
      </c>
      <c r="AN67" s="108" t="str">
        <f t="shared" si="107"/>
        <v/>
      </c>
      <c r="AO67" s="108" t="str">
        <f t="shared" ref="AO67:AX76" si="108">IF(AO$5=($F67-WEEKDAY($F67,2)+1),"u","")</f>
        <v/>
      </c>
      <c r="AP67" s="108" t="str">
        <f t="shared" si="108"/>
        <v/>
      </c>
      <c r="AQ67" s="108" t="str">
        <f t="shared" si="108"/>
        <v/>
      </c>
      <c r="AR67" s="108" t="str">
        <f t="shared" si="108"/>
        <v/>
      </c>
      <c r="AS67" s="108" t="str">
        <f t="shared" si="108"/>
        <v/>
      </c>
      <c r="AT67" s="108" t="str">
        <f t="shared" si="108"/>
        <v/>
      </c>
      <c r="AU67" s="108" t="str">
        <f t="shared" si="108"/>
        <v/>
      </c>
      <c r="AV67" s="108" t="str">
        <f t="shared" si="108"/>
        <v/>
      </c>
      <c r="AW67" s="108" t="str">
        <f t="shared" si="108"/>
        <v/>
      </c>
      <c r="AX67" s="108" t="str">
        <f t="shared" si="108"/>
        <v/>
      </c>
      <c r="AY67" s="108" t="str">
        <f t="shared" ref="AY67:BH76" si="109">IF(AY$5=($F67-WEEKDAY($F67,2)+1),"u","")</f>
        <v/>
      </c>
      <c r="AZ67" s="108" t="str">
        <f t="shared" si="109"/>
        <v/>
      </c>
      <c r="BA67" s="108" t="str">
        <f t="shared" si="109"/>
        <v/>
      </c>
      <c r="BB67" s="108" t="str">
        <f t="shared" si="109"/>
        <v/>
      </c>
      <c r="BC67" s="108" t="str">
        <f t="shared" si="109"/>
        <v/>
      </c>
      <c r="BD67" s="108" t="str">
        <f t="shared" si="109"/>
        <v/>
      </c>
      <c r="BE67" s="108" t="str">
        <f t="shared" si="109"/>
        <v/>
      </c>
      <c r="BF67" s="108" t="str">
        <f t="shared" si="109"/>
        <v/>
      </c>
      <c r="BG67" s="108" t="str">
        <f t="shared" si="109"/>
        <v/>
      </c>
      <c r="BH67" s="108" t="str">
        <f t="shared" si="109"/>
        <v/>
      </c>
      <c r="BI67" s="108" t="str">
        <f t="shared" ref="BI67:BR76" si="110">IF(BI$5=($F67-WEEKDAY($F67,2)+1),"u","")</f>
        <v/>
      </c>
      <c r="BJ67" s="108" t="str">
        <f t="shared" si="110"/>
        <v/>
      </c>
      <c r="BK67" s="108" t="str">
        <f t="shared" si="110"/>
        <v/>
      </c>
      <c r="BL67" s="108" t="str">
        <f t="shared" si="110"/>
        <v/>
      </c>
      <c r="BM67" s="108" t="str">
        <f t="shared" si="110"/>
        <v/>
      </c>
      <c r="BN67" s="108" t="str">
        <f t="shared" si="110"/>
        <v/>
      </c>
      <c r="BO67" s="108" t="str">
        <f t="shared" si="110"/>
        <v/>
      </c>
      <c r="BP67" s="108" t="str">
        <f t="shared" si="110"/>
        <v/>
      </c>
      <c r="BQ67" s="108" t="str">
        <f t="shared" si="110"/>
        <v/>
      </c>
      <c r="BR67" s="108" t="str">
        <f t="shared" si="110"/>
        <v/>
      </c>
      <c r="BS67" s="108" t="str">
        <f t="shared" ref="BS67:CB76" si="111">IF(BS$5=($F67-WEEKDAY($F67,2)+1),"u","")</f>
        <v/>
      </c>
      <c r="BT67" s="108" t="str">
        <f t="shared" si="111"/>
        <v/>
      </c>
      <c r="BU67" s="108" t="str">
        <f t="shared" si="111"/>
        <v/>
      </c>
      <c r="BV67" s="108" t="str">
        <f t="shared" si="111"/>
        <v/>
      </c>
      <c r="BW67" s="108" t="str">
        <f t="shared" si="111"/>
        <v/>
      </c>
      <c r="BX67" s="108" t="str">
        <f t="shared" si="111"/>
        <v/>
      </c>
      <c r="BY67" s="108" t="str">
        <f t="shared" si="111"/>
        <v/>
      </c>
      <c r="BZ67" s="108" t="str">
        <f t="shared" si="111"/>
        <v/>
      </c>
      <c r="CA67" s="108" t="str">
        <f t="shared" si="111"/>
        <v/>
      </c>
      <c r="CB67" s="108" t="str">
        <f t="shared" si="111"/>
        <v/>
      </c>
      <c r="CC67" s="108" t="str">
        <f t="shared" ref="CC67:CL76" si="112">IF(CC$5=($F67-WEEKDAY($F67,2)+1),"u","")</f>
        <v/>
      </c>
      <c r="CD67" s="108" t="str">
        <f t="shared" si="112"/>
        <v/>
      </c>
      <c r="CE67" s="108" t="str">
        <f t="shared" si="112"/>
        <v/>
      </c>
      <c r="CF67" s="108" t="str">
        <f t="shared" si="112"/>
        <v/>
      </c>
      <c r="CG67" s="108" t="str">
        <f t="shared" si="112"/>
        <v/>
      </c>
      <c r="CH67" s="108" t="str">
        <f t="shared" si="112"/>
        <v/>
      </c>
      <c r="CI67" s="108" t="str">
        <f t="shared" si="112"/>
        <v/>
      </c>
      <c r="CJ67" s="108" t="str">
        <f t="shared" si="112"/>
        <v/>
      </c>
      <c r="CK67" s="108" t="str">
        <f t="shared" si="112"/>
        <v/>
      </c>
      <c r="CL67" s="108" t="str">
        <f t="shared" si="112"/>
        <v/>
      </c>
      <c r="CM67" s="108" t="str">
        <f t="shared" ref="CM67:CV76" si="113">IF(CM$5=($F67-WEEKDAY($F67,2)+1),"u","")</f>
        <v/>
      </c>
      <c r="CN67" s="108" t="str">
        <f t="shared" si="113"/>
        <v/>
      </c>
      <c r="CO67" s="108" t="str">
        <f t="shared" si="113"/>
        <v/>
      </c>
      <c r="CP67" s="108" t="str">
        <f t="shared" si="113"/>
        <v/>
      </c>
      <c r="CQ67" s="108" t="str">
        <f t="shared" si="113"/>
        <v/>
      </c>
      <c r="CR67" s="109" t="str">
        <f t="shared" si="113"/>
        <v/>
      </c>
      <c r="CS67" s="108" t="str">
        <f t="shared" si="113"/>
        <v/>
      </c>
      <c r="CT67" s="108" t="str">
        <f t="shared" si="113"/>
        <v/>
      </c>
      <c r="CU67" s="108" t="str">
        <f t="shared" si="113"/>
        <v/>
      </c>
      <c r="CV67" s="108" t="str">
        <f t="shared" si="113"/>
        <v/>
      </c>
      <c r="CW67" s="108" t="str">
        <f t="shared" ref="CW67:DF76" si="114">IF(CW$5=($F67-WEEKDAY($F67,2)+1),"u","")</f>
        <v/>
      </c>
      <c r="CX67" s="108" t="str">
        <f t="shared" si="114"/>
        <v/>
      </c>
      <c r="CY67" s="108" t="str">
        <f t="shared" si="114"/>
        <v/>
      </c>
      <c r="CZ67" s="109" t="str">
        <f t="shared" si="114"/>
        <v/>
      </c>
      <c r="DA67" s="108" t="str">
        <f t="shared" si="114"/>
        <v/>
      </c>
      <c r="DB67" s="108" t="str">
        <f t="shared" si="114"/>
        <v/>
      </c>
      <c r="DC67" s="108" t="str">
        <f t="shared" si="114"/>
        <v/>
      </c>
      <c r="DD67" s="108" t="str">
        <f t="shared" si="114"/>
        <v/>
      </c>
      <c r="DE67" s="108" t="str">
        <f t="shared" si="114"/>
        <v/>
      </c>
      <c r="DF67" s="108" t="str">
        <f t="shared" si="114"/>
        <v/>
      </c>
      <c r="DG67" s="108" t="str">
        <f t="shared" ref="DG67:DP76" si="115">IF(DG$5=($F67-WEEKDAY($F67,2)+1),"u","")</f>
        <v/>
      </c>
      <c r="DH67" s="109" t="str">
        <f t="shared" si="115"/>
        <v/>
      </c>
      <c r="DI67" s="108" t="str">
        <f t="shared" si="115"/>
        <v/>
      </c>
      <c r="DJ67" s="108" t="str">
        <f t="shared" si="115"/>
        <v/>
      </c>
      <c r="DK67" s="108" t="str">
        <f t="shared" si="115"/>
        <v/>
      </c>
      <c r="DL67" s="108" t="str">
        <f t="shared" si="115"/>
        <v/>
      </c>
      <c r="DM67" s="108" t="str">
        <f t="shared" si="115"/>
        <v/>
      </c>
      <c r="DN67" s="108" t="str">
        <f t="shared" si="115"/>
        <v/>
      </c>
      <c r="DO67" s="109" t="str">
        <f t="shared" si="115"/>
        <v/>
      </c>
      <c r="DP67" s="108" t="str">
        <f t="shared" si="115"/>
        <v/>
      </c>
      <c r="DQ67" s="108" t="str">
        <f t="shared" ref="DQ67:DZ76" si="116">IF(DQ$5=($F67-WEEKDAY($F67,2)+1),"u","")</f>
        <v/>
      </c>
      <c r="DR67" s="108" t="str">
        <f t="shared" si="116"/>
        <v/>
      </c>
      <c r="DS67" s="108" t="str">
        <f t="shared" si="116"/>
        <v/>
      </c>
      <c r="DT67" s="108" t="str">
        <f t="shared" si="116"/>
        <v/>
      </c>
      <c r="DU67" s="108" t="str">
        <f t="shared" si="116"/>
        <v/>
      </c>
      <c r="DV67" s="108" t="str">
        <f t="shared" si="116"/>
        <v/>
      </c>
      <c r="DW67" s="109" t="str">
        <f t="shared" si="116"/>
        <v/>
      </c>
      <c r="DX67" s="108" t="str">
        <f t="shared" si="116"/>
        <v/>
      </c>
      <c r="DY67" s="108" t="str">
        <f t="shared" si="116"/>
        <v/>
      </c>
      <c r="DZ67" s="108" t="str">
        <f t="shared" si="116"/>
        <v/>
      </c>
      <c r="EA67" s="108" t="str">
        <f t="shared" ref="EA67:EJ76" si="117">IF(EA$5=($F67-WEEKDAY($F67,2)+1),"u","")</f>
        <v/>
      </c>
      <c r="EB67" s="108" t="str">
        <f t="shared" si="117"/>
        <v/>
      </c>
      <c r="EC67" s="108" t="str">
        <f t="shared" si="117"/>
        <v/>
      </c>
      <c r="ED67" s="109" t="str">
        <f t="shared" si="117"/>
        <v/>
      </c>
      <c r="EE67" s="108" t="str">
        <f t="shared" si="117"/>
        <v/>
      </c>
      <c r="EF67" s="108" t="str">
        <f t="shared" si="117"/>
        <v/>
      </c>
      <c r="EG67" s="108" t="str">
        <f t="shared" si="117"/>
        <v/>
      </c>
      <c r="EH67" s="108" t="str">
        <f t="shared" si="117"/>
        <v/>
      </c>
      <c r="EI67" s="108" t="str">
        <f t="shared" si="117"/>
        <v/>
      </c>
      <c r="EJ67" s="108" t="str">
        <f t="shared" si="117"/>
        <v/>
      </c>
      <c r="EK67" s="108" t="str">
        <f t="shared" ref="EK67:ET76" si="118">IF(EK$5=($F67-WEEKDAY($F67,2)+1),"u","")</f>
        <v/>
      </c>
      <c r="EL67" s="108" t="str">
        <f t="shared" si="118"/>
        <v/>
      </c>
      <c r="EM67" s="108" t="str">
        <f t="shared" si="118"/>
        <v/>
      </c>
      <c r="EN67" s="108" t="str">
        <f t="shared" si="118"/>
        <v/>
      </c>
      <c r="EO67" s="108" t="str">
        <f t="shared" si="118"/>
        <v/>
      </c>
      <c r="EP67" s="108" t="str">
        <f t="shared" si="118"/>
        <v/>
      </c>
      <c r="EQ67" s="108" t="str">
        <f t="shared" si="118"/>
        <v/>
      </c>
      <c r="ER67" s="108" t="str">
        <f t="shared" si="118"/>
        <v/>
      </c>
      <c r="ES67" s="109" t="str">
        <f t="shared" si="118"/>
        <v/>
      </c>
      <c r="ET67" s="108" t="str">
        <f t="shared" si="118"/>
        <v/>
      </c>
      <c r="EU67" s="108" t="str">
        <f t="shared" ref="EU67:FD76" si="119">IF(EU$5=($F67-WEEKDAY($F67,2)+1),"u","")</f>
        <v/>
      </c>
      <c r="EV67" s="108" t="str">
        <f t="shared" si="119"/>
        <v/>
      </c>
      <c r="EW67" s="108" t="str">
        <f t="shared" si="119"/>
        <v/>
      </c>
      <c r="EX67" s="108" t="str">
        <f t="shared" si="119"/>
        <v/>
      </c>
      <c r="EY67" s="108" t="str">
        <f t="shared" si="119"/>
        <v/>
      </c>
      <c r="EZ67" s="108" t="str">
        <f t="shared" si="119"/>
        <v/>
      </c>
      <c r="FA67" s="108" t="str">
        <f t="shared" si="119"/>
        <v/>
      </c>
      <c r="FB67" s="108" t="str">
        <f t="shared" si="119"/>
        <v/>
      </c>
      <c r="FC67" s="108" t="str">
        <f t="shared" si="119"/>
        <v/>
      </c>
      <c r="FD67" s="108" t="str">
        <f t="shared" si="119"/>
        <v/>
      </c>
      <c r="FE67" s="108" t="str">
        <f t="shared" ref="FE67:FN76" si="120">IF(FE$5=($F67-WEEKDAY($F67,2)+1),"u","")</f>
        <v/>
      </c>
      <c r="FF67" s="109" t="str">
        <f t="shared" si="120"/>
        <v/>
      </c>
      <c r="FG67" s="108" t="str">
        <f t="shared" si="120"/>
        <v/>
      </c>
      <c r="FH67" s="108" t="str">
        <f t="shared" si="120"/>
        <v/>
      </c>
      <c r="FI67" s="108" t="str">
        <f t="shared" si="120"/>
        <v/>
      </c>
      <c r="FJ67" s="108" t="str">
        <f t="shared" si="120"/>
        <v/>
      </c>
      <c r="FK67" s="108" t="str">
        <f t="shared" si="120"/>
        <v/>
      </c>
      <c r="FL67" s="108" t="str">
        <f t="shared" si="120"/>
        <v/>
      </c>
      <c r="FM67" s="108" t="str">
        <f t="shared" si="120"/>
        <v/>
      </c>
      <c r="FN67" s="108" t="str">
        <f t="shared" si="120"/>
        <v/>
      </c>
      <c r="FO67" s="108" t="str">
        <f t="shared" ref="FO67:FW76" si="121">IF(FO$5=($F67-WEEKDAY($F67,2)+1),"u","")</f>
        <v/>
      </c>
      <c r="FP67" s="108" t="str">
        <f t="shared" si="121"/>
        <v/>
      </c>
      <c r="FQ67" s="108" t="str">
        <f t="shared" si="121"/>
        <v/>
      </c>
      <c r="FR67" s="108" t="str">
        <f t="shared" si="121"/>
        <v/>
      </c>
      <c r="FS67" s="108" t="str">
        <f t="shared" si="121"/>
        <v/>
      </c>
      <c r="FT67" s="108" t="str">
        <f t="shared" si="121"/>
        <v/>
      </c>
      <c r="FU67" s="108" t="str">
        <f t="shared" si="121"/>
        <v/>
      </c>
      <c r="FV67" s="108" t="str">
        <f t="shared" si="121"/>
        <v/>
      </c>
      <c r="FW67" s="110" t="str">
        <f t="shared" si="121"/>
        <v/>
      </c>
    </row>
    <row r="68" spans="2:179" s="101" customFormat="1" ht="21" customHeight="1" x14ac:dyDescent="0.35">
      <c r="B68" s="27" t="e">
        <f>Portfolio_Daten!#REF!</f>
        <v>#REF!</v>
      </c>
      <c r="C68" s="27">
        <f>Portfolio_Daten!B69</f>
        <v>0</v>
      </c>
      <c r="D68" s="28">
        <f>Portfolio_Daten!E69</f>
        <v>0</v>
      </c>
      <c r="E68" s="31">
        <f>Portfolio_Daten!T69</f>
        <v>0</v>
      </c>
      <c r="F68" s="31">
        <f>Portfolio_Daten!U69</f>
        <v>0</v>
      </c>
      <c r="G68" s="107">
        <f>IF(F68="","",NETWORKDAYS(E68,F68,Parameter!$C$4:$C$51))</f>
        <v>0</v>
      </c>
      <c r="H68" s="29">
        <f>Portfolio_Daten!AG69</f>
        <v>0</v>
      </c>
      <c r="I68" s="33">
        <f>Portfolio_Daten!AI69</f>
        <v>0</v>
      </c>
      <c r="J68" s="106"/>
      <c r="K68" s="108" t="str">
        <f t="shared" si="105"/>
        <v/>
      </c>
      <c r="L68" s="108" t="str">
        <f t="shared" si="105"/>
        <v/>
      </c>
      <c r="M68" s="108" t="str">
        <f t="shared" si="105"/>
        <v/>
      </c>
      <c r="N68" s="108" t="str">
        <f t="shared" si="105"/>
        <v/>
      </c>
      <c r="O68" s="108" t="str">
        <f t="shared" si="105"/>
        <v/>
      </c>
      <c r="P68" s="108" t="str">
        <f t="shared" si="105"/>
        <v/>
      </c>
      <c r="Q68" s="108" t="str">
        <f t="shared" si="105"/>
        <v/>
      </c>
      <c r="R68" s="108" t="str">
        <f t="shared" si="105"/>
        <v/>
      </c>
      <c r="S68" s="108" t="str">
        <f t="shared" si="105"/>
        <v/>
      </c>
      <c r="T68" s="108" t="str">
        <f t="shared" si="105"/>
        <v/>
      </c>
      <c r="U68" s="108" t="str">
        <f t="shared" si="106"/>
        <v/>
      </c>
      <c r="V68" s="108" t="str">
        <f t="shared" si="106"/>
        <v/>
      </c>
      <c r="W68" s="108" t="str">
        <f t="shared" si="106"/>
        <v/>
      </c>
      <c r="X68" s="108" t="str">
        <f t="shared" si="106"/>
        <v/>
      </c>
      <c r="Y68" s="108" t="str">
        <f t="shared" si="106"/>
        <v/>
      </c>
      <c r="Z68" s="108" t="str">
        <f t="shared" si="106"/>
        <v/>
      </c>
      <c r="AA68" s="108" t="str">
        <f t="shared" si="106"/>
        <v/>
      </c>
      <c r="AB68" s="108" t="str">
        <f t="shared" si="106"/>
        <v/>
      </c>
      <c r="AC68" s="108" t="str">
        <f t="shared" si="106"/>
        <v/>
      </c>
      <c r="AD68" s="108" t="str">
        <f t="shared" si="106"/>
        <v/>
      </c>
      <c r="AE68" s="108" t="str">
        <f t="shared" si="107"/>
        <v/>
      </c>
      <c r="AF68" s="108" t="str">
        <f t="shared" si="107"/>
        <v/>
      </c>
      <c r="AG68" s="108" t="str">
        <f t="shared" si="107"/>
        <v/>
      </c>
      <c r="AH68" s="108" t="str">
        <f t="shared" si="107"/>
        <v/>
      </c>
      <c r="AI68" s="108" t="str">
        <f t="shared" si="107"/>
        <v/>
      </c>
      <c r="AJ68" s="108" t="str">
        <f t="shared" si="107"/>
        <v/>
      </c>
      <c r="AK68" s="108" t="str">
        <f t="shared" si="107"/>
        <v/>
      </c>
      <c r="AL68" s="108" t="str">
        <f t="shared" si="107"/>
        <v/>
      </c>
      <c r="AM68" s="108" t="str">
        <f t="shared" si="107"/>
        <v/>
      </c>
      <c r="AN68" s="108" t="str">
        <f t="shared" si="107"/>
        <v/>
      </c>
      <c r="AO68" s="108" t="str">
        <f t="shared" si="108"/>
        <v/>
      </c>
      <c r="AP68" s="108" t="str">
        <f t="shared" si="108"/>
        <v/>
      </c>
      <c r="AQ68" s="108" t="str">
        <f t="shared" si="108"/>
        <v/>
      </c>
      <c r="AR68" s="108" t="str">
        <f t="shared" si="108"/>
        <v/>
      </c>
      <c r="AS68" s="108" t="str">
        <f t="shared" si="108"/>
        <v/>
      </c>
      <c r="AT68" s="108" t="str">
        <f t="shared" si="108"/>
        <v/>
      </c>
      <c r="AU68" s="108" t="str">
        <f t="shared" si="108"/>
        <v/>
      </c>
      <c r="AV68" s="108" t="str">
        <f t="shared" si="108"/>
        <v/>
      </c>
      <c r="AW68" s="108" t="str">
        <f t="shared" si="108"/>
        <v/>
      </c>
      <c r="AX68" s="108" t="str">
        <f t="shared" si="108"/>
        <v/>
      </c>
      <c r="AY68" s="108" t="str">
        <f t="shared" si="109"/>
        <v/>
      </c>
      <c r="AZ68" s="108" t="str">
        <f t="shared" si="109"/>
        <v/>
      </c>
      <c r="BA68" s="108" t="str">
        <f t="shared" si="109"/>
        <v/>
      </c>
      <c r="BB68" s="108" t="str">
        <f t="shared" si="109"/>
        <v/>
      </c>
      <c r="BC68" s="108" t="str">
        <f t="shared" si="109"/>
        <v/>
      </c>
      <c r="BD68" s="108" t="str">
        <f t="shared" si="109"/>
        <v/>
      </c>
      <c r="BE68" s="108" t="str">
        <f t="shared" si="109"/>
        <v/>
      </c>
      <c r="BF68" s="108" t="str">
        <f t="shared" si="109"/>
        <v/>
      </c>
      <c r="BG68" s="108" t="str">
        <f t="shared" si="109"/>
        <v/>
      </c>
      <c r="BH68" s="108" t="str">
        <f t="shared" si="109"/>
        <v/>
      </c>
      <c r="BI68" s="108" t="str">
        <f t="shared" si="110"/>
        <v/>
      </c>
      <c r="BJ68" s="108" t="str">
        <f t="shared" si="110"/>
        <v/>
      </c>
      <c r="BK68" s="108" t="str">
        <f t="shared" si="110"/>
        <v/>
      </c>
      <c r="BL68" s="108" t="str">
        <f t="shared" si="110"/>
        <v/>
      </c>
      <c r="BM68" s="108" t="str">
        <f t="shared" si="110"/>
        <v/>
      </c>
      <c r="BN68" s="108" t="str">
        <f t="shared" si="110"/>
        <v/>
      </c>
      <c r="BO68" s="108" t="str">
        <f t="shared" si="110"/>
        <v/>
      </c>
      <c r="BP68" s="108" t="str">
        <f t="shared" si="110"/>
        <v/>
      </c>
      <c r="BQ68" s="108" t="str">
        <f t="shared" si="110"/>
        <v/>
      </c>
      <c r="BR68" s="108" t="str">
        <f t="shared" si="110"/>
        <v/>
      </c>
      <c r="BS68" s="108" t="str">
        <f t="shared" si="111"/>
        <v/>
      </c>
      <c r="BT68" s="108" t="str">
        <f t="shared" si="111"/>
        <v/>
      </c>
      <c r="BU68" s="108" t="str">
        <f t="shared" si="111"/>
        <v/>
      </c>
      <c r="BV68" s="108" t="str">
        <f t="shared" si="111"/>
        <v/>
      </c>
      <c r="BW68" s="108" t="str">
        <f t="shared" si="111"/>
        <v/>
      </c>
      <c r="BX68" s="108" t="str">
        <f t="shared" si="111"/>
        <v/>
      </c>
      <c r="BY68" s="108" t="str">
        <f t="shared" si="111"/>
        <v/>
      </c>
      <c r="BZ68" s="108" t="str">
        <f t="shared" si="111"/>
        <v/>
      </c>
      <c r="CA68" s="108" t="str">
        <f t="shared" si="111"/>
        <v/>
      </c>
      <c r="CB68" s="108" t="str">
        <f t="shared" si="111"/>
        <v/>
      </c>
      <c r="CC68" s="108" t="str">
        <f t="shared" si="112"/>
        <v/>
      </c>
      <c r="CD68" s="108" t="str">
        <f t="shared" si="112"/>
        <v/>
      </c>
      <c r="CE68" s="108" t="str">
        <f t="shared" si="112"/>
        <v/>
      </c>
      <c r="CF68" s="108" t="str">
        <f t="shared" si="112"/>
        <v/>
      </c>
      <c r="CG68" s="108" t="str">
        <f t="shared" si="112"/>
        <v/>
      </c>
      <c r="CH68" s="108" t="str">
        <f t="shared" si="112"/>
        <v/>
      </c>
      <c r="CI68" s="108" t="str">
        <f t="shared" si="112"/>
        <v/>
      </c>
      <c r="CJ68" s="108" t="str">
        <f t="shared" si="112"/>
        <v/>
      </c>
      <c r="CK68" s="108" t="str">
        <f t="shared" si="112"/>
        <v/>
      </c>
      <c r="CL68" s="108" t="str">
        <f t="shared" si="112"/>
        <v/>
      </c>
      <c r="CM68" s="108" t="str">
        <f t="shared" si="113"/>
        <v/>
      </c>
      <c r="CN68" s="108" t="str">
        <f t="shared" si="113"/>
        <v/>
      </c>
      <c r="CO68" s="108" t="str">
        <f t="shared" si="113"/>
        <v/>
      </c>
      <c r="CP68" s="108" t="str">
        <f t="shared" si="113"/>
        <v/>
      </c>
      <c r="CQ68" s="108" t="str">
        <f t="shared" si="113"/>
        <v/>
      </c>
      <c r="CR68" s="109" t="str">
        <f t="shared" si="113"/>
        <v/>
      </c>
      <c r="CS68" s="108" t="str">
        <f t="shared" si="113"/>
        <v/>
      </c>
      <c r="CT68" s="108" t="str">
        <f t="shared" si="113"/>
        <v/>
      </c>
      <c r="CU68" s="108" t="str">
        <f t="shared" si="113"/>
        <v/>
      </c>
      <c r="CV68" s="108" t="str">
        <f t="shared" si="113"/>
        <v/>
      </c>
      <c r="CW68" s="108" t="str">
        <f t="shared" si="114"/>
        <v/>
      </c>
      <c r="CX68" s="108" t="str">
        <f t="shared" si="114"/>
        <v/>
      </c>
      <c r="CY68" s="108" t="str">
        <f t="shared" si="114"/>
        <v/>
      </c>
      <c r="CZ68" s="109" t="str">
        <f t="shared" si="114"/>
        <v/>
      </c>
      <c r="DA68" s="108" t="str">
        <f t="shared" si="114"/>
        <v/>
      </c>
      <c r="DB68" s="108" t="str">
        <f t="shared" si="114"/>
        <v/>
      </c>
      <c r="DC68" s="108" t="str">
        <f t="shared" si="114"/>
        <v/>
      </c>
      <c r="DD68" s="108" t="str">
        <f t="shared" si="114"/>
        <v/>
      </c>
      <c r="DE68" s="108" t="str">
        <f t="shared" si="114"/>
        <v/>
      </c>
      <c r="DF68" s="108" t="str">
        <f t="shared" si="114"/>
        <v/>
      </c>
      <c r="DG68" s="108" t="str">
        <f t="shared" si="115"/>
        <v/>
      </c>
      <c r="DH68" s="109" t="str">
        <f t="shared" si="115"/>
        <v/>
      </c>
      <c r="DI68" s="108" t="str">
        <f t="shared" si="115"/>
        <v/>
      </c>
      <c r="DJ68" s="108" t="str">
        <f t="shared" si="115"/>
        <v/>
      </c>
      <c r="DK68" s="108" t="str">
        <f t="shared" si="115"/>
        <v/>
      </c>
      <c r="DL68" s="108" t="str">
        <f t="shared" si="115"/>
        <v/>
      </c>
      <c r="DM68" s="108" t="str">
        <f t="shared" si="115"/>
        <v/>
      </c>
      <c r="DN68" s="108" t="str">
        <f t="shared" si="115"/>
        <v/>
      </c>
      <c r="DO68" s="109" t="str">
        <f t="shared" si="115"/>
        <v/>
      </c>
      <c r="DP68" s="108" t="str">
        <f t="shared" si="115"/>
        <v/>
      </c>
      <c r="DQ68" s="108" t="str">
        <f t="shared" si="116"/>
        <v/>
      </c>
      <c r="DR68" s="108" t="str">
        <f t="shared" si="116"/>
        <v/>
      </c>
      <c r="DS68" s="108" t="str">
        <f t="shared" si="116"/>
        <v/>
      </c>
      <c r="DT68" s="108" t="str">
        <f t="shared" si="116"/>
        <v/>
      </c>
      <c r="DU68" s="108" t="str">
        <f t="shared" si="116"/>
        <v/>
      </c>
      <c r="DV68" s="108" t="str">
        <f t="shared" si="116"/>
        <v/>
      </c>
      <c r="DW68" s="109" t="str">
        <f t="shared" si="116"/>
        <v/>
      </c>
      <c r="DX68" s="108" t="str">
        <f t="shared" si="116"/>
        <v/>
      </c>
      <c r="DY68" s="108" t="str">
        <f t="shared" si="116"/>
        <v/>
      </c>
      <c r="DZ68" s="108" t="str">
        <f t="shared" si="116"/>
        <v/>
      </c>
      <c r="EA68" s="108" t="str">
        <f t="shared" si="117"/>
        <v/>
      </c>
      <c r="EB68" s="108" t="str">
        <f t="shared" si="117"/>
        <v/>
      </c>
      <c r="EC68" s="108" t="str">
        <f t="shared" si="117"/>
        <v/>
      </c>
      <c r="ED68" s="109" t="str">
        <f t="shared" si="117"/>
        <v/>
      </c>
      <c r="EE68" s="108" t="str">
        <f t="shared" si="117"/>
        <v/>
      </c>
      <c r="EF68" s="108" t="str">
        <f t="shared" si="117"/>
        <v/>
      </c>
      <c r="EG68" s="108" t="str">
        <f t="shared" si="117"/>
        <v/>
      </c>
      <c r="EH68" s="108" t="str">
        <f t="shared" si="117"/>
        <v/>
      </c>
      <c r="EI68" s="108" t="str">
        <f t="shared" si="117"/>
        <v/>
      </c>
      <c r="EJ68" s="108" t="str">
        <f t="shared" si="117"/>
        <v/>
      </c>
      <c r="EK68" s="108" t="str">
        <f t="shared" si="118"/>
        <v/>
      </c>
      <c r="EL68" s="108" t="str">
        <f t="shared" si="118"/>
        <v/>
      </c>
      <c r="EM68" s="108" t="str">
        <f t="shared" si="118"/>
        <v/>
      </c>
      <c r="EN68" s="108" t="str">
        <f t="shared" si="118"/>
        <v/>
      </c>
      <c r="EO68" s="108" t="str">
        <f t="shared" si="118"/>
        <v/>
      </c>
      <c r="EP68" s="108" t="str">
        <f t="shared" si="118"/>
        <v/>
      </c>
      <c r="EQ68" s="108" t="str">
        <f t="shared" si="118"/>
        <v/>
      </c>
      <c r="ER68" s="108" t="str">
        <f t="shared" si="118"/>
        <v/>
      </c>
      <c r="ES68" s="109" t="str">
        <f t="shared" si="118"/>
        <v/>
      </c>
      <c r="ET68" s="108" t="str">
        <f t="shared" si="118"/>
        <v/>
      </c>
      <c r="EU68" s="108" t="str">
        <f t="shared" si="119"/>
        <v/>
      </c>
      <c r="EV68" s="108" t="str">
        <f t="shared" si="119"/>
        <v/>
      </c>
      <c r="EW68" s="108" t="str">
        <f t="shared" si="119"/>
        <v/>
      </c>
      <c r="EX68" s="108" t="str">
        <f t="shared" si="119"/>
        <v/>
      </c>
      <c r="EY68" s="108" t="str">
        <f t="shared" si="119"/>
        <v/>
      </c>
      <c r="EZ68" s="108" t="str">
        <f t="shared" si="119"/>
        <v/>
      </c>
      <c r="FA68" s="108" t="str">
        <f t="shared" si="119"/>
        <v/>
      </c>
      <c r="FB68" s="108" t="str">
        <f t="shared" si="119"/>
        <v/>
      </c>
      <c r="FC68" s="108" t="str">
        <f t="shared" si="119"/>
        <v/>
      </c>
      <c r="FD68" s="108" t="str">
        <f t="shared" si="119"/>
        <v/>
      </c>
      <c r="FE68" s="108" t="str">
        <f t="shared" si="120"/>
        <v/>
      </c>
      <c r="FF68" s="109" t="str">
        <f t="shared" si="120"/>
        <v/>
      </c>
      <c r="FG68" s="108" t="str">
        <f t="shared" si="120"/>
        <v/>
      </c>
      <c r="FH68" s="108" t="str">
        <f t="shared" si="120"/>
        <v/>
      </c>
      <c r="FI68" s="108" t="str">
        <f t="shared" si="120"/>
        <v/>
      </c>
      <c r="FJ68" s="108" t="str">
        <f t="shared" si="120"/>
        <v/>
      </c>
      <c r="FK68" s="108" t="str">
        <f t="shared" si="120"/>
        <v/>
      </c>
      <c r="FL68" s="108" t="str">
        <f t="shared" si="120"/>
        <v/>
      </c>
      <c r="FM68" s="108" t="str">
        <f t="shared" si="120"/>
        <v/>
      </c>
      <c r="FN68" s="108" t="str">
        <f t="shared" si="120"/>
        <v/>
      </c>
      <c r="FO68" s="108" t="str">
        <f t="shared" si="121"/>
        <v/>
      </c>
      <c r="FP68" s="108" t="str">
        <f t="shared" si="121"/>
        <v/>
      </c>
      <c r="FQ68" s="108" t="str">
        <f t="shared" si="121"/>
        <v/>
      </c>
      <c r="FR68" s="108" t="str">
        <f t="shared" si="121"/>
        <v/>
      </c>
      <c r="FS68" s="108" t="str">
        <f t="shared" si="121"/>
        <v/>
      </c>
      <c r="FT68" s="108" t="str">
        <f t="shared" si="121"/>
        <v/>
      </c>
      <c r="FU68" s="108" t="str">
        <f t="shared" si="121"/>
        <v/>
      </c>
      <c r="FV68" s="108" t="str">
        <f t="shared" si="121"/>
        <v/>
      </c>
      <c r="FW68" s="110" t="str">
        <f t="shared" si="121"/>
        <v/>
      </c>
    </row>
    <row r="69" spans="2:179" s="101" customFormat="1" ht="21" customHeight="1" x14ac:dyDescent="0.35">
      <c r="B69" s="27" t="e">
        <f>Portfolio_Daten!#REF!</f>
        <v>#REF!</v>
      </c>
      <c r="C69" s="27">
        <f>Portfolio_Daten!B70</f>
        <v>0</v>
      </c>
      <c r="D69" s="28">
        <f>Portfolio_Daten!E70</f>
        <v>0</v>
      </c>
      <c r="E69" s="31">
        <f>Portfolio_Daten!T70</f>
        <v>0</v>
      </c>
      <c r="F69" s="31">
        <f>Portfolio_Daten!U70</f>
        <v>0</v>
      </c>
      <c r="G69" s="107">
        <f>IF(F69="","",NETWORKDAYS(E69,F69,Parameter!$C$4:$C$51))</f>
        <v>0</v>
      </c>
      <c r="H69" s="29">
        <f>Portfolio_Daten!AG70</f>
        <v>0</v>
      </c>
      <c r="I69" s="33">
        <f>Portfolio_Daten!AI70</f>
        <v>0</v>
      </c>
      <c r="J69" s="106"/>
      <c r="K69" s="108" t="str">
        <f t="shared" si="105"/>
        <v/>
      </c>
      <c r="L69" s="108" t="str">
        <f t="shared" si="105"/>
        <v/>
      </c>
      <c r="M69" s="108" t="str">
        <f t="shared" si="105"/>
        <v/>
      </c>
      <c r="N69" s="108" t="str">
        <f t="shared" si="105"/>
        <v/>
      </c>
      <c r="O69" s="108" t="str">
        <f t="shared" si="105"/>
        <v/>
      </c>
      <c r="P69" s="108" t="str">
        <f t="shared" si="105"/>
        <v/>
      </c>
      <c r="Q69" s="108" t="str">
        <f t="shared" si="105"/>
        <v/>
      </c>
      <c r="R69" s="108" t="str">
        <f t="shared" si="105"/>
        <v/>
      </c>
      <c r="S69" s="108" t="str">
        <f t="shared" si="105"/>
        <v/>
      </c>
      <c r="T69" s="108" t="str">
        <f t="shared" si="105"/>
        <v/>
      </c>
      <c r="U69" s="108" t="str">
        <f t="shared" si="106"/>
        <v/>
      </c>
      <c r="V69" s="108" t="str">
        <f t="shared" si="106"/>
        <v/>
      </c>
      <c r="W69" s="108" t="str">
        <f t="shared" si="106"/>
        <v/>
      </c>
      <c r="X69" s="108" t="str">
        <f t="shared" si="106"/>
        <v/>
      </c>
      <c r="Y69" s="108" t="str">
        <f t="shared" si="106"/>
        <v/>
      </c>
      <c r="Z69" s="108" t="str">
        <f t="shared" si="106"/>
        <v/>
      </c>
      <c r="AA69" s="108" t="str">
        <f t="shared" si="106"/>
        <v/>
      </c>
      <c r="AB69" s="108" t="str">
        <f t="shared" si="106"/>
        <v/>
      </c>
      <c r="AC69" s="108" t="str">
        <f t="shared" si="106"/>
        <v/>
      </c>
      <c r="AD69" s="108" t="str">
        <f t="shared" si="106"/>
        <v/>
      </c>
      <c r="AE69" s="108" t="str">
        <f t="shared" si="107"/>
        <v/>
      </c>
      <c r="AF69" s="108" t="str">
        <f t="shared" si="107"/>
        <v/>
      </c>
      <c r="AG69" s="108" t="str">
        <f t="shared" si="107"/>
        <v/>
      </c>
      <c r="AH69" s="108" t="str">
        <f t="shared" si="107"/>
        <v/>
      </c>
      <c r="AI69" s="108" t="str">
        <f t="shared" si="107"/>
        <v/>
      </c>
      <c r="AJ69" s="108" t="str">
        <f t="shared" si="107"/>
        <v/>
      </c>
      <c r="AK69" s="108" t="str">
        <f t="shared" si="107"/>
        <v/>
      </c>
      <c r="AL69" s="108" t="str">
        <f t="shared" si="107"/>
        <v/>
      </c>
      <c r="AM69" s="108" t="str">
        <f t="shared" si="107"/>
        <v/>
      </c>
      <c r="AN69" s="108" t="str">
        <f t="shared" si="107"/>
        <v/>
      </c>
      <c r="AO69" s="108" t="str">
        <f t="shared" si="108"/>
        <v/>
      </c>
      <c r="AP69" s="108" t="str">
        <f t="shared" si="108"/>
        <v/>
      </c>
      <c r="AQ69" s="108" t="str">
        <f t="shared" si="108"/>
        <v/>
      </c>
      <c r="AR69" s="108" t="str">
        <f t="shared" si="108"/>
        <v/>
      </c>
      <c r="AS69" s="108" t="str">
        <f t="shared" si="108"/>
        <v/>
      </c>
      <c r="AT69" s="108" t="str">
        <f t="shared" si="108"/>
        <v/>
      </c>
      <c r="AU69" s="108" t="str">
        <f t="shared" si="108"/>
        <v/>
      </c>
      <c r="AV69" s="108" t="str">
        <f t="shared" si="108"/>
        <v/>
      </c>
      <c r="AW69" s="108" t="str">
        <f t="shared" si="108"/>
        <v/>
      </c>
      <c r="AX69" s="108" t="str">
        <f t="shared" si="108"/>
        <v/>
      </c>
      <c r="AY69" s="108" t="str">
        <f t="shared" si="109"/>
        <v/>
      </c>
      <c r="AZ69" s="108" t="str">
        <f t="shared" si="109"/>
        <v/>
      </c>
      <c r="BA69" s="108" t="str">
        <f t="shared" si="109"/>
        <v/>
      </c>
      <c r="BB69" s="108" t="str">
        <f t="shared" si="109"/>
        <v/>
      </c>
      <c r="BC69" s="108" t="str">
        <f t="shared" si="109"/>
        <v/>
      </c>
      <c r="BD69" s="108" t="str">
        <f t="shared" si="109"/>
        <v/>
      </c>
      <c r="BE69" s="108" t="str">
        <f t="shared" si="109"/>
        <v/>
      </c>
      <c r="BF69" s="108" t="str">
        <f t="shared" si="109"/>
        <v/>
      </c>
      <c r="BG69" s="108" t="str">
        <f t="shared" si="109"/>
        <v/>
      </c>
      <c r="BH69" s="108" t="str">
        <f t="shared" si="109"/>
        <v/>
      </c>
      <c r="BI69" s="108" t="str">
        <f t="shared" si="110"/>
        <v/>
      </c>
      <c r="BJ69" s="108" t="str">
        <f t="shared" si="110"/>
        <v/>
      </c>
      <c r="BK69" s="108" t="str">
        <f t="shared" si="110"/>
        <v/>
      </c>
      <c r="BL69" s="108" t="str">
        <f t="shared" si="110"/>
        <v/>
      </c>
      <c r="BM69" s="108" t="str">
        <f t="shared" si="110"/>
        <v/>
      </c>
      <c r="BN69" s="108" t="str">
        <f t="shared" si="110"/>
        <v/>
      </c>
      <c r="BO69" s="108" t="str">
        <f t="shared" si="110"/>
        <v/>
      </c>
      <c r="BP69" s="108" t="str">
        <f t="shared" si="110"/>
        <v/>
      </c>
      <c r="BQ69" s="108" t="str">
        <f t="shared" si="110"/>
        <v/>
      </c>
      <c r="BR69" s="108" t="str">
        <f t="shared" si="110"/>
        <v/>
      </c>
      <c r="BS69" s="108" t="str">
        <f t="shared" si="111"/>
        <v/>
      </c>
      <c r="BT69" s="108" t="str">
        <f t="shared" si="111"/>
        <v/>
      </c>
      <c r="BU69" s="108" t="str">
        <f t="shared" si="111"/>
        <v/>
      </c>
      <c r="BV69" s="108" t="str">
        <f t="shared" si="111"/>
        <v/>
      </c>
      <c r="BW69" s="108" t="str">
        <f t="shared" si="111"/>
        <v/>
      </c>
      <c r="BX69" s="108" t="str">
        <f t="shared" si="111"/>
        <v/>
      </c>
      <c r="BY69" s="108" t="str">
        <f t="shared" si="111"/>
        <v/>
      </c>
      <c r="BZ69" s="108" t="str">
        <f t="shared" si="111"/>
        <v/>
      </c>
      <c r="CA69" s="108" t="str">
        <f t="shared" si="111"/>
        <v/>
      </c>
      <c r="CB69" s="108" t="str">
        <f t="shared" si="111"/>
        <v/>
      </c>
      <c r="CC69" s="108" t="str">
        <f t="shared" si="112"/>
        <v/>
      </c>
      <c r="CD69" s="108" t="str">
        <f t="shared" si="112"/>
        <v/>
      </c>
      <c r="CE69" s="108" t="str">
        <f t="shared" si="112"/>
        <v/>
      </c>
      <c r="CF69" s="108" t="str">
        <f t="shared" si="112"/>
        <v/>
      </c>
      <c r="CG69" s="108" t="str">
        <f t="shared" si="112"/>
        <v/>
      </c>
      <c r="CH69" s="108" t="str">
        <f t="shared" si="112"/>
        <v/>
      </c>
      <c r="CI69" s="108" t="str">
        <f t="shared" si="112"/>
        <v/>
      </c>
      <c r="CJ69" s="108" t="str">
        <f t="shared" si="112"/>
        <v/>
      </c>
      <c r="CK69" s="108" t="str">
        <f t="shared" si="112"/>
        <v/>
      </c>
      <c r="CL69" s="108" t="str">
        <f t="shared" si="112"/>
        <v/>
      </c>
      <c r="CM69" s="108" t="str">
        <f t="shared" si="113"/>
        <v/>
      </c>
      <c r="CN69" s="108" t="str">
        <f t="shared" si="113"/>
        <v/>
      </c>
      <c r="CO69" s="108" t="str">
        <f t="shared" si="113"/>
        <v/>
      </c>
      <c r="CP69" s="108" t="str">
        <f t="shared" si="113"/>
        <v/>
      </c>
      <c r="CQ69" s="108" t="str">
        <f t="shared" si="113"/>
        <v/>
      </c>
      <c r="CR69" s="109" t="str">
        <f t="shared" si="113"/>
        <v/>
      </c>
      <c r="CS69" s="108" t="str">
        <f t="shared" si="113"/>
        <v/>
      </c>
      <c r="CT69" s="108" t="str">
        <f t="shared" si="113"/>
        <v/>
      </c>
      <c r="CU69" s="108" t="str">
        <f t="shared" si="113"/>
        <v/>
      </c>
      <c r="CV69" s="108" t="str">
        <f t="shared" si="113"/>
        <v/>
      </c>
      <c r="CW69" s="108" t="str">
        <f t="shared" si="114"/>
        <v/>
      </c>
      <c r="CX69" s="108" t="str">
        <f t="shared" si="114"/>
        <v/>
      </c>
      <c r="CY69" s="108" t="str">
        <f t="shared" si="114"/>
        <v/>
      </c>
      <c r="CZ69" s="109" t="str">
        <f t="shared" si="114"/>
        <v/>
      </c>
      <c r="DA69" s="108" t="str">
        <f t="shared" si="114"/>
        <v/>
      </c>
      <c r="DB69" s="108" t="str">
        <f t="shared" si="114"/>
        <v/>
      </c>
      <c r="DC69" s="108" t="str">
        <f t="shared" si="114"/>
        <v/>
      </c>
      <c r="DD69" s="108" t="str">
        <f t="shared" si="114"/>
        <v/>
      </c>
      <c r="DE69" s="108" t="str">
        <f t="shared" si="114"/>
        <v/>
      </c>
      <c r="DF69" s="108" t="str">
        <f t="shared" si="114"/>
        <v/>
      </c>
      <c r="DG69" s="108" t="str">
        <f t="shared" si="115"/>
        <v/>
      </c>
      <c r="DH69" s="109" t="str">
        <f t="shared" si="115"/>
        <v/>
      </c>
      <c r="DI69" s="108" t="str">
        <f t="shared" si="115"/>
        <v/>
      </c>
      <c r="DJ69" s="108" t="str">
        <f t="shared" si="115"/>
        <v/>
      </c>
      <c r="DK69" s="108" t="str">
        <f t="shared" si="115"/>
        <v/>
      </c>
      <c r="DL69" s="108" t="str">
        <f t="shared" si="115"/>
        <v/>
      </c>
      <c r="DM69" s="108" t="str">
        <f t="shared" si="115"/>
        <v/>
      </c>
      <c r="DN69" s="108" t="str">
        <f t="shared" si="115"/>
        <v/>
      </c>
      <c r="DO69" s="109" t="str">
        <f t="shared" si="115"/>
        <v/>
      </c>
      <c r="DP69" s="108" t="str">
        <f t="shared" si="115"/>
        <v/>
      </c>
      <c r="DQ69" s="108" t="str">
        <f t="shared" si="116"/>
        <v/>
      </c>
      <c r="DR69" s="108" t="str">
        <f t="shared" si="116"/>
        <v/>
      </c>
      <c r="DS69" s="108" t="str">
        <f t="shared" si="116"/>
        <v/>
      </c>
      <c r="DT69" s="108" t="str">
        <f t="shared" si="116"/>
        <v/>
      </c>
      <c r="DU69" s="108" t="str">
        <f t="shared" si="116"/>
        <v/>
      </c>
      <c r="DV69" s="108" t="str">
        <f t="shared" si="116"/>
        <v/>
      </c>
      <c r="DW69" s="109" t="str">
        <f t="shared" si="116"/>
        <v/>
      </c>
      <c r="DX69" s="108" t="str">
        <f t="shared" si="116"/>
        <v/>
      </c>
      <c r="DY69" s="108" t="str">
        <f t="shared" si="116"/>
        <v/>
      </c>
      <c r="DZ69" s="108" t="str">
        <f t="shared" si="116"/>
        <v/>
      </c>
      <c r="EA69" s="108" t="str">
        <f t="shared" si="117"/>
        <v/>
      </c>
      <c r="EB69" s="108" t="str">
        <f t="shared" si="117"/>
        <v/>
      </c>
      <c r="EC69" s="108" t="str">
        <f t="shared" si="117"/>
        <v/>
      </c>
      <c r="ED69" s="109" t="str">
        <f t="shared" si="117"/>
        <v/>
      </c>
      <c r="EE69" s="108" t="str">
        <f t="shared" si="117"/>
        <v/>
      </c>
      <c r="EF69" s="108" t="str">
        <f t="shared" si="117"/>
        <v/>
      </c>
      <c r="EG69" s="108" t="str">
        <f t="shared" si="117"/>
        <v/>
      </c>
      <c r="EH69" s="108" t="str">
        <f t="shared" si="117"/>
        <v/>
      </c>
      <c r="EI69" s="108" t="str">
        <f t="shared" si="117"/>
        <v/>
      </c>
      <c r="EJ69" s="108" t="str">
        <f t="shared" si="117"/>
        <v/>
      </c>
      <c r="EK69" s="108" t="str">
        <f t="shared" si="118"/>
        <v/>
      </c>
      <c r="EL69" s="108" t="str">
        <f t="shared" si="118"/>
        <v/>
      </c>
      <c r="EM69" s="108" t="str">
        <f t="shared" si="118"/>
        <v/>
      </c>
      <c r="EN69" s="108" t="str">
        <f t="shared" si="118"/>
        <v/>
      </c>
      <c r="EO69" s="108" t="str">
        <f t="shared" si="118"/>
        <v/>
      </c>
      <c r="EP69" s="108" t="str">
        <f t="shared" si="118"/>
        <v/>
      </c>
      <c r="EQ69" s="108" t="str">
        <f t="shared" si="118"/>
        <v/>
      </c>
      <c r="ER69" s="108" t="str">
        <f t="shared" si="118"/>
        <v/>
      </c>
      <c r="ES69" s="109" t="str">
        <f t="shared" si="118"/>
        <v/>
      </c>
      <c r="ET69" s="108" t="str">
        <f t="shared" si="118"/>
        <v/>
      </c>
      <c r="EU69" s="108" t="str">
        <f t="shared" si="119"/>
        <v/>
      </c>
      <c r="EV69" s="108" t="str">
        <f t="shared" si="119"/>
        <v/>
      </c>
      <c r="EW69" s="108" t="str">
        <f t="shared" si="119"/>
        <v/>
      </c>
      <c r="EX69" s="108" t="str">
        <f t="shared" si="119"/>
        <v/>
      </c>
      <c r="EY69" s="108" t="str">
        <f t="shared" si="119"/>
        <v/>
      </c>
      <c r="EZ69" s="108" t="str">
        <f t="shared" si="119"/>
        <v/>
      </c>
      <c r="FA69" s="108" t="str">
        <f t="shared" si="119"/>
        <v/>
      </c>
      <c r="FB69" s="108" t="str">
        <f t="shared" si="119"/>
        <v/>
      </c>
      <c r="FC69" s="108" t="str">
        <f t="shared" si="119"/>
        <v/>
      </c>
      <c r="FD69" s="108" t="str">
        <f t="shared" si="119"/>
        <v/>
      </c>
      <c r="FE69" s="108" t="str">
        <f t="shared" si="120"/>
        <v/>
      </c>
      <c r="FF69" s="109" t="str">
        <f t="shared" si="120"/>
        <v/>
      </c>
      <c r="FG69" s="108" t="str">
        <f t="shared" si="120"/>
        <v/>
      </c>
      <c r="FH69" s="108" t="str">
        <f t="shared" si="120"/>
        <v/>
      </c>
      <c r="FI69" s="108" t="str">
        <f t="shared" si="120"/>
        <v/>
      </c>
      <c r="FJ69" s="108" t="str">
        <f t="shared" si="120"/>
        <v/>
      </c>
      <c r="FK69" s="108" t="str">
        <f t="shared" si="120"/>
        <v/>
      </c>
      <c r="FL69" s="108" t="str">
        <f t="shared" si="120"/>
        <v/>
      </c>
      <c r="FM69" s="108" t="str">
        <f t="shared" si="120"/>
        <v/>
      </c>
      <c r="FN69" s="108" t="str">
        <f t="shared" si="120"/>
        <v/>
      </c>
      <c r="FO69" s="108" t="str">
        <f t="shared" si="121"/>
        <v/>
      </c>
      <c r="FP69" s="108" t="str">
        <f t="shared" si="121"/>
        <v/>
      </c>
      <c r="FQ69" s="108" t="str">
        <f t="shared" si="121"/>
        <v/>
      </c>
      <c r="FR69" s="108" t="str">
        <f t="shared" si="121"/>
        <v/>
      </c>
      <c r="FS69" s="108" t="str">
        <f t="shared" si="121"/>
        <v/>
      </c>
      <c r="FT69" s="108" t="str">
        <f t="shared" si="121"/>
        <v/>
      </c>
      <c r="FU69" s="108" t="str">
        <f t="shared" si="121"/>
        <v/>
      </c>
      <c r="FV69" s="108" t="str">
        <f t="shared" si="121"/>
        <v/>
      </c>
      <c r="FW69" s="110" t="str">
        <f t="shared" si="121"/>
        <v/>
      </c>
    </row>
    <row r="70" spans="2:179" s="101" customFormat="1" ht="21" customHeight="1" x14ac:dyDescent="0.35">
      <c r="B70" s="27" t="e">
        <f>Portfolio_Daten!#REF!</f>
        <v>#REF!</v>
      </c>
      <c r="C70" s="27">
        <f>Portfolio_Daten!B71</f>
        <v>0</v>
      </c>
      <c r="D70" s="28">
        <f>Portfolio_Daten!E71</f>
        <v>0</v>
      </c>
      <c r="E70" s="31">
        <f>Portfolio_Daten!T71</f>
        <v>0</v>
      </c>
      <c r="F70" s="31">
        <f>Portfolio_Daten!U71</f>
        <v>0</v>
      </c>
      <c r="G70" s="107">
        <f>IF(F70="","",NETWORKDAYS(E70,F70,Parameter!$C$4:$C$51))</f>
        <v>0</v>
      </c>
      <c r="H70" s="29">
        <f>Portfolio_Daten!AG71</f>
        <v>0</v>
      </c>
      <c r="I70" s="33">
        <f>Portfolio_Daten!AI71</f>
        <v>0</v>
      </c>
      <c r="J70" s="106"/>
      <c r="K70" s="108" t="str">
        <f t="shared" si="105"/>
        <v/>
      </c>
      <c r="L70" s="108" t="str">
        <f t="shared" si="105"/>
        <v/>
      </c>
      <c r="M70" s="108" t="str">
        <f t="shared" si="105"/>
        <v/>
      </c>
      <c r="N70" s="108" t="str">
        <f t="shared" si="105"/>
        <v/>
      </c>
      <c r="O70" s="108" t="str">
        <f t="shared" si="105"/>
        <v/>
      </c>
      <c r="P70" s="108" t="str">
        <f t="shared" si="105"/>
        <v/>
      </c>
      <c r="Q70" s="108" t="str">
        <f t="shared" si="105"/>
        <v/>
      </c>
      <c r="R70" s="108" t="str">
        <f t="shared" si="105"/>
        <v/>
      </c>
      <c r="S70" s="108" t="str">
        <f t="shared" si="105"/>
        <v/>
      </c>
      <c r="T70" s="108" t="str">
        <f t="shared" si="105"/>
        <v/>
      </c>
      <c r="U70" s="108" t="str">
        <f t="shared" si="106"/>
        <v/>
      </c>
      <c r="V70" s="108" t="str">
        <f t="shared" si="106"/>
        <v/>
      </c>
      <c r="W70" s="108" t="str">
        <f t="shared" si="106"/>
        <v/>
      </c>
      <c r="X70" s="108" t="str">
        <f t="shared" si="106"/>
        <v/>
      </c>
      <c r="Y70" s="108" t="str">
        <f t="shared" si="106"/>
        <v/>
      </c>
      <c r="Z70" s="108" t="str">
        <f t="shared" si="106"/>
        <v/>
      </c>
      <c r="AA70" s="108" t="str">
        <f t="shared" si="106"/>
        <v/>
      </c>
      <c r="AB70" s="108" t="str">
        <f t="shared" si="106"/>
        <v/>
      </c>
      <c r="AC70" s="108" t="str">
        <f t="shared" si="106"/>
        <v/>
      </c>
      <c r="AD70" s="108" t="str">
        <f t="shared" si="106"/>
        <v/>
      </c>
      <c r="AE70" s="108" t="str">
        <f t="shared" si="107"/>
        <v/>
      </c>
      <c r="AF70" s="108" t="str">
        <f t="shared" si="107"/>
        <v/>
      </c>
      <c r="AG70" s="108" t="str">
        <f t="shared" si="107"/>
        <v/>
      </c>
      <c r="AH70" s="108" t="str">
        <f t="shared" si="107"/>
        <v/>
      </c>
      <c r="AI70" s="108" t="str">
        <f t="shared" si="107"/>
        <v/>
      </c>
      <c r="AJ70" s="108" t="str">
        <f t="shared" si="107"/>
        <v/>
      </c>
      <c r="AK70" s="108" t="str">
        <f t="shared" si="107"/>
        <v/>
      </c>
      <c r="AL70" s="108" t="str">
        <f t="shared" si="107"/>
        <v/>
      </c>
      <c r="AM70" s="108" t="str">
        <f t="shared" si="107"/>
        <v/>
      </c>
      <c r="AN70" s="108" t="str">
        <f t="shared" si="107"/>
        <v/>
      </c>
      <c r="AO70" s="108" t="str">
        <f t="shared" si="108"/>
        <v/>
      </c>
      <c r="AP70" s="108" t="str">
        <f t="shared" si="108"/>
        <v/>
      </c>
      <c r="AQ70" s="108" t="str">
        <f t="shared" si="108"/>
        <v/>
      </c>
      <c r="AR70" s="108" t="str">
        <f t="shared" si="108"/>
        <v/>
      </c>
      <c r="AS70" s="108" t="str">
        <f t="shared" si="108"/>
        <v/>
      </c>
      <c r="AT70" s="108" t="str">
        <f t="shared" si="108"/>
        <v/>
      </c>
      <c r="AU70" s="108" t="str">
        <f t="shared" si="108"/>
        <v/>
      </c>
      <c r="AV70" s="108" t="str">
        <f t="shared" si="108"/>
        <v/>
      </c>
      <c r="AW70" s="108" t="str">
        <f t="shared" si="108"/>
        <v/>
      </c>
      <c r="AX70" s="108" t="str">
        <f t="shared" si="108"/>
        <v/>
      </c>
      <c r="AY70" s="108" t="str">
        <f t="shared" si="109"/>
        <v/>
      </c>
      <c r="AZ70" s="108" t="str">
        <f t="shared" si="109"/>
        <v/>
      </c>
      <c r="BA70" s="108" t="str">
        <f t="shared" si="109"/>
        <v/>
      </c>
      <c r="BB70" s="108" t="str">
        <f t="shared" si="109"/>
        <v/>
      </c>
      <c r="BC70" s="108" t="str">
        <f t="shared" si="109"/>
        <v/>
      </c>
      <c r="BD70" s="108" t="str">
        <f t="shared" si="109"/>
        <v/>
      </c>
      <c r="BE70" s="108" t="str">
        <f t="shared" si="109"/>
        <v/>
      </c>
      <c r="BF70" s="108" t="str">
        <f t="shared" si="109"/>
        <v/>
      </c>
      <c r="BG70" s="108" t="str">
        <f t="shared" si="109"/>
        <v/>
      </c>
      <c r="BH70" s="108" t="str">
        <f t="shared" si="109"/>
        <v/>
      </c>
      <c r="BI70" s="108" t="str">
        <f t="shared" si="110"/>
        <v/>
      </c>
      <c r="BJ70" s="108" t="str">
        <f t="shared" si="110"/>
        <v/>
      </c>
      <c r="BK70" s="108" t="str">
        <f t="shared" si="110"/>
        <v/>
      </c>
      <c r="BL70" s="108" t="str">
        <f t="shared" si="110"/>
        <v/>
      </c>
      <c r="BM70" s="108" t="str">
        <f t="shared" si="110"/>
        <v/>
      </c>
      <c r="BN70" s="108" t="str">
        <f t="shared" si="110"/>
        <v/>
      </c>
      <c r="BO70" s="108" t="str">
        <f t="shared" si="110"/>
        <v/>
      </c>
      <c r="BP70" s="108" t="str">
        <f t="shared" si="110"/>
        <v/>
      </c>
      <c r="BQ70" s="108" t="str">
        <f t="shared" si="110"/>
        <v/>
      </c>
      <c r="BR70" s="108" t="str">
        <f t="shared" si="110"/>
        <v/>
      </c>
      <c r="BS70" s="108" t="str">
        <f t="shared" si="111"/>
        <v/>
      </c>
      <c r="BT70" s="108" t="str">
        <f t="shared" si="111"/>
        <v/>
      </c>
      <c r="BU70" s="108" t="str">
        <f t="shared" si="111"/>
        <v/>
      </c>
      <c r="BV70" s="108" t="str">
        <f t="shared" si="111"/>
        <v/>
      </c>
      <c r="BW70" s="108" t="str">
        <f t="shared" si="111"/>
        <v/>
      </c>
      <c r="BX70" s="108" t="str">
        <f t="shared" si="111"/>
        <v/>
      </c>
      <c r="BY70" s="108" t="str">
        <f t="shared" si="111"/>
        <v/>
      </c>
      <c r="BZ70" s="108" t="str">
        <f t="shared" si="111"/>
        <v/>
      </c>
      <c r="CA70" s="108" t="str">
        <f t="shared" si="111"/>
        <v/>
      </c>
      <c r="CB70" s="108" t="str">
        <f t="shared" si="111"/>
        <v/>
      </c>
      <c r="CC70" s="108" t="str">
        <f t="shared" si="112"/>
        <v/>
      </c>
      <c r="CD70" s="108" t="str">
        <f t="shared" si="112"/>
        <v/>
      </c>
      <c r="CE70" s="108" t="str">
        <f t="shared" si="112"/>
        <v/>
      </c>
      <c r="CF70" s="108" t="str">
        <f t="shared" si="112"/>
        <v/>
      </c>
      <c r="CG70" s="108" t="str">
        <f t="shared" si="112"/>
        <v/>
      </c>
      <c r="CH70" s="108" t="str">
        <f t="shared" si="112"/>
        <v/>
      </c>
      <c r="CI70" s="108" t="str">
        <f t="shared" si="112"/>
        <v/>
      </c>
      <c r="CJ70" s="108" t="str">
        <f t="shared" si="112"/>
        <v/>
      </c>
      <c r="CK70" s="108" t="str">
        <f t="shared" si="112"/>
        <v/>
      </c>
      <c r="CL70" s="108" t="str">
        <f t="shared" si="112"/>
        <v/>
      </c>
      <c r="CM70" s="108" t="str">
        <f t="shared" si="113"/>
        <v/>
      </c>
      <c r="CN70" s="108" t="str">
        <f t="shared" si="113"/>
        <v/>
      </c>
      <c r="CO70" s="108" t="str">
        <f t="shared" si="113"/>
        <v/>
      </c>
      <c r="CP70" s="108" t="str">
        <f t="shared" si="113"/>
        <v/>
      </c>
      <c r="CQ70" s="108" t="str">
        <f t="shared" si="113"/>
        <v/>
      </c>
      <c r="CR70" s="109" t="str">
        <f t="shared" si="113"/>
        <v/>
      </c>
      <c r="CS70" s="108" t="str">
        <f t="shared" si="113"/>
        <v/>
      </c>
      <c r="CT70" s="108" t="str">
        <f t="shared" si="113"/>
        <v/>
      </c>
      <c r="CU70" s="108" t="str">
        <f t="shared" si="113"/>
        <v/>
      </c>
      <c r="CV70" s="108" t="str">
        <f t="shared" si="113"/>
        <v/>
      </c>
      <c r="CW70" s="108" t="str">
        <f t="shared" si="114"/>
        <v/>
      </c>
      <c r="CX70" s="108" t="str">
        <f t="shared" si="114"/>
        <v/>
      </c>
      <c r="CY70" s="108" t="str">
        <f t="shared" si="114"/>
        <v/>
      </c>
      <c r="CZ70" s="109" t="str">
        <f t="shared" si="114"/>
        <v/>
      </c>
      <c r="DA70" s="108" t="str">
        <f t="shared" si="114"/>
        <v/>
      </c>
      <c r="DB70" s="108" t="str">
        <f t="shared" si="114"/>
        <v/>
      </c>
      <c r="DC70" s="108" t="str">
        <f t="shared" si="114"/>
        <v/>
      </c>
      <c r="DD70" s="108" t="str">
        <f t="shared" si="114"/>
        <v/>
      </c>
      <c r="DE70" s="108" t="str">
        <f t="shared" si="114"/>
        <v/>
      </c>
      <c r="DF70" s="108" t="str">
        <f t="shared" si="114"/>
        <v/>
      </c>
      <c r="DG70" s="108" t="str">
        <f t="shared" si="115"/>
        <v/>
      </c>
      <c r="DH70" s="109" t="str">
        <f t="shared" si="115"/>
        <v/>
      </c>
      <c r="DI70" s="108" t="str">
        <f t="shared" si="115"/>
        <v/>
      </c>
      <c r="DJ70" s="108" t="str">
        <f t="shared" si="115"/>
        <v/>
      </c>
      <c r="DK70" s="108" t="str">
        <f t="shared" si="115"/>
        <v/>
      </c>
      <c r="DL70" s="108" t="str">
        <f t="shared" si="115"/>
        <v/>
      </c>
      <c r="DM70" s="108" t="str">
        <f t="shared" si="115"/>
        <v/>
      </c>
      <c r="DN70" s="108" t="str">
        <f t="shared" si="115"/>
        <v/>
      </c>
      <c r="DO70" s="109" t="str">
        <f t="shared" si="115"/>
        <v/>
      </c>
      <c r="DP70" s="108" t="str">
        <f t="shared" si="115"/>
        <v/>
      </c>
      <c r="DQ70" s="108" t="str">
        <f t="shared" si="116"/>
        <v/>
      </c>
      <c r="DR70" s="108" t="str">
        <f t="shared" si="116"/>
        <v/>
      </c>
      <c r="DS70" s="108" t="str">
        <f t="shared" si="116"/>
        <v/>
      </c>
      <c r="DT70" s="108" t="str">
        <f t="shared" si="116"/>
        <v/>
      </c>
      <c r="DU70" s="108" t="str">
        <f t="shared" si="116"/>
        <v/>
      </c>
      <c r="DV70" s="108" t="str">
        <f t="shared" si="116"/>
        <v/>
      </c>
      <c r="DW70" s="109" t="str">
        <f t="shared" si="116"/>
        <v/>
      </c>
      <c r="DX70" s="108" t="str">
        <f t="shared" si="116"/>
        <v/>
      </c>
      <c r="DY70" s="108" t="str">
        <f t="shared" si="116"/>
        <v/>
      </c>
      <c r="DZ70" s="108" t="str">
        <f t="shared" si="116"/>
        <v/>
      </c>
      <c r="EA70" s="108" t="str">
        <f t="shared" si="117"/>
        <v/>
      </c>
      <c r="EB70" s="108" t="str">
        <f t="shared" si="117"/>
        <v/>
      </c>
      <c r="EC70" s="108" t="str">
        <f t="shared" si="117"/>
        <v/>
      </c>
      <c r="ED70" s="109" t="str">
        <f t="shared" si="117"/>
        <v/>
      </c>
      <c r="EE70" s="108" t="str">
        <f t="shared" si="117"/>
        <v/>
      </c>
      <c r="EF70" s="108" t="str">
        <f t="shared" si="117"/>
        <v/>
      </c>
      <c r="EG70" s="108" t="str">
        <f t="shared" si="117"/>
        <v/>
      </c>
      <c r="EH70" s="108" t="str">
        <f t="shared" si="117"/>
        <v/>
      </c>
      <c r="EI70" s="108" t="str">
        <f t="shared" si="117"/>
        <v/>
      </c>
      <c r="EJ70" s="108" t="str">
        <f t="shared" si="117"/>
        <v/>
      </c>
      <c r="EK70" s="108" t="str">
        <f t="shared" si="118"/>
        <v/>
      </c>
      <c r="EL70" s="108" t="str">
        <f t="shared" si="118"/>
        <v/>
      </c>
      <c r="EM70" s="108" t="str">
        <f t="shared" si="118"/>
        <v/>
      </c>
      <c r="EN70" s="108" t="str">
        <f t="shared" si="118"/>
        <v/>
      </c>
      <c r="EO70" s="108" t="str">
        <f t="shared" si="118"/>
        <v/>
      </c>
      <c r="EP70" s="108" t="str">
        <f t="shared" si="118"/>
        <v/>
      </c>
      <c r="EQ70" s="108" t="str">
        <f t="shared" si="118"/>
        <v/>
      </c>
      <c r="ER70" s="108" t="str">
        <f t="shared" si="118"/>
        <v/>
      </c>
      <c r="ES70" s="109" t="str">
        <f t="shared" si="118"/>
        <v/>
      </c>
      <c r="ET70" s="108" t="str">
        <f t="shared" si="118"/>
        <v/>
      </c>
      <c r="EU70" s="108" t="str">
        <f t="shared" si="119"/>
        <v/>
      </c>
      <c r="EV70" s="108" t="str">
        <f t="shared" si="119"/>
        <v/>
      </c>
      <c r="EW70" s="108" t="str">
        <f t="shared" si="119"/>
        <v/>
      </c>
      <c r="EX70" s="108" t="str">
        <f t="shared" si="119"/>
        <v/>
      </c>
      <c r="EY70" s="108" t="str">
        <f t="shared" si="119"/>
        <v/>
      </c>
      <c r="EZ70" s="108" t="str">
        <f t="shared" si="119"/>
        <v/>
      </c>
      <c r="FA70" s="108" t="str">
        <f t="shared" si="119"/>
        <v/>
      </c>
      <c r="FB70" s="108" t="str">
        <f t="shared" si="119"/>
        <v/>
      </c>
      <c r="FC70" s="108" t="str">
        <f t="shared" si="119"/>
        <v/>
      </c>
      <c r="FD70" s="108" t="str">
        <f t="shared" si="119"/>
        <v/>
      </c>
      <c r="FE70" s="108" t="str">
        <f t="shared" si="120"/>
        <v/>
      </c>
      <c r="FF70" s="109" t="str">
        <f t="shared" si="120"/>
        <v/>
      </c>
      <c r="FG70" s="108" t="str">
        <f t="shared" si="120"/>
        <v/>
      </c>
      <c r="FH70" s="108" t="str">
        <f t="shared" si="120"/>
        <v/>
      </c>
      <c r="FI70" s="108" t="str">
        <f t="shared" si="120"/>
        <v/>
      </c>
      <c r="FJ70" s="108" t="str">
        <f t="shared" si="120"/>
        <v/>
      </c>
      <c r="FK70" s="108" t="str">
        <f t="shared" si="120"/>
        <v/>
      </c>
      <c r="FL70" s="108" t="str">
        <f t="shared" si="120"/>
        <v/>
      </c>
      <c r="FM70" s="108" t="str">
        <f t="shared" si="120"/>
        <v/>
      </c>
      <c r="FN70" s="108" t="str">
        <f t="shared" si="120"/>
        <v/>
      </c>
      <c r="FO70" s="108" t="str">
        <f t="shared" si="121"/>
        <v/>
      </c>
      <c r="FP70" s="108" t="str">
        <f t="shared" si="121"/>
        <v/>
      </c>
      <c r="FQ70" s="108" t="str">
        <f t="shared" si="121"/>
        <v/>
      </c>
      <c r="FR70" s="108" t="str">
        <f t="shared" si="121"/>
        <v/>
      </c>
      <c r="FS70" s="108" t="str">
        <f t="shared" si="121"/>
        <v/>
      </c>
      <c r="FT70" s="108" t="str">
        <f t="shared" si="121"/>
        <v/>
      </c>
      <c r="FU70" s="108" t="str">
        <f t="shared" si="121"/>
        <v/>
      </c>
      <c r="FV70" s="108" t="str">
        <f t="shared" si="121"/>
        <v/>
      </c>
      <c r="FW70" s="110" t="str">
        <f t="shared" si="121"/>
        <v/>
      </c>
    </row>
    <row r="71" spans="2:179" s="101" customFormat="1" ht="21" customHeight="1" x14ac:dyDescent="0.35">
      <c r="B71" s="27" t="e">
        <f>Portfolio_Daten!#REF!</f>
        <v>#REF!</v>
      </c>
      <c r="C71" s="27">
        <f>Portfolio_Daten!B72</f>
        <v>0</v>
      </c>
      <c r="D71" s="28">
        <f>Portfolio_Daten!E72</f>
        <v>0</v>
      </c>
      <c r="E71" s="31">
        <f>Portfolio_Daten!T72</f>
        <v>0</v>
      </c>
      <c r="F71" s="31">
        <f>Portfolio_Daten!U72</f>
        <v>0</v>
      </c>
      <c r="G71" s="107">
        <f>IF(F71="","",NETWORKDAYS(E71,F71,Parameter!$C$4:$C$51))</f>
        <v>0</v>
      </c>
      <c r="H71" s="29">
        <f>Portfolio_Daten!AG72</f>
        <v>0</v>
      </c>
      <c r="I71" s="33">
        <f>Portfolio_Daten!AI72</f>
        <v>0</v>
      </c>
      <c r="J71" s="106"/>
      <c r="K71" s="108" t="str">
        <f t="shared" si="105"/>
        <v/>
      </c>
      <c r="L71" s="108" t="str">
        <f t="shared" si="105"/>
        <v/>
      </c>
      <c r="M71" s="108" t="str">
        <f t="shared" si="105"/>
        <v/>
      </c>
      <c r="N71" s="108" t="str">
        <f t="shared" si="105"/>
        <v/>
      </c>
      <c r="O71" s="108" t="str">
        <f t="shared" si="105"/>
        <v/>
      </c>
      <c r="P71" s="108" t="str">
        <f t="shared" si="105"/>
        <v/>
      </c>
      <c r="Q71" s="108" t="str">
        <f t="shared" si="105"/>
        <v/>
      </c>
      <c r="R71" s="108" t="str">
        <f t="shared" si="105"/>
        <v/>
      </c>
      <c r="S71" s="108" t="str">
        <f t="shared" si="105"/>
        <v/>
      </c>
      <c r="T71" s="108" t="str">
        <f t="shared" si="105"/>
        <v/>
      </c>
      <c r="U71" s="108" t="str">
        <f t="shared" si="106"/>
        <v/>
      </c>
      <c r="V71" s="108" t="str">
        <f t="shared" si="106"/>
        <v/>
      </c>
      <c r="W71" s="108" t="str">
        <f t="shared" si="106"/>
        <v/>
      </c>
      <c r="X71" s="108" t="str">
        <f t="shared" si="106"/>
        <v/>
      </c>
      <c r="Y71" s="108" t="str">
        <f t="shared" si="106"/>
        <v/>
      </c>
      <c r="Z71" s="108" t="str">
        <f t="shared" si="106"/>
        <v/>
      </c>
      <c r="AA71" s="108" t="str">
        <f t="shared" si="106"/>
        <v/>
      </c>
      <c r="AB71" s="108" t="str">
        <f t="shared" si="106"/>
        <v/>
      </c>
      <c r="AC71" s="108" t="str">
        <f t="shared" si="106"/>
        <v/>
      </c>
      <c r="AD71" s="108" t="str">
        <f t="shared" si="106"/>
        <v/>
      </c>
      <c r="AE71" s="108" t="str">
        <f t="shared" si="107"/>
        <v/>
      </c>
      <c r="AF71" s="108" t="str">
        <f t="shared" si="107"/>
        <v/>
      </c>
      <c r="AG71" s="108" t="str">
        <f t="shared" si="107"/>
        <v/>
      </c>
      <c r="AH71" s="108" t="str">
        <f t="shared" si="107"/>
        <v/>
      </c>
      <c r="AI71" s="108" t="str">
        <f t="shared" si="107"/>
        <v/>
      </c>
      <c r="AJ71" s="108" t="str">
        <f t="shared" si="107"/>
        <v/>
      </c>
      <c r="AK71" s="108" t="str">
        <f t="shared" si="107"/>
        <v/>
      </c>
      <c r="AL71" s="108" t="str">
        <f t="shared" si="107"/>
        <v/>
      </c>
      <c r="AM71" s="108" t="str">
        <f t="shared" si="107"/>
        <v/>
      </c>
      <c r="AN71" s="108" t="str">
        <f t="shared" si="107"/>
        <v/>
      </c>
      <c r="AO71" s="108" t="str">
        <f t="shared" si="108"/>
        <v/>
      </c>
      <c r="AP71" s="108" t="str">
        <f t="shared" si="108"/>
        <v/>
      </c>
      <c r="AQ71" s="108" t="str">
        <f t="shared" si="108"/>
        <v/>
      </c>
      <c r="AR71" s="108" t="str">
        <f t="shared" si="108"/>
        <v/>
      </c>
      <c r="AS71" s="108" t="str">
        <f t="shared" si="108"/>
        <v/>
      </c>
      <c r="AT71" s="108" t="str">
        <f t="shared" si="108"/>
        <v/>
      </c>
      <c r="AU71" s="108" t="str">
        <f t="shared" si="108"/>
        <v/>
      </c>
      <c r="AV71" s="108" t="str">
        <f t="shared" si="108"/>
        <v/>
      </c>
      <c r="AW71" s="108" t="str">
        <f t="shared" si="108"/>
        <v/>
      </c>
      <c r="AX71" s="108" t="str">
        <f t="shared" si="108"/>
        <v/>
      </c>
      <c r="AY71" s="108" t="str">
        <f t="shared" si="109"/>
        <v/>
      </c>
      <c r="AZ71" s="108" t="str">
        <f t="shared" si="109"/>
        <v/>
      </c>
      <c r="BA71" s="108" t="str">
        <f t="shared" si="109"/>
        <v/>
      </c>
      <c r="BB71" s="108" t="str">
        <f t="shared" si="109"/>
        <v/>
      </c>
      <c r="BC71" s="108" t="str">
        <f t="shared" si="109"/>
        <v/>
      </c>
      <c r="BD71" s="108" t="str">
        <f t="shared" si="109"/>
        <v/>
      </c>
      <c r="BE71" s="108" t="str">
        <f t="shared" si="109"/>
        <v/>
      </c>
      <c r="BF71" s="108" t="str">
        <f t="shared" si="109"/>
        <v/>
      </c>
      <c r="BG71" s="108" t="str">
        <f t="shared" si="109"/>
        <v/>
      </c>
      <c r="BH71" s="108" t="str">
        <f t="shared" si="109"/>
        <v/>
      </c>
      <c r="BI71" s="108" t="str">
        <f t="shared" si="110"/>
        <v/>
      </c>
      <c r="BJ71" s="108" t="str">
        <f t="shared" si="110"/>
        <v/>
      </c>
      <c r="BK71" s="108" t="str">
        <f t="shared" si="110"/>
        <v/>
      </c>
      <c r="BL71" s="108" t="str">
        <f t="shared" si="110"/>
        <v/>
      </c>
      <c r="BM71" s="108" t="str">
        <f t="shared" si="110"/>
        <v/>
      </c>
      <c r="BN71" s="108" t="str">
        <f t="shared" si="110"/>
        <v/>
      </c>
      <c r="BO71" s="108" t="str">
        <f t="shared" si="110"/>
        <v/>
      </c>
      <c r="BP71" s="108" t="str">
        <f t="shared" si="110"/>
        <v/>
      </c>
      <c r="BQ71" s="108" t="str">
        <f t="shared" si="110"/>
        <v/>
      </c>
      <c r="BR71" s="108" t="str">
        <f t="shared" si="110"/>
        <v/>
      </c>
      <c r="BS71" s="108" t="str">
        <f t="shared" si="111"/>
        <v/>
      </c>
      <c r="BT71" s="108" t="str">
        <f t="shared" si="111"/>
        <v/>
      </c>
      <c r="BU71" s="108" t="str">
        <f t="shared" si="111"/>
        <v/>
      </c>
      <c r="BV71" s="108" t="str">
        <f t="shared" si="111"/>
        <v/>
      </c>
      <c r="BW71" s="108" t="str">
        <f t="shared" si="111"/>
        <v/>
      </c>
      <c r="BX71" s="108" t="str">
        <f t="shared" si="111"/>
        <v/>
      </c>
      <c r="BY71" s="108" t="str">
        <f t="shared" si="111"/>
        <v/>
      </c>
      <c r="BZ71" s="108" t="str">
        <f t="shared" si="111"/>
        <v/>
      </c>
      <c r="CA71" s="108" t="str">
        <f t="shared" si="111"/>
        <v/>
      </c>
      <c r="CB71" s="108" t="str">
        <f t="shared" si="111"/>
        <v/>
      </c>
      <c r="CC71" s="108" t="str">
        <f t="shared" si="112"/>
        <v/>
      </c>
      <c r="CD71" s="108" t="str">
        <f t="shared" si="112"/>
        <v/>
      </c>
      <c r="CE71" s="108" t="str">
        <f t="shared" si="112"/>
        <v/>
      </c>
      <c r="CF71" s="108" t="str">
        <f t="shared" si="112"/>
        <v/>
      </c>
      <c r="CG71" s="108" t="str">
        <f t="shared" si="112"/>
        <v/>
      </c>
      <c r="CH71" s="108" t="str">
        <f t="shared" si="112"/>
        <v/>
      </c>
      <c r="CI71" s="108" t="str">
        <f t="shared" si="112"/>
        <v/>
      </c>
      <c r="CJ71" s="108" t="str">
        <f t="shared" si="112"/>
        <v/>
      </c>
      <c r="CK71" s="108" t="str">
        <f t="shared" si="112"/>
        <v/>
      </c>
      <c r="CL71" s="108" t="str">
        <f t="shared" si="112"/>
        <v/>
      </c>
      <c r="CM71" s="108" t="str">
        <f t="shared" si="113"/>
        <v/>
      </c>
      <c r="CN71" s="108" t="str">
        <f t="shared" si="113"/>
        <v/>
      </c>
      <c r="CO71" s="108" t="str">
        <f t="shared" si="113"/>
        <v/>
      </c>
      <c r="CP71" s="108" t="str">
        <f t="shared" si="113"/>
        <v/>
      </c>
      <c r="CQ71" s="108" t="str">
        <f t="shared" si="113"/>
        <v/>
      </c>
      <c r="CR71" s="109" t="str">
        <f t="shared" si="113"/>
        <v/>
      </c>
      <c r="CS71" s="108" t="str">
        <f t="shared" si="113"/>
        <v/>
      </c>
      <c r="CT71" s="108" t="str">
        <f t="shared" si="113"/>
        <v/>
      </c>
      <c r="CU71" s="108" t="str">
        <f t="shared" si="113"/>
        <v/>
      </c>
      <c r="CV71" s="108" t="str">
        <f t="shared" si="113"/>
        <v/>
      </c>
      <c r="CW71" s="108" t="str">
        <f t="shared" si="114"/>
        <v/>
      </c>
      <c r="CX71" s="108" t="str">
        <f t="shared" si="114"/>
        <v/>
      </c>
      <c r="CY71" s="108" t="str">
        <f t="shared" si="114"/>
        <v/>
      </c>
      <c r="CZ71" s="109" t="str">
        <f t="shared" si="114"/>
        <v/>
      </c>
      <c r="DA71" s="108" t="str">
        <f t="shared" si="114"/>
        <v/>
      </c>
      <c r="DB71" s="108" t="str">
        <f t="shared" si="114"/>
        <v/>
      </c>
      <c r="DC71" s="108" t="str">
        <f t="shared" si="114"/>
        <v/>
      </c>
      <c r="DD71" s="108" t="str">
        <f t="shared" si="114"/>
        <v/>
      </c>
      <c r="DE71" s="108" t="str">
        <f t="shared" si="114"/>
        <v/>
      </c>
      <c r="DF71" s="108" t="str">
        <f t="shared" si="114"/>
        <v/>
      </c>
      <c r="DG71" s="108" t="str">
        <f t="shared" si="115"/>
        <v/>
      </c>
      <c r="DH71" s="109" t="str">
        <f t="shared" si="115"/>
        <v/>
      </c>
      <c r="DI71" s="108" t="str">
        <f t="shared" si="115"/>
        <v/>
      </c>
      <c r="DJ71" s="108" t="str">
        <f t="shared" si="115"/>
        <v/>
      </c>
      <c r="DK71" s="108" t="str">
        <f t="shared" si="115"/>
        <v/>
      </c>
      <c r="DL71" s="108" t="str">
        <f t="shared" si="115"/>
        <v/>
      </c>
      <c r="DM71" s="108" t="str">
        <f t="shared" si="115"/>
        <v/>
      </c>
      <c r="DN71" s="108" t="str">
        <f t="shared" si="115"/>
        <v/>
      </c>
      <c r="DO71" s="109" t="str">
        <f t="shared" si="115"/>
        <v/>
      </c>
      <c r="DP71" s="108" t="str">
        <f t="shared" si="115"/>
        <v/>
      </c>
      <c r="DQ71" s="108" t="str">
        <f t="shared" si="116"/>
        <v/>
      </c>
      <c r="DR71" s="108" t="str">
        <f t="shared" si="116"/>
        <v/>
      </c>
      <c r="DS71" s="108" t="str">
        <f t="shared" si="116"/>
        <v/>
      </c>
      <c r="DT71" s="108" t="str">
        <f t="shared" si="116"/>
        <v/>
      </c>
      <c r="DU71" s="108" t="str">
        <f t="shared" si="116"/>
        <v/>
      </c>
      <c r="DV71" s="108" t="str">
        <f t="shared" si="116"/>
        <v/>
      </c>
      <c r="DW71" s="109" t="str">
        <f t="shared" si="116"/>
        <v/>
      </c>
      <c r="DX71" s="108" t="str">
        <f t="shared" si="116"/>
        <v/>
      </c>
      <c r="DY71" s="108" t="str">
        <f t="shared" si="116"/>
        <v/>
      </c>
      <c r="DZ71" s="108" t="str">
        <f t="shared" si="116"/>
        <v/>
      </c>
      <c r="EA71" s="108" t="str">
        <f t="shared" si="117"/>
        <v/>
      </c>
      <c r="EB71" s="108" t="str">
        <f t="shared" si="117"/>
        <v/>
      </c>
      <c r="EC71" s="108" t="str">
        <f t="shared" si="117"/>
        <v/>
      </c>
      <c r="ED71" s="109" t="str">
        <f t="shared" si="117"/>
        <v/>
      </c>
      <c r="EE71" s="108" t="str">
        <f t="shared" si="117"/>
        <v/>
      </c>
      <c r="EF71" s="108" t="str">
        <f t="shared" si="117"/>
        <v/>
      </c>
      <c r="EG71" s="108" t="str">
        <f t="shared" si="117"/>
        <v/>
      </c>
      <c r="EH71" s="108" t="str">
        <f t="shared" si="117"/>
        <v/>
      </c>
      <c r="EI71" s="108" t="str">
        <f t="shared" si="117"/>
        <v/>
      </c>
      <c r="EJ71" s="108" t="str">
        <f t="shared" si="117"/>
        <v/>
      </c>
      <c r="EK71" s="108" t="str">
        <f t="shared" si="118"/>
        <v/>
      </c>
      <c r="EL71" s="108" t="str">
        <f t="shared" si="118"/>
        <v/>
      </c>
      <c r="EM71" s="108" t="str">
        <f t="shared" si="118"/>
        <v/>
      </c>
      <c r="EN71" s="108" t="str">
        <f t="shared" si="118"/>
        <v/>
      </c>
      <c r="EO71" s="108" t="str">
        <f t="shared" si="118"/>
        <v/>
      </c>
      <c r="EP71" s="108" t="str">
        <f t="shared" si="118"/>
        <v/>
      </c>
      <c r="EQ71" s="108" t="str">
        <f t="shared" si="118"/>
        <v/>
      </c>
      <c r="ER71" s="108" t="str">
        <f t="shared" si="118"/>
        <v/>
      </c>
      <c r="ES71" s="109" t="str">
        <f t="shared" si="118"/>
        <v/>
      </c>
      <c r="ET71" s="108" t="str">
        <f t="shared" si="118"/>
        <v/>
      </c>
      <c r="EU71" s="108" t="str">
        <f t="shared" si="119"/>
        <v/>
      </c>
      <c r="EV71" s="108" t="str">
        <f t="shared" si="119"/>
        <v/>
      </c>
      <c r="EW71" s="108" t="str">
        <f t="shared" si="119"/>
        <v/>
      </c>
      <c r="EX71" s="108" t="str">
        <f t="shared" si="119"/>
        <v/>
      </c>
      <c r="EY71" s="108" t="str">
        <f t="shared" si="119"/>
        <v/>
      </c>
      <c r="EZ71" s="108" t="str">
        <f t="shared" si="119"/>
        <v/>
      </c>
      <c r="FA71" s="108" t="str">
        <f t="shared" si="119"/>
        <v/>
      </c>
      <c r="FB71" s="108" t="str">
        <f t="shared" si="119"/>
        <v/>
      </c>
      <c r="FC71" s="108" t="str">
        <f t="shared" si="119"/>
        <v/>
      </c>
      <c r="FD71" s="108" t="str">
        <f t="shared" si="119"/>
        <v/>
      </c>
      <c r="FE71" s="108" t="str">
        <f t="shared" si="120"/>
        <v/>
      </c>
      <c r="FF71" s="109" t="str">
        <f t="shared" si="120"/>
        <v/>
      </c>
      <c r="FG71" s="108" t="str">
        <f t="shared" si="120"/>
        <v/>
      </c>
      <c r="FH71" s="108" t="str">
        <f t="shared" si="120"/>
        <v/>
      </c>
      <c r="FI71" s="108" t="str">
        <f t="shared" si="120"/>
        <v/>
      </c>
      <c r="FJ71" s="108" t="str">
        <f t="shared" si="120"/>
        <v/>
      </c>
      <c r="FK71" s="108" t="str">
        <f t="shared" si="120"/>
        <v/>
      </c>
      <c r="FL71" s="108" t="str">
        <f t="shared" si="120"/>
        <v/>
      </c>
      <c r="FM71" s="108" t="str">
        <f t="shared" si="120"/>
        <v/>
      </c>
      <c r="FN71" s="108" t="str">
        <f t="shared" si="120"/>
        <v/>
      </c>
      <c r="FO71" s="108" t="str">
        <f t="shared" si="121"/>
        <v/>
      </c>
      <c r="FP71" s="108" t="str">
        <f t="shared" si="121"/>
        <v/>
      </c>
      <c r="FQ71" s="108" t="str">
        <f t="shared" si="121"/>
        <v/>
      </c>
      <c r="FR71" s="108" t="str">
        <f t="shared" si="121"/>
        <v/>
      </c>
      <c r="FS71" s="108" t="str">
        <f t="shared" si="121"/>
        <v/>
      </c>
      <c r="FT71" s="108" t="str">
        <f t="shared" si="121"/>
        <v/>
      </c>
      <c r="FU71" s="108" t="str">
        <f t="shared" si="121"/>
        <v/>
      </c>
      <c r="FV71" s="108" t="str">
        <f t="shared" si="121"/>
        <v/>
      </c>
      <c r="FW71" s="110" t="str">
        <f t="shared" si="121"/>
        <v/>
      </c>
    </row>
    <row r="72" spans="2:179" s="101" customFormat="1" ht="21" customHeight="1" x14ac:dyDescent="0.35">
      <c r="B72" s="27" t="e">
        <f>Portfolio_Daten!#REF!</f>
        <v>#REF!</v>
      </c>
      <c r="C72" s="27">
        <f>Portfolio_Daten!B73</f>
        <v>0</v>
      </c>
      <c r="D72" s="28">
        <f>Portfolio_Daten!E73</f>
        <v>0</v>
      </c>
      <c r="E72" s="31">
        <f>Portfolio_Daten!T73</f>
        <v>0</v>
      </c>
      <c r="F72" s="31">
        <f>Portfolio_Daten!U73</f>
        <v>0</v>
      </c>
      <c r="G72" s="107">
        <f>IF(F72="","",NETWORKDAYS(E72,F72,Parameter!$C$4:$C$51))</f>
        <v>0</v>
      </c>
      <c r="H72" s="29">
        <f>Portfolio_Daten!AG73</f>
        <v>0</v>
      </c>
      <c r="I72" s="33">
        <f>Portfolio_Daten!AI73</f>
        <v>0</v>
      </c>
      <c r="J72" s="106"/>
      <c r="K72" s="108" t="str">
        <f t="shared" si="105"/>
        <v/>
      </c>
      <c r="L72" s="108" t="str">
        <f t="shared" si="105"/>
        <v/>
      </c>
      <c r="M72" s="108" t="str">
        <f t="shared" si="105"/>
        <v/>
      </c>
      <c r="N72" s="108" t="str">
        <f t="shared" si="105"/>
        <v/>
      </c>
      <c r="O72" s="108" t="str">
        <f t="shared" si="105"/>
        <v/>
      </c>
      <c r="P72" s="108" t="str">
        <f t="shared" si="105"/>
        <v/>
      </c>
      <c r="Q72" s="108" t="str">
        <f t="shared" si="105"/>
        <v/>
      </c>
      <c r="R72" s="108" t="str">
        <f t="shared" si="105"/>
        <v/>
      </c>
      <c r="S72" s="108" t="str">
        <f t="shared" si="105"/>
        <v/>
      </c>
      <c r="T72" s="108" t="str">
        <f t="shared" si="105"/>
        <v/>
      </c>
      <c r="U72" s="108" t="str">
        <f t="shared" si="106"/>
        <v/>
      </c>
      <c r="V72" s="108" t="str">
        <f t="shared" si="106"/>
        <v/>
      </c>
      <c r="W72" s="108" t="str">
        <f t="shared" si="106"/>
        <v/>
      </c>
      <c r="X72" s="108" t="str">
        <f t="shared" si="106"/>
        <v/>
      </c>
      <c r="Y72" s="108" t="str">
        <f t="shared" si="106"/>
        <v/>
      </c>
      <c r="Z72" s="108" t="str">
        <f t="shared" si="106"/>
        <v/>
      </c>
      <c r="AA72" s="108" t="str">
        <f t="shared" si="106"/>
        <v/>
      </c>
      <c r="AB72" s="108" t="str">
        <f t="shared" si="106"/>
        <v/>
      </c>
      <c r="AC72" s="108" t="str">
        <f t="shared" si="106"/>
        <v/>
      </c>
      <c r="AD72" s="108" t="str">
        <f t="shared" si="106"/>
        <v/>
      </c>
      <c r="AE72" s="108" t="str">
        <f t="shared" si="107"/>
        <v/>
      </c>
      <c r="AF72" s="108" t="str">
        <f t="shared" si="107"/>
        <v/>
      </c>
      <c r="AG72" s="108" t="str">
        <f t="shared" si="107"/>
        <v/>
      </c>
      <c r="AH72" s="108" t="str">
        <f t="shared" si="107"/>
        <v/>
      </c>
      <c r="AI72" s="108" t="str">
        <f t="shared" si="107"/>
        <v/>
      </c>
      <c r="AJ72" s="108" t="str">
        <f t="shared" si="107"/>
        <v/>
      </c>
      <c r="AK72" s="108" t="str">
        <f t="shared" si="107"/>
        <v/>
      </c>
      <c r="AL72" s="108" t="str">
        <f t="shared" si="107"/>
        <v/>
      </c>
      <c r="AM72" s="108" t="str">
        <f t="shared" si="107"/>
        <v/>
      </c>
      <c r="AN72" s="108" t="str">
        <f t="shared" si="107"/>
        <v/>
      </c>
      <c r="AO72" s="108" t="str">
        <f t="shared" si="108"/>
        <v/>
      </c>
      <c r="AP72" s="108" t="str">
        <f t="shared" si="108"/>
        <v/>
      </c>
      <c r="AQ72" s="108" t="str">
        <f t="shared" si="108"/>
        <v/>
      </c>
      <c r="AR72" s="108" t="str">
        <f t="shared" si="108"/>
        <v/>
      </c>
      <c r="AS72" s="108" t="str">
        <f t="shared" si="108"/>
        <v/>
      </c>
      <c r="AT72" s="108" t="str">
        <f t="shared" si="108"/>
        <v/>
      </c>
      <c r="AU72" s="108" t="str">
        <f t="shared" si="108"/>
        <v/>
      </c>
      <c r="AV72" s="108" t="str">
        <f t="shared" si="108"/>
        <v/>
      </c>
      <c r="AW72" s="108" t="str">
        <f t="shared" si="108"/>
        <v/>
      </c>
      <c r="AX72" s="108" t="str">
        <f t="shared" si="108"/>
        <v/>
      </c>
      <c r="AY72" s="108" t="str">
        <f t="shared" si="109"/>
        <v/>
      </c>
      <c r="AZ72" s="108" t="str">
        <f t="shared" si="109"/>
        <v/>
      </c>
      <c r="BA72" s="108" t="str">
        <f t="shared" si="109"/>
        <v/>
      </c>
      <c r="BB72" s="108" t="str">
        <f t="shared" si="109"/>
        <v/>
      </c>
      <c r="BC72" s="108" t="str">
        <f t="shared" si="109"/>
        <v/>
      </c>
      <c r="BD72" s="108" t="str">
        <f t="shared" si="109"/>
        <v/>
      </c>
      <c r="BE72" s="108" t="str">
        <f t="shared" si="109"/>
        <v/>
      </c>
      <c r="BF72" s="108" t="str">
        <f t="shared" si="109"/>
        <v/>
      </c>
      <c r="BG72" s="108" t="str">
        <f t="shared" si="109"/>
        <v/>
      </c>
      <c r="BH72" s="108" t="str">
        <f t="shared" si="109"/>
        <v/>
      </c>
      <c r="BI72" s="108" t="str">
        <f t="shared" si="110"/>
        <v/>
      </c>
      <c r="BJ72" s="108" t="str">
        <f t="shared" si="110"/>
        <v/>
      </c>
      <c r="BK72" s="108" t="str">
        <f t="shared" si="110"/>
        <v/>
      </c>
      <c r="BL72" s="108" t="str">
        <f t="shared" si="110"/>
        <v/>
      </c>
      <c r="BM72" s="108" t="str">
        <f t="shared" si="110"/>
        <v/>
      </c>
      <c r="BN72" s="108" t="str">
        <f t="shared" si="110"/>
        <v/>
      </c>
      <c r="BO72" s="108" t="str">
        <f t="shared" si="110"/>
        <v/>
      </c>
      <c r="BP72" s="108" t="str">
        <f t="shared" si="110"/>
        <v/>
      </c>
      <c r="BQ72" s="108" t="str">
        <f t="shared" si="110"/>
        <v/>
      </c>
      <c r="BR72" s="108" t="str">
        <f t="shared" si="110"/>
        <v/>
      </c>
      <c r="BS72" s="108" t="str">
        <f t="shared" si="111"/>
        <v/>
      </c>
      <c r="BT72" s="108" t="str">
        <f t="shared" si="111"/>
        <v/>
      </c>
      <c r="BU72" s="108" t="str">
        <f t="shared" si="111"/>
        <v/>
      </c>
      <c r="BV72" s="108" t="str">
        <f t="shared" si="111"/>
        <v/>
      </c>
      <c r="BW72" s="108" t="str">
        <f t="shared" si="111"/>
        <v/>
      </c>
      <c r="BX72" s="108" t="str">
        <f t="shared" si="111"/>
        <v/>
      </c>
      <c r="BY72" s="108" t="str">
        <f t="shared" si="111"/>
        <v/>
      </c>
      <c r="BZ72" s="108" t="str">
        <f t="shared" si="111"/>
        <v/>
      </c>
      <c r="CA72" s="108" t="str">
        <f t="shared" si="111"/>
        <v/>
      </c>
      <c r="CB72" s="108" t="str">
        <f t="shared" si="111"/>
        <v/>
      </c>
      <c r="CC72" s="108" t="str">
        <f t="shared" si="112"/>
        <v/>
      </c>
      <c r="CD72" s="108" t="str">
        <f t="shared" si="112"/>
        <v/>
      </c>
      <c r="CE72" s="108" t="str">
        <f t="shared" si="112"/>
        <v/>
      </c>
      <c r="CF72" s="108" t="str">
        <f t="shared" si="112"/>
        <v/>
      </c>
      <c r="CG72" s="108" t="str">
        <f t="shared" si="112"/>
        <v/>
      </c>
      <c r="CH72" s="108" t="str">
        <f t="shared" si="112"/>
        <v/>
      </c>
      <c r="CI72" s="108" t="str">
        <f t="shared" si="112"/>
        <v/>
      </c>
      <c r="CJ72" s="108" t="str">
        <f t="shared" si="112"/>
        <v/>
      </c>
      <c r="CK72" s="108" t="str">
        <f t="shared" si="112"/>
        <v/>
      </c>
      <c r="CL72" s="108" t="str">
        <f t="shared" si="112"/>
        <v/>
      </c>
      <c r="CM72" s="108" t="str">
        <f t="shared" si="113"/>
        <v/>
      </c>
      <c r="CN72" s="108" t="str">
        <f t="shared" si="113"/>
        <v/>
      </c>
      <c r="CO72" s="108" t="str">
        <f t="shared" si="113"/>
        <v/>
      </c>
      <c r="CP72" s="108" t="str">
        <f t="shared" si="113"/>
        <v/>
      </c>
      <c r="CQ72" s="108" t="str">
        <f t="shared" si="113"/>
        <v/>
      </c>
      <c r="CR72" s="109" t="str">
        <f t="shared" si="113"/>
        <v/>
      </c>
      <c r="CS72" s="108" t="str">
        <f t="shared" si="113"/>
        <v/>
      </c>
      <c r="CT72" s="108" t="str">
        <f t="shared" si="113"/>
        <v/>
      </c>
      <c r="CU72" s="108" t="str">
        <f t="shared" si="113"/>
        <v/>
      </c>
      <c r="CV72" s="108" t="str">
        <f t="shared" si="113"/>
        <v/>
      </c>
      <c r="CW72" s="108" t="str">
        <f t="shared" si="114"/>
        <v/>
      </c>
      <c r="CX72" s="108" t="str">
        <f t="shared" si="114"/>
        <v/>
      </c>
      <c r="CY72" s="108" t="str">
        <f t="shared" si="114"/>
        <v/>
      </c>
      <c r="CZ72" s="109" t="str">
        <f t="shared" si="114"/>
        <v/>
      </c>
      <c r="DA72" s="108" t="str">
        <f t="shared" si="114"/>
        <v/>
      </c>
      <c r="DB72" s="108" t="str">
        <f t="shared" si="114"/>
        <v/>
      </c>
      <c r="DC72" s="108" t="str">
        <f t="shared" si="114"/>
        <v/>
      </c>
      <c r="DD72" s="108" t="str">
        <f t="shared" si="114"/>
        <v/>
      </c>
      <c r="DE72" s="108" t="str">
        <f t="shared" si="114"/>
        <v/>
      </c>
      <c r="DF72" s="108" t="str">
        <f t="shared" si="114"/>
        <v/>
      </c>
      <c r="DG72" s="108" t="str">
        <f t="shared" si="115"/>
        <v/>
      </c>
      <c r="DH72" s="109" t="str">
        <f t="shared" si="115"/>
        <v/>
      </c>
      <c r="DI72" s="108" t="str">
        <f t="shared" si="115"/>
        <v/>
      </c>
      <c r="DJ72" s="108" t="str">
        <f t="shared" si="115"/>
        <v/>
      </c>
      <c r="DK72" s="108" t="str">
        <f t="shared" si="115"/>
        <v/>
      </c>
      <c r="DL72" s="108" t="str">
        <f t="shared" si="115"/>
        <v/>
      </c>
      <c r="DM72" s="108" t="str">
        <f t="shared" si="115"/>
        <v/>
      </c>
      <c r="DN72" s="108" t="str">
        <f t="shared" si="115"/>
        <v/>
      </c>
      <c r="DO72" s="109" t="str">
        <f t="shared" si="115"/>
        <v/>
      </c>
      <c r="DP72" s="108" t="str">
        <f t="shared" si="115"/>
        <v/>
      </c>
      <c r="DQ72" s="108" t="str">
        <f t="shared" si="116"/>
        <v/>
      </c>
      <c r="DR72" s="108" t="str">
        <f t="shared" si="116"/>
        <v/>
      </c>
      <c r="DS72" s="108" t="str">
        <f t="shared" si="116"/>
        <v/>
      </c>
      <c r="DT72" s="108" t="str">
        <f t="shared" si="116"/>
        <v/>
      </c>
      <c r="DU72" s="108" t="str">
        <f t="shared" si="116"/>
        <v/>
      </c>
      <c r="DV72" s="108" t="str">
        <f t="shared" si="116"/>
        <v/>
      </c>
      <c r="DW72" s="109" t="str">
        <f t="shared" si="116"/>
        <v/>
      </c>
      <c r="DX72" s="108" t="str">
        <f t="shared" si="116"/>
        <v/>
      </c>
      <c r="DY72" s="108" t="str">
        <f t="shared" si="116"/>
        <v/>
      </c>
      <c r="DZ72" s="108" t="str">
        <f t="shared" si="116"/>
        <v/>
      </c>
      <c r="EA72" s="108" t="str">
        <f t="shared" si="117"/>
        <v/>
      </c>
      <c r="EB72" s="108" t="str">
        <f t="shared" si="117"/>
        <v/>
      </c>
      <c r="EC72" s="108" t="str">
        <f t="shared" si="117"/>
        <v/>
      </c>
      <c r="ED72" s="109" t="str">
        <f t="shared" si="117"/>
        <v/>
      </c>
      <c r="EE72" s="108" t="str">
        <f t="shared" si="117"/>
        <v/>
      </c>
      <c r="EF72" s="108" t="str">
        <f t="shared" si="117"/>
        <v/>
      </c>
      <c r="EG72" s="108" t="str">
        <f t="shared" si="117"/>
        <v/>
      </c>
      <c r="EH72" s="108" t="str">
        <f t="shared" si="117"/>
        <v/>
      </c>
      <c r="EI72" s="108" t="str">
        <f t="shared" si="117"/>
        <v/>
      </c>
      <c r="EJ72" s="108" t="str">
        <f t="shared" si="117"/>
        <v/>
      </c>
      <c r="EK72" s="108" t="str">
        <f t="shared" si="118"/>
        <v/>
      </c>
      <c r="EL72" s="108" t="str">
        <f t="shared" si="118"/>
        <v/>
      </c>
      <c r="EM72" s="108" t="str">
        <f t="shared" si="118"/>
        <v/>
      </c>
      <c r="EN72" s="108" t="str">
        <f t="shared" si="118"/>
        <v/>
      </c>
      <c r="EO72" s="108" t="str">
        <f t="shared" si="118"/>
        <v/>
      </c>
      <c r="EP72" s="108" t="str">
        <f t="shared" si="118"/>
        <v/>
      </c>
      <c r="EQ72" s="108" t="str">
        <f t="shared" si="118"/>
        <v/>
      </c>
      <c r="ER72" s="108" t="str">
        <f t="shared" si="118"/>
        <v/>
      </c>
      <c r="ES72" s="109" t="str">
        <f t="shared" si="118"/>
        <v/>
      </c>
      <c r="ET72" s="108" t="str">
        <f t="shared" si="118"/>
        <v/>
      </c>
      <c r="EU72" s="108" t="str">
        <f t="shared" si="119"/>
        <v/>
      </c>
      <c r="EV72" s="108" t="str">
        <f t="shared" si="119"/>
        <v/>
      </c>
      <c r="EW72" s="108" t="str">
        <f t="shared" si="119"/>
        <v/>
      </c>
      <c r="EX72" s="108" t="str">
        <f t="shared" si="119"/>
        <v/>
      </c>
      <c r="EY72" s="108" t="str">
        <f t="shared" si="119"/>
        <v/>
      </c>
      <c r="EZ72" s="108" t="str">
        <f t="shared" si="119"/>
        <v/>
      </c>
      <c r="FA72" s="108" t="str">
        <f t="shared" si="119"/>
        <v/>
      </c>
      <c r="FB72" s="108" t="str">
        <f t="shared" si="119"/>
        <v/>
      </c>
      <c r="FC72" s="108" t="str">
        <f t="shared" si="119"/>
        <v/>
      </c>
      <c r="FD72" s="108" t="str">
        <f t="shared" si="119"/>
        <v/>
      </c>
      <c r="FE72" s="108" t="str">
        <f t="shared" si="120"/>
        <v/>
      </c>
      <c r="FF72" s="109" t="str">
        <f t="shared" si="120"/>
        <v/>
      </c>
      <c r="FG72" s="108" t="str">
        <f t="shared" si="120"/>
        <v/>
      </c>
      <c r="FH72" s="108" t="str">
        <f t="shared" si="120"/>
        <v/>
      </c>
      <c r="FI72" s="108" t="str">
        <f t="shared" si="120"/>
        <v/>
      </c>
      <c r="FJ72" s="108" t="str">
        <f t="shared" si="120"/>
        <v/>
      </c>
      <c r="FK72" s="108" t="str">
        <f t="shared" si="120"/>
        <v/>
      </c>
      <c r="FL72" s="108" t="str">
        <f t="shared" si="120"/>
        <v/>
      </c>
      <c r="FM72" s="108" t="str">
        <f t="shared" si="120"/>
        <v/>
      </c>
      <c r="FN72" s="108" t="str">
        <f t="shared" si="120"/>
        <v/>
      </c>
      <c r="FO72" s="108" t="str">
        <f t="shared" si="121"/>
        <v/>
      </c>
      <c r="FP72" s="108" t="str">
        <f t="shared" si="121"/>
        <v/>
      </c>
      <c r="FQ72" s="108" t="str">
        <f t="shared" si="121"/>
        <v/>
      </c>
      <c r="FR72" s="108" t="str">
        <f t="shared" si="121"/>
        <v/>
      </c>
      <c r="FS72" s="108" t="str">
        <f t="shared" si="121"/>
        <v/>
      </c>
      <c r="FT72" s="108" t="str">
        <f t="shared" si="121"/>
        <v/>
      </c>
      <c r="FU72" s="108" t="str">
        <f t="shared" si="121"/>
        <v/>
      </c>
      <c r="FV72" s="108" t="str">
        <f t="shared" si="121"/>
        <v/>
      </c>
      <c r="FW72" s="110" t="str">
        <f t="shared" si="121"/>
        <v/>
      </c>
    </row>
    <row r="73" spans="2:179" s="101" customFormat="1" ht="21" customHeight="1" x14ac:dyDescent="0.35">
      <c r="B73" s="27" t="e">
        <f>Portfolio_Daten!#REF!</f>
        <v>#REF!</v>
      </c>
      <c r="C73" s="27">
        <f>Portfolio_Daten!B74</f>
        <v>0</v>
      </c>
      <c r="D73" s="28">
        <f>Portfolio_Daten!E74</f>
        <v>0</v>
      </c>
      <c r="E73" s="31">
        <f>Portfolio_Daten!T74</f>
        <v>0</v>
      </c>
      <c r="F73" s="31">
        <f>Portfolio_Daten!U74</f>
        <v>0</v>
      </c>
      <c r="G73" s="107">
        <f>IF(F73="","",NETWORKDAYS(E73,F73,Parameter!$C$4:$C$51))</f>
        <v>0</v>
      </c>
      <c r="H73" s="29">
        <f>Portfolio_Daten!AG74</f>
        <v>0</v>
      </c>
      <c r="I73" s="33">
        <f>Portfolio_Daten!AI74</f>
        <v>0</v>
      </c>
      <c r="J73" s="106"/>
      <c r="K73" s="108" t="str">
        <f t="shared" si="105"/>
        <v/>
      </c>
      <c r="L73" s="108" t="str">
        <f t="shared" si="105"/>
        <v/>
      </c>
      <c r="M73" s="108" t="str">
        <f t="shared" si="105"/>
        <v/>
      </c>
      <c r="N73" s="108" t="str">
        <f t="shared" si="105"/>
        <v/>
      </c>
      <c r="O73" s="108" t="str">
        <f t="shared" si="105"/>
        <v/>
      </c>
      <c r="P73" s="108" t="str">
        <f t="shared" si="105"/>
        <v/>
      </c>
      <c r="Q73" s="108" t="str">
        <f t="shared" si="105"/>
        <v/>
      </c>
      <c r="R73" s="108" t="str">
        <f t="shared" si="105"/>
        <v/>
      </c>
      <c r="S73" s="108" t="str">
        <f t="shared" si="105"/>
        <v/>
      </c>
      <c r="T73" s="108" t="str">
        <f t="shared" si="105"/>
        <v/>
      </c>
      <c r="U73" s="108" t="str">
        <f t="shared" si="106"/>
        <v/>
      </c>
      <c r="V73" s="108" t="str">
        <f t="shared" si="106"/>
        <v/>
      </c>
      <c r="W73" s="108" t="str">
        <f t="shared" si="106"/>
        <v/>
      </c>
      <c r="X73" s="108" t="str">
        <f t="shared" si="106"/>
        <v/>
      </c>
      <c r="Y73" s="108" t="str">
        <f t="shared" si="106"/>
        <v/>
      </c>
      <c r="Z73" s="108" t="str">
        <f t="shared" si="106"/>
        <v/>
      </c>
      <c r="AA73" s="108" t="str">
        <f t="shared" si="106"/>
        <v/>
      </c>
      <c r="AB73" s="108" t="str">
        <f t="shared" si="106"/>
        <v/>
      </c>
      <c r="AC73" s="108" t="str">
        <f t="shared" si="106"/>
        <v/>
      </c>
      <c r="AD73" s="108" t="str">
        <f t="shared" si="106"/>
        <v/>
      </c>
      <c r="AE73" s="108" t="str">
        <f t="shared" si="107"/>
        <v/>
      </c>
      <c r="AF73" s="108" t="str">
        <f t="shared" si="107"/>
        <v/>
      </c>
      <c r="AG73" s="108" t="str">
        <f t="shared" si="107"/>
        <v/>
      </c>
      <c r="AH73" s="108" t="str">
        <f t="shared" si="107"/>
        <v/>
      </c>
      <c r="AI73" s="108" t="str">
        <f t="shared" si="107"/>
        <v/>
      </c>
      <c r="AJ73" s="108" t="str">
        <f t="shared" si="107"/>
        <v/>
      </c>
      <c r="AK73" s="108" t="str">
        <f t="shared" si="107"/>
        <v/>
      </c>
      <c r="AL73" s="108" t="str">
        <f t="shared" si="107"/>
        <v/>
      </c>
      <c r="AM73" s="108" t="str">
        <f t="shared" si="107"/>
        <v/>
      </c>
      <c r="AN73" s="108" t="str">
        <f t="shared" si="107"/>
        <v/>
      </c>
      <c r="AO73" s="108" t="str">
        <f t="shared" si="108"/>
        <v/>
      </c>
      <c r="AP73" s="108" t="str">
        <f t="shared" si="108"/>
        <v/>
      </c>
      <c r="AQ73" s="108" t="str">
        <f t="shared" si="108"/>
        <v/>
      </c>
      <c r="AR73" s="108" t="str">
        <f t="shared" si="108"/>
        <v/>
      </c>
      <c r="AS73" s="108" t="str">
        <f t="shared" si="108"/>
        <v/>
      </c>
      <c r="AT73" s="108" t="str">
        <f t="shared" si="108"/>
        <v/>
      </c>
      <c r="AU73" s="108" t="str">
        <f t="shared" si="108"/>
        <v/>
      </c>
      <c r="AV73" s="108" t="str">
        <f t="shared" si="108"/>
        <v/>
      </c>
      <c r="AW73" s="108" t="str">
        <f t="shared" si="108"/>
        <v/>
      </c>
      <c r="AX73" s="108" t="str">
        <f t="shared" si="108"/>
        <v/>
      </c>
      <c r="AY73" s="108" t="str">
        <f t="shared" si="109"/>
        <v/>
      </c>
      <c r="AZ73" s="108" t="str">
        <f t="shared" si="109"/>
        <v/>
      </c>
      <c r="BA73" s="108" t="str">
        <f t="shared" si="109"/>
        <v/>
      </c>
      <c r="BB73" s="108" t="str">
        <f t="shared" si="109"/>
        <v/>
      </c>
      <c r="BC73" s="108" t="str">
        <f t="shared" si="109"/>
        <v/>
      </c>
      <c r="BD73" s="108" t="str">
        <f t="shared" si="109"/>
        <v/>
      </c>
      <c r="BE73" s="108" t="str">
        <f t="shared" si="109"/>
        <v/>
      </c>
      <c r="BF73" s="108" t="str">
        <f t="shared" si="109"/>
        <v/>
      </c>
      <c r="BG73" s="108" t="str">
        <f t="shared" si="109"/>
        <v/>
      </c>
      <c r="BH73" s="108" t="str">
        <f t="shared" si="109"/>
        <v/>
      </c>
      <c r="BI73" s="108" t="str">
        <f t="shared" si="110"/>
        <v/>
      </c>
      <c r="BJ73" s="108" t="str">
        <f t="shared" si="110"/>
        <v/>
      </c>
      <c r="BK73" s="108" t="str">
        <f t="shared" si="110"/>
        <v/>
      </c>
      <c r="BL73" s="108" t="str">
        <f t="shared" si="110"/>
        <v/>
      </c>
      <c r="BM73" s="108" t="str">
        <f t="shared" si="110"/>
        <v/>
      </c>
      <c r="BN73" s="108" t="str">
        <f t="shared" si="110"/>
        <v/>
      </c>
      <c r="BO73" s="108" t="str">
        <f t="shared" si="110"/>
        <v/>
      </c>
      <c r="BP73" s="108" t="str">
        <f t="shared" si="110"/>
        <v/>
      </c>
      <c r="BQ73" s="108" t="str">
        <f t="shared" si="110"/>
        <v/>
      </c>
      <c r="BR73" s="108" t="str">
        <f t="shared" si="110"/>
        <v/>
      </c>
      <c r="BS73" s="108" t="str">
        <f t="shared" si="111"/>
        <v/>
      </c>
      <c r="BT73" s="108" t="str">
        <f t="shared" si="111"/>
        <v/>
      </c>
      <c r="BU73" s="108" t="str">
        <f t="shared" si="111"/>
        <v/>
      </c>
      <c r="BV73" s="108" t="str">
        <f t="shared" si="111"/>
        <v/>
      </c>
      <c r="BW73" s="108" t="str">
        <f t="shared" si="111"/>
        <v/>
      </c>
      <c r="BX73" s="108" t="str">
        <f t="shared" si="111"/>
        <v/>
      </c>
      <c r="BY73" s="108" t="str">
        <f t="shared" si="111"/>
        <v/>
      </c>
      <c r="BZ73" s="108" t="str">
        <f t="shared" si="111"/>
        <v/>
      </c>
      <c r="CA73" s="108" t="str">
        <f t="shared" si="111"/>
        <v/>
      </c>
      <c r="CB73" s="108" t="str">
        <f t="shared" si="111"/>
        <v/>
      </c>
      <c r="CC73" s="108" t="str">
        <f t="shared" si="112"/>
        <v/>
      </c>
      <c r="CD73" s="108" t="str">
        <f t="shared" si="112"/>
        <v/>
      </c>
      <c r="CE73" s="108" t="str">
        <f t="shared" si="112"/>
        <v/>
      </c>
      <c r="CF73" s="108" t="str">
        <f t="shared" si="112"/>
        <v/>
      </c>
      <c r="CG73" s="108" t="str">
        <f t="shared" si="112"/>
        <v/>
      </c>
      <c r="CH73" s="108" t="str">
        <f t="shared" si="112"/>
        <v/>
      </c>
      <c r="CI73" s="108" t="str">
        <f t="shared" si="112"/>
        <v/>
      </c>
      <c r="CJ73" s="108" t="str">
        <f t="shared" si="112"/>
        <v/>
      </c>
      <c r="CK73" s="108" t="str">
        <f t="shared" si="112"/>
        <v/>
      </c>
      <c r="CL73" s="108" t="str">
        <f t="shared" si="112"/>
        <v/>
      </c>
      <c r="CM73" s="108" t="str">
        <f t="shared" si="113"/>
        <v/>
      </c>
      <c r="CN73" s="108" t="str">
        <f t="shared" si="113"/>
        <v/>
      </c>
      <c r="CO73" s="108" t="str">
        <f t="shared" si="113"/>
        <v/>
      </c>
      <c r="CP73" s="108" t="str">
        <f t="shared" si="113"/>
        <v/>
      </c>
      <c r="CQ73" s="108" t="str">
        <f t="shared" si="113"/>
        <v/>
      </c>
      <c r="CR73" s="109" t="str">
        <f t="shared" si="113"/>
        <v/>
      </c>
      <c r="CS73" s="108" t="str">
        <f t="shared" si="113"/>
        <v/>
      </c>
      <c r="CT73" s="108" t="str">
        <f t="shared" si="113"/>
        <v/>
      </c>
      <c r="CU73" s="108" t="str">
        <f t="shared" si="113"/>
        <v/>
      </c>
      <c r="CV73" s="108" t="str">
        <f t="shared" si="113"/>
        <v/>
      </c>
      <c r="CW73" s="108" t="str">
        <f t="shared" si="114"/>
        <v/>
      </c>
      <c r="CX73" s="108" t="str">
        <f t="shared" si="114"/>
        <v/>
      </c>
      <c r="CY73" s="108" t="str">
        <f t="shared" si="114"/>
        <v/>
      </c>
      <c r="CZ73" s="109" t="str">
        <f t="shared" si="114"/>
        <v/>
      </c>
      <c r="DA73" s="108" t="str">
        <f t="shared" si="114"/>
        <v/>
      </c>
      <c r="DB73" s="108" t="str">
        <f t="shared" si="114"/>
        <v/>
      </c>
      <c r="DC73" s="108" t="str">
        <f t="shared" si="114"/>
        <v/>
      </c>
      <c r="DD73" s="108" t="str">
        <f t="shared" si="114"/>
        <v/>
      </c>
      <c r="DE73" s="108" t="str">
        <f t="shared" si="114"/>
        <v/>
      </c>
      <c r="DF73" s="108" t="str">
        <f t="shared" si="114"/>
        <v/>
      </c>
      <c r="DG73" s="108" t="str">
        <f t="shared" si="115"/>
        <v/>
      </c>
      <c r="DH73" s="109" t="str">
        <f t="shared" si="115"/>
        <v/>
      </c>
      <c r="DI73" s="108" t="str">
        <f t="shared" si="115"/>
        <v/>
      </c>
      <c r="DJ73" s="108" t="str">
        <f t="shared" si="115"/>
        <v/>
      </c>
      <c r="DK73" s="108" t="str">
        <f t="shared" si="115"/>
        <v/>
      </c>
      <c r="DL73" s="108" t="str">
        <f t="shared" si="115"/>
        <v/>
      </c>
      <c r="DM73" s="108" t="str">
        <f t="shared" si="115"/>
        <v/>
      </c>
      <c r="DN73" s="108" t="str">
        <f t="shared" si="115"/>
        <v/>
      </c>
      <c r="DO73" s="109" t="str">
        <f t="shared" si="115"/>
        <v/>
      </c>
      <c r="DP73" s="108" t="str">
        <f t="shared" si="115"/>
        <v/>
      </c>
      <c r="DQ73" s="108" t="str">
        <f t="shared" si="116"/>
        <v/>
      </c>
      <c r="DR73" s="108" t="str">
        <f t="shared" si="116"/>
        <v/>
      </c>
      <c r="DS73" s="108" t="str">
        <f t="shared" si="116"/>
        <v/>
      </c>
      <c r="DT73" s="108" t="str">
        <f t="shared" si="116"/>
        <v/>
      </c>
      <c r="DU73" s="108" t="str">
        <f t="shared" si="116"/>
        <v/>
      </c>
      <c r="DV73" s="108" t="str">
        <f t="shared" si="116"/>
        <v/>
      </c>
      <c r="DW73" s="109" t="str">
        <f t="shared" si="116"/>
        <v/>
      </c>
      <c r="DX73" s="108" t="str">
        <f t="shared" si="116"/>
        <v/>
      </c>
      <c r="DY73" s="108" t="str">
        <f t="shared" si="116"/>
        <v/>
      </c>
      <c r="DZ73" s="108" t="str">
        <f t="shared" si="116"/>
        <v/>
      </c>
      <c r="EA73" s="108" t="str">
        <f t="shared" si="117"/>
        <v/>
      </c>
      <c r="EB73" s="108" t="str">
        <f t="shared" si="117"/>
        <v/>
      </c>
      <c r="EC73" s="108" t="str">
        <f t="shared" si="117"/>
        <v/>
      </c>
      <c r="ED73" s="109" t="str">
        <f t="shared" si="117"/>
        <v/>
      </c>
      <c r="EE73" s="108" t="str">
        <f t="shared" si="117"/>
        <v/>
      </c>
      <c r="EF73" s="108" t="str">
        <f t="shared" si="117"/>
        <v/>
      </c>
      <c r="EG73" s="108" t="str">
        <f t="shared" si="117"/>
        <v/>
      </c>
      <c r="EH73" s="108" t="str">
        <f t="shared" si="117"/>
        <v/>
      </c>
      <c r="EI73" s="108" t="str">
        <f t="shared" si="117"/>
        <v/>
      </c>
      <c r="EJ73" s="108" t="str">
        <f t="shared" si="117"/>
        <v/>
      </c>
      <c r="EK73" s="108" t="str">
        <f t="shared" si="118"/>
        <v/>
      </c>
      <c r="EL73" s="108" t="str">
        <f t="shared" si="118"/>
        <v/>
      </c>
      <c r="EM73" s="108" t="str">
        <f t="shared" si="118"/>
        <v/>
      </c>
      <c r="EN73" s="108" t="str">
        <f t="shared" si="118"/>
        <v/>
      </c>
      <c r="EO73" s="108" t="str">
        <f t="shared" si="118"/>
        <v/>
      </c>
      <c r="EP73" s="108" t="str">
        <f t="shared" si="118"/>
        <v/>
      </c>
      <c r="EQ73" s="108" t="str">
        <f t="shared" si="118"/>
        <v/>
      </c>
      <c r="ER73" s="108" t="str">
        <f t="shared" si="118"/>
        <v/>
      </c>
      <c r="ES73" s="109" t="str">
        <f t="shared" si="118"/>
        <v/>
      </c>
      <c r="ET73" s="108" t="str">
        <f t="shared" si="118"/>
        <v/>
      </c>
      <c r="EU73" s="108" t="str">
        <f t="shared" si="119"/>
        <v/>
      </c>
      <c r="EV73" s="108" t="str">
        <f t="shared" si="119"/>
        <v/>
      </c>
      <c r="EW73" s="108" t="str">
        <f t="shared" si="119"/>
        <v/>
      </c>
      <c r="EX73" s="108" t="str">
        <f t="shared" si="119"/>
        <v/>
      </c>
      <c r="EY73" s="108" t="str">
        <f t="shared" si="119"/>
        <v/>
      </c>
      <c r="EZ73" s="108" t="str">
        <f t="shared" si="119"/>
        <v/>
      </c>
      <c r="FA73" s="108" t="str">
        <f t="shared" si="119"/>
        <v/>
      </c>
      <c r="FB73" s="108" t="str">
        <f t="shared" si="119"/>
        <v/>
      </c>
      <c r="FC73" s="108" t="str">
        <f t="shared" si="119"/>
        <v/>
      </c>
      <c r="FD73" s="108" t="str">
        <f t="shared" si="119"/>
        <v/>
      </c>
      <c r="FE73" s="108" t="str">
        <f t="shared" si="120"/>
        <v/>
      </c>
      <c r="FF73" s="109" t="str">
        <f t="shared" si="120"/>
        <v/>
      </c>
      <c r="FG73" s="108" t="str">
        <f t="shared" si="120"/>
        <v/>
      </c>
      <c r="FH73" s="108" t="str">
        <f t="shared" si="120"/>
        <v/>
      </c>
      <c r="FI73" s="108" t="str">
        <f t="shared" si="120"/>
        <v/>
      </c>
      <c r="FJ73" s="108" t="str">
        <f t="shared" si="120"/>
        <v/>
      </c>
      <c r="FK73" s="108" t="str">
        <f t="shared" si="120"/>
        <v/>
      </c>
      <c r="FL73" s="108" t="str">
        <f t="shared" si="120"/>
        <v/>
      </c>
      <c r="FM73" s="108" t="str">
        <f t="shared" si="120"/>
        <v/>
      </c>
      <c r="FN73" s="108" t="str">
        <f t="shared" si="120"/>
        <v/>
      </c>
      <c r="FO73" s="108" t="str">
        <f t="shared" si="121"/>
        <v/>
      </c>
      <c r="FP73" s="108" t="str">
        <f t="shared" si="121"/>
        <v/>
      </c>
      <c r="FQ73" s="108" t="str">
        <f t="shared" si="121"/>
        <v/>
      </c>
      <c r="FR73" s="108" t="str">
        <f t="shared" si="121"/>
        <v/>
      </c>
      <c r="FS73" s="108" t="str">
        <f t="shared" si="121"/>
        <v/>
      </c>
      <c r="FT73" s="108" t="str">
        <f t="shared" si="121"/>
        <v/>
      </c>
      <c r="FU73" s="108" t="str">
        <f t="shared" si="121"/>
        <v/>
      </c>
      <c r="FV73" s="108" t="str">
        <f t="shared" si="121"/>
        <v/>
      </c>
      <c r="FW73" s="110" t="str">
        <f t="shared" si="121"/>
        <v/>
      </c>
    </row>
    <row r="74" spans="2:179" s="101" customFormat="1" ht="21" customHeight="1" x14ac:dyDescent="0.35">
      <c r="B74" s="27" t="e">
        <f>Portfolio_Daten!#REF!</f>
        <v>#REF!</v>
      </c>
      <c r="C74" s="27">
        <f>Portfolio_Daten!B75</f>
        <v>0</v>
      </c>
      <c r="D74" s="28">
        <f>Portfolio_Daten!E75</f>
        <v>0</v>
      </c>
      <c r="E74" s="31">
        <f>Portfolio_Daten!T75</f>
        <v>0</v>
      </c>
      <c r="F74" s="31">
        <f>Portfolio_Daten!U75</f>
        <v>0</v>
      </c>
      <c r="G74" s="107">
        <f>IF(F74="","",NETWORKDAYS(E74,F74,Parameter!$C$4:$C$51))</f>
        <v>0</v>
      </c>
      <c r="H74" s="29">
        <f>Portfolio_Daten!AG75</f>
        <v>0</v>
      </c>
      <c r="I74" s="33">
        <f>Portfolio_Daten!AI75</f>
        <v>0</v>
      </c>
      <c r="J74" s="106"/>
      <c r="K74" s="108" t="str">
        <f t="shared" si="105"/>
        <v/>
      </c>
      <c r="L74" s="108" t="str">
        <f t="shared" si="105"/>
        <v/>
      </c>
      <c r="M74" s="108" t="str">
        <f t="shared" si="105"/>
        <v/>
      </c>
      <c r="N74" s="108" t="str">
        <f t="shared" si="105"/>
        <v/>
      </c>
      <c r="O74" s="108" t="str">
        <f t="shared" si="105"/>
        <v/>
      </c>
      <c r="P74" s="108" t="str">
        <f t="shared" si="105"/>
        <v/>
      </c>
      <c r="Q74" s="108" t="str">
        <f t="shared" si="105"/>
        <v/>
      </c>
      <c r="R74" s="108" t="str">
        <f t="shared" si="105"/>
        <v/>
      </c>
      <c r="S74" s="108" t="str">
        <f t="shared" si="105"/>
        <v/>
      </c>
      <c r="T74" s="108" t="str">
        <f t="shared" si="105"/>
        <v/>
      </c>
      <c r="U74" s="108" t="str">
        <f t="shared" si="106"/>
        <v/>
      </c>
      <c r="V74" s="108" t="str">
        <f t="shared" si="106"/>
        <v/>
      </c>
      <c r="W74" s="108" t="str">
        <f t="shared" si="106"/>
        <v/>
      </c>
      <c r="X74" s="108" t="str">
        <f t="shared" si="106"/>
        <v/>
      </c>
      <c r="Y74" s="108" t="str">
        <f t="shared" si="106"/>
        <v/>
      </c>
      <c r="Z74" s="108" t="str">
        <f t="shared" si="106"/>
        <v/>
      </c>
      <c r="AA74" s="108" t="str">
        <f t="shared" si="106"/>
        <v/>
      </c>
      <c r="AB74" s="108" t="str">
        <f t="shared" si="106"/>
        <v/>
      </c>
      <c r="AC74" s="108" t="str">
        <f t="shared" si="106"/>
        <v/>
      </c>
      <c r="AD74" s="108" t="str">
        <f t="shared" si="106"/>
        <v/>
      </c>
      <c r="AE74" s="108" t="str">
        <f t="shared" si="107"/>
        <v/>
      </c>
      <c r="AF74" s="108" t="str">
        <f t="shared" si="107"/>
        <v/>
      </c>
      <c r="AG74" s="108" t="str">
        <f t="shared" si="107"/>
        <v/>
      </c>
      <c r="AH74" s="108" t="str">
        <f t="shared" si="107"/>
        <v/>
      </c>
      <c r="AI74" s="108" t="str">
        <f t="shared" si="107"/>
        <v/>
      </c>
      <c r="AJ74" s="108" t="str">
        <f t="shared" si="107"/>
        <v/>
      </c>
      <c r="AK74" s="108" t="str">
        <f t="shared" si="107"/>
        <v/>
      </c>
      <c r="AL74" s="108" t="str">
        <f t="shared" si="107"/>
        <v/>
      </c>
      <c r="AM74" s="108" t="str">
        <f t="shared" si="107"/>
        <v/>
      </c>
      <c r="AN74" s="108" t="str">
        <f t="shared" si="107"/>
        <v/>
      </c>
      <c r="AO74" s="108" t="str">
        <f t="shared" si="108"/>
        <v/>
      </c>
      <c r="AP74" s="108" t="str">
        <f t="shared" si="108"/>
        <v/>
      </c>
      <c r="AQ74" s="108" t="str">
        <f t="shared" si="108"/>
        <v/>
      </c>
      <c r="AR74" s="108" t="str">
        <f t="shared" si="108"/>
        <v/>
      </c>
      <c r="AS74" s="108" t="str">
        <f t="shared" si="108"/>
        <v/>
      </c>
      <c r="AT74" s="108" t="str">
        <f t="shared" si="108"/>
        <v/>
      </c>
      <c r="AU74" s="108" t="str">
        <f t="shared" si="108"/>
        <v/>
      </c>
      <c r="AV74" s="108" t="str">
        <f t="shared" si="108"/>
        <v/>
      </c>
      <c r="AW74" s="108" t="str">
        <f t="shared" si="108"/>
        <v/>
      </c>
      <c r="AX74" s="108" t="str">
        <f t="shared" si="108"/>
        <v/>
      </c>
      <c r="AY74" s="108" t="str">
        <f t="shared" si="109"/>
        <v/>
      </c>
      <c r="AZ74" s="108" t="str">
        <f t="shared" si="109"/>
        <v/>
      </c>
      <c r="BA74" s="108" t="str">
        <f t="shared" si="109"/>
        <v/>
      </c>
      <c r="BB74" s="108" t="str">
        <f t="shared" si="109"/>
        <v/>
      </c>
      <c r="BC74" s="108" t="str">
        <f t="shared" si="109"/>
        <v/>
      </c>
      <c r="BD74" s="108" t="str">
        <f t="shared" si="109"/>
        <v/>
      </c>
      <c r="BE74" s="108" t="str">
        <f t="shared" si="109"/>
        <v/>
      </c>
      <c r="BF74" s="108" t="str">
        <f t="shared" si="109"/>
        <v/>
      </c>
      <c r="BG74" s="108" t="str">
        <f t="shared" si="109"/>
        <v/>
      </c>
      <c r="BH74" s="108" t="str">
        <f t="shared" si="109"/>
        <v/>
      </c>
      <c r="BI74" s="108" t="str">
        <f t="shared" si="110"/>
        <v/>
      </c>
      <c r="BJ74" s="108" t="str">
        <f t="shared" si="110"/>
        <v/>
      </c>
      <c r="BK74" s="108" t="str">
        <f t="shared" si="110"/>
        <v/>
      </c>
      <c r="BL74" s="108" t="str">
        <f t="shared" si="110"/>
        <v/>
      </c>
      <c r="BM74" s="108" t="str">
        <f t="shared" si="110"/>
        <v/>
      </c>
      <c r="BN74" s="108" t="str">
        <f t="shared" si="110"/>
        <v/>
      </c>
      <c r="BO74" s="108" t="str">
        <f t="shared" si="110"/>
        <v/>
      </c>
      <c r="BP74" s="108" t="str">
        <f t="shared" si="110"/>
        <v/>
      </c>
      <c r="BQ74" s="108" t="str">
        <f t="shared" si="110"/>
        <v/>
      </c>
      <c r="BR74" s="108" t="str">
        <f t="shared" si="110"/>
        <v/>
      </c>
      <c r="BS74" s="108" t="str">
        <f t="shared" si="111"/>
        <v/>
      </c>
      <c r="BT74" s="108" t="str">
        <f t="shared" si="111"/>
        <v/>
      </c>
      <c r="BU74" s="108" t="str">
        <f t="shared" si="111"/>
        <v/>
      </c>
      <c r="BV74" s="108" t="str">
        <f t="shared" si="111"/>
        <v/>
      </c>
      <c r="BW74" s="108" t="str">
        <f t="shared" si="111"/>
        <v/>
      </c>
      <c r="BX74" s="108" t="str">
        <f t="shared" si="111"/>
        <v/>
      </c>
      <c r="BY74" s="108" t="str">
        <f t="shared" si="111"/>
        <v/>
      </c>
      <c r="BZ74" s="108" t="str">
        <f t="shared" si="111"/>
        <v/>
      </c>
      <c r="CA74" s="108" t="str">
        <f t="shared" si="111"/>
        <v/>
      </c>
      <c r="CB74" s="108" t="str">
        <f t="shared" si="111"/>
        <v/>
      </c>
      <c r="CC74" s="108" t="str">
        <f t="shared" si="112"/>
        <v/>
      </c>
      <c r="CD74" s="108" t="str">
        <f t="shared" si="112"/>
        <v/>
      </c>
      <c r="CE74" s="108" t="str">
        <f t="shared" si="112"/>
        <v/>
      </c>
      <c r="CF74" s="108" t="str">
        <f t="shared" si="112"/>
        <v/>
      </c>
      <c r="CG74" s="108" t="str">
        <f t="shared" si="112"/>
        <v/>
      </c>
      <c r="CH74" s="108" t="str">
        <f t="shared" si="112"/>
        <v/>
      </c>
      <c r="CI74" s="108" t="str">
        <f t="shared" si="112"/>
        <v/>
      </c>
      <c r="CJ74" s="108" t="str">
        <f t="shared" si="112"/>
        <v/>
      </c>
      <c r="CK74" s="108" t="str">
        <f t="shared" si="112"/>
        <v/>
      </c>
      <c r="CL74" s="108" t="str">
        <f t="shared" si="112"/>
        <v/>
      </c>
      <c r="CM74" s="108" t="str">
        <f t="shared" si="113"/>
        <v/>
      </c>
      <c r="CN74" s="108" t="str">
        <f t="shared" si="113"/>
        <v/>
      </c>
      <c r="CO74" s="108" t="str">
        <f t="shared" si="113"/>
        <v/>
      </c>
      <c r="CP74" s="108" t="str">
        <f t="shared" si="113"/>
        <v/>
      </c>
      <c r="CQ74" s="108" t="str">
        <f t="shared" si="113"/>
        <v/>
      </c>
      <c r="CR74" s="109" t="str">
        <f t="shared" si="113"/>
        <v/>
      </c>
      <c r="CS74" s="108" t="str">
        <f t="shared" si="113"/>
        <v/>
      </c>
      <c r="CT74" s="108" t="str">
        <f t="shared" si="113"/>
        <v/>
      </c>
      <c r="CU74" s="108" t="str">
        <f t="shared" si="113"/>
        <v/>
      </c>
      <c r="CV74" s="108" t="str">
        <f t="shared" si="113"/>
        <v/>
      </c>
      <c r="CW74" s="108" t="str">
        <f t="shared" si="114"/>
        <v/>
      </c>
      <c r="CX74" s="108" t="str">
        <f t="shared" si="114"/>
        <v/>
      </c>
      <c r="CY74" s="108" t="str">
        <f t="shared" si="114"/>
        <v/>
      </c>
      <c r="CZ74" s="109" t="str">
        <f t="shared" si="114"/>
        <v/>
      </c>
      <c r="DA74" s="108" t="str">
        <f t="shared" si="114"/>
        <v/>
      </c>
      <c r="DB74" s="108" t="str">
        <f t="shared" si="114"/>
        <v/>
      </c>
      <c r="DC74" s="108" t="str">
        <f t="shared" si="114"/>
        <v/>
      </c>
      <c r="DD74" s="108" t="str">
        <f t="shared" si="114"/>
        <v/>
      </c>
      <c r="DE74" s="108" t="str">
        <f t="shared" si="114"/>
        <v/>
      </c>
      <c r="DF74" s="108" t="str">
        <f t="shared" si="114"/>
        <v/>
      </c>
      <c r="DG74" s="108" t="str">
        <f t="shared" si="115"/>
        <v/>
      </c>
      <c r="DH74" s="109" t="str">
        <f t="shared" si="115"/>
        <v/>
      </c>
      <c r="DI74" s="108" t="str">
        <f t="shared" si="115"/>
        <v/>
      </c>
      <c r="DJ74" s="108" t="str">
        <f t="shared" si="115"/>
        <v/>
      </c>
      <c r="DK74" s="108" t="str">
        <f t="shared" si="115"/>
        <v/>
      </c>
      <c r="DL74" s="108" t="str">
        <f t="shared" si="115"/>
        <v/>
      </c>
      <c r="DM74" s="108" t="str">
        <f t="shared" si="115"/>
        <v/>
      </c>
      <c r="DN74" s="108" t="str">
        <f t="shared" si="115"/>
        <v/>
      </c>
      <c r="DO74" s="109" t="str">
        <f t="shared" si="115"/>
        <v/>
      </c>
      <c r="DP74" s="108" t="str">
        <f t="shared" si="115"/>
        <v/>
      </c>
      <c r="DQ74" s="108" t="str">
        <f t="shared" si="116"/>
        <v/>
      </c>
      <c r="DR74" s="108" t="str">
        <f t="shared" si="116"/>
        <v/>
      </c>
      <c r="DS74" s="108" t="str">
        <f t="shared" si="116"/>
        <v/>
      </c>
      <c r="DT74" s="108" t="str">
        <f t="shared" si="116"/>
        <v/>
      </c>
      <c r="DU74" s="108" t="str">
        <f t="shared" si="116"/>
        <v/>
      </c>
      <c r="DV74" s="108" t="str">
        <f t="shared" si="116"/>
        <v/>
      </c>
      <c r="DW74" s="109" t="str">
        <f t="shared" si="116"/>
        <v/>
      </c>
      <c r="DX74" s="108" t="str">
        <f t="shared" si="116"/>
        <v/>
      </c>
      <c r="DY74" s="108" t="str">
        <f t="shared" si="116"/>
        <v/>
      </c>
      <c r="DZ74" s="108" t="str">
        <f t="shared" si="116"/>
        <v/>
      </c>
      <c r="EA74" s="108" t="str">
        <f t="shared" si="117"/>
        <v/>
      </c>
      <c r="EB74" s="108" t="str">
        <f t="shared" si="117"/>
        <v/>
      </c>
      <c r="EC74" s="108" t="str">
        <f t="shared" si="117"/>
        <v/>
      </c>
      <c r="ED74" s="109" t="str">
        <f t="shared" si="117"/>
        <v/>
      </c>
      <c r="EE74" s="108" t="str">
        <f t="shared" si="117"/>
        <v/>
      </c>
      <c r="EF74" s="108" t="str">
        <f t="shared" si="117"/>
        <v/>
      </c>
      <c r="EG74" s="108" t="str">
        <f t="shared" si="117"/>
        <v/>
      </c>
      <c r="EH74" s="108" t="str">
        <f t="shared" si="117"/>
        <v/>
      </c>
      <c r="EI74" s="108" t="str">
        <f t="shared" si="117"/>
        <v/>
      </c>
      <c r="EJ74" s="108" t="str">
        <f t="shared" si="117"/>
        <v/>
      </c>
      <c r="EK74" s="108" t="str">
        <f t="shared" si="118"/>
        <v/>
      </c>
      <c r="EL74" s="108" t="str">
        <f t="shared" si="118"/>
        <v/>
      </c>
      <c r="EM74" s="108" t="str">
        <f t="shared" si="118"/>
        <v/>
      </c>
      <c r="EN74" s="108" t="str">
        <f t="shared" si="118"/>
        <v/>
      </c>
      <c r="EO74" s="108" t="str">
        <f t="shared" si="118"/>
        <v/>
      </c>
      <c r="EP74" s="108" t="str">
        <f t="shared" si="118"/>
        <v/>
      </c>
      <c r="EQ74" s="108" t="str">
        <f t="shared" si="118"/>
        <v/>
      </c>
      <c r="ER74" s="108" t="str">
        <f t="shared" si="118"/>
        <v/>
      </c>
      <c r="ES74" s="109" t="str">
        <f t="shared" si="118"/>
        <v/>
      </c>
      <c r="ET74" s="108" t="str">
        <f t="shared" si="118"/>
        <v/>
      </c>
      <c r="EU74" s="108" t="str">
        <f t="shared" si="119"/>
        <v/>
      </c>
      <c r="EV74" s="108" t="str">
        <f t="shared" si="119"/>
        <v/>
      </c>
      <c r="EW74" s="108" t="str">
        <f t="shared" si="119"/>
        <v/>
      </c>
      <c r="EX74" s="108" t="str">
        <f t="shared" si="119"/>
        <v/>
      </c>
      <c r="EY74" s="108" t="str">
        <f t="shared" si="119"/>
        <v/>
      </c>
      <c r="EZ74" s="108" t="str">
        <f t="shared" si="119"/>
        <v/>
      </c>
      <c r="FA74" s="108" t="str">
        <f t="shared" si="119"/>
        <v/>
      </c>
      <c r="FB74" s="108" t="str">
        <f t="shared" si="119"/>
        <v/>
      </c>
      <c r="FC74" s="108" t="str">
        <f t="shared" si="119"/>
        <v/>
      </c>
      <c r="FD74" s="108" t="str">
        <f t="shared" si="119"/>
        <v/>
      </c>
      <c r="FE74" s="108" t="str">
        <f t="shared" si="120"/>
        <v/>
      </c>
      <c r="FF74" s="109" t="str">
        <f t="shared" si="120"/>
        <v/>
      </c>
      <c r="FG74" s="108" t="str">
        <f t="shared" si="120"/>
        <v/>
      </c>
      <c r="FH74" s="108" t="str">
        <f t="shared" si="120"/>
        <v/>
      </c>
      <c r="FI74" s="108" t="str">
        <f t="shared" si="120"/>
        <v/>
      </c>
      <c r="FJ74" s="108" t="str">
        <f t="shared" si="120"/>
        <v/>
      </c>
      <c r="FK74" s="108" t="str">
        <f t="shared" si="120"/>
        <v/>
      </c>
      <c r="FL74" s="108" t="str">
        <f t="shared" si="120"/>
        <v/>
      </c>
      <c r="FM74" s="108" t="str">
        <f t="shared" si="120"/>
        <v/>
      </c>
      <c r="FN74" s="108" t="str">
        <f t="shared" si="120"/>
        <v/>
      </c>
      <c r="FO74" s="108" t="str">
        <f t="shared" si="121"/>
        <v/>
      </c>
      <c r="FP74" s="108" t="str">
        <f t="shared" si="121"/>
        <v/>
      </c>
      <c r="FQ74" s="108" t="str">
        <f t="shared" si="121"/>
        <v/>
      </c>
      <c r="FR74" s="108" t="str">
        <f t="shared" si="121"/>
        <v/>
      </c>
      <c r="FS74" s="108" t="str">
        <f t="shared" si="121"/>
        <v/>
      </c>
      <c r="FT74" s="108" t="str">
        <f t="shared" si="121"/>
        <v/>
      </c>
      <c r="FU74" s="108" t="str">
        <f t="shared" si="121"/>
        <v/>
      </c>
      <c r="FV74" s="108" t="str">
        <f t="shared" si="121"/>
        <v/>
      </c>
      <c r="FW74" s="110" t="str">
        <f t="shared" si="121"/>
        <v/>
      </c>
    </row>
    <row r="75" spans="2:179" s="101" customFormat="1" ht="21" customHeight="1" x14ac:dyDescent="0.35">
      <c r="B75" s="27" t="e">
        <f>Portfolio_Daten!#REF!</f>
        <v>#REF!</v>
      </c>
      <c r="C75" s="27">
        <f>Portfolio_Daten!B76</f>
        <v>0</v>
      </c>
      <c r="D75" s="28">
        <f>Portfolio_Daten!E76</f>
        <v>0</v>
      </c>
      <c r="E75" s="31">
        <f>Portfolio_Daten!T76</f>
        <v>0</v>
      </c>
      <c r="F75" s="31">
        <f>Portfolio_Daten!U76</f>
        <v>0</v>
      </c>
      <c r="G75" s="107">
        <f>IF(F75="","",NETWORKDAYS(E75,F75,Parameter!$C$4:$C$51))</f>
        <v>0</v>
      </c>
      <c r="H75" s="29">
        <f>Portfolio_Daten!AG76</f>
        <v>0</v>
      </c>
      <c r="I75" s="33">
        <f>Portfolio_Daten!AI76</f>
        <v>0</v>
      </c>
      <c r="J75" s="106"/>
      <c r="K75" s="108" t="str">
        <f t="shared" si="105"/>
        <v/>
      </c>
      <c r="L75" s="108" t="str">
        <f t="shared" si="105"/>
        <v/>
      </c>
      <c r="M75" s="108" t="str">
        <f t="shared" si="105"/>
        <v/>
      </c>
      <c r="N75" s="108" t="str">
        <f t="shared" si="105"/>
        <v/>
      </c>
      <c r="O75" s="108" t="str">
        <f t="shared" si="105"/>
        <v/>
      </c>
      <c r="P75" s="108" t="str">
        <f t="shared" si="105"/>
        <v/>
      </c>
      <c r="Q75" s="108" t="str">
        <f t="shared" si="105"/>
        <v/>
      </c>
      <c r="R75" s="108" t="str">
        <f t="shared" si="105"/>
        <v/>
      </c>
      <c r="S75" s="108" t="str">
        <f t="shared" si="105"/>
        <v/>
      </c>
      <c r="T75" s="108" t="str">
        <f t="shared" si="105"/>
        <v/>
      </c>
      <c r="U75" s="108" t="str">
        <f t="shared" si="106"/>
        <v/>
      </c>
      <c r="V75" s="108" t="str">
        <f t="shared" si="106"/>
        <v/>
      </c>
      <c r="W75" s="108" t="str">
        <f t="shared" si="106"/>
        <v/>
      </c>
      <c r="X75" s="108" t="str">
        <f t="shared" si="106"/>
        <v/>
      </c>
      <c r="Y75" s="108" t="str">
        <f t="shared" si="106"/>
        <v/>
      </c>
      <c r="Z75" s="108" t="str">
        <f t="shared" si="106"/>
        <v/>
      </c>
      <c r="AA75" s="108" t="str">
        <f t="shared" si="106"/>
        <v/>
      </c>
      <c r="AB75" s="108" t="str">
        <f t="shared" si="106"/>
        <v/>
      </c>
      <c r="AC75" s="108" t="str">
        <f t="shared" si="106"/>
        <v/>
      </c>
      <c r="AD75" s="108" t="str">
        <f t="shared" si="106"/>
        <v/>
      </c>
      <c r="AE75" s="108" t="str">
        <f t="shared" si="107"/>
        <v/>
      </c>
      <c r="AF75" s="108" t="str">
        <f t="shared" si="107"/>
        <v/>
      </c>
      <c r="AG75" s="108" t="str">
        <f t="shared" si="107"/>
        <v/>
      </c>
      <c r="AH75" s="108" t="str">
        <f t="shared" si="107"/>
        <v/>
      </c>
      <c r="AI75" s="108" t="str">
        <f t="shared" si="107"/>
        <v/>
      </c>
      <c r="AJ75" s="108" t="str">
        <f t="shared" si="107"/>
        <v/>
      </c>
      <c r="AK75" s="108" t="str">
        <f t="shared" si="107"/>
        <v/>
      </c>
      <c r="AL75" s="108" t="str">
        <f t="shared" si="107"/>
        <v/>
      </c>
      <c r="AM75" s="108" t="str">
        <f t="shared" si="107"/>
        <v/>
      </c>
      <c r="AN75" s="108" t="str">
        <f t="shared" si="107"/>
        <v/>
      </c>
      <c r="AO75" s="108" t="str">
        <f t="shared" si="108"/>
        <v/>
      </c>
      <c r="AP75" s="108" t="str">
        <f t="shared" si="108"/>
        <v/>
      </c>
      <c r="AQ75" s="108" t="str">
        <f t="shared" si="108"/>
        <v/>
      </c>
      <c r="AR75" s="108" t="str">
        <f t="shared" si="108"/>
        <v/>
      </c>
      <c r="AS75" s="108" t="str">
        <f t="shared" si="108"/>
        <v/>
      </c>
      <c r="AT75" s="108" t="str">
        <f t="shared" si="108"/>
        <v/>
      </c>
      <c r="AU75" s="108" t="str">
        <f t="shared" si="108"/>
        <v/>
      </c>
      <c r="AV75" s="108" t="str">
        <f t="shared" si="108"/>
        <v/>
      </c>
      <c r="AW75" s="108" t="str">
        <f t="shared" si="108"/>
        <v/>
      </c>
      <c r="AX75" s="108" t="str">
        <f t="shared" si="108"/>
        <v/>
      </c>
      <c r="AY75" s="108" t="str">
        <f t="shared" si="109"/>
        <v/>
      </c>
      <c r="AZ75" s="108" t="str">
        <f t="shared" si="109"/>
        <v/>
      </c>
      <c r="BA75" s="108" t="str">
        <f t="shared" si="109"/>
        <v/>
      </c>
      <c r="BB75" s="108" t="str">
        <f t="shared" si="109"/>
        <v/>
      </c>
      <c r="BC75" s="108" t="str">
        <f t="shared" si="109"/>
        <v/>
      </c>
      <c r="BD75" s="108" t="str">
        <f t="shared" si="109"/>
        <v/>
      </c>
      <c r="BE75" s="108" t="str">
        <f t="shared" si="109"/>
        <v/>
      </c>
      <c r="BF75" s="108" t="str">
        <f t="shared" si="109"/>
        <v/>
      </c>
      <c r="BG75" s="108" t="str">
        <f t="shared" si="109"/>
        <v/>
      </c>
      <c r="BH75" s="108" t="str">
        <f t="shared" si="109"/>
        <v/>
      </c>
      <c r="BI75" s="108" t="str">
        <f t="shared" si="110"/>
        <v/>
      </c>
      <c r="BJ75" s="108" t="str">
        <f t="shared" si="110"/>
        <v/>
      </c>
      <c r="BK75" s="108" t="str">
        <f t="shared" si="110"/>
        <v/>
      </c>
      <c r="BL75" s="108" t="str">
        <f t="shared" si="110"/>
        <v/>
      </c>
      <c r="BM75" s="108" t="str">
        <f t="shared" si="110"/>
        <v/>
      </c>
      <c r="BN75" s="108" t="str">
        <f t="shared" si="110"/>
        <v/>
      </c>
      <c r="BO75" s="108" t="str">
        <f t="shared" si="110"/>
        <v/>
      </c>
      <c r="BP75" s="108" t="str">
        <f t="shared" si="110"/>
        <v/>
      </c>
      <c r="BQ75" s="108" t="str">
        <f t="shared" si="110"/>
        <v/>
      </c>
      <c r="BR75" s="108" t="str">
        <f t="shared" si="110"/>
        <v/>
      </c>
      <c r="BS75" s="108" t="str">
        <f t="shared" si="111"/>
        <v/>
      </c>
      <c r="BT75" s="108" t="str">
        <f t="shared" si="111"/>
        <v/>
      </c>
      <c r="BU75" s="108" t="str">
        <f t="shared" si="111"/>
        <v/>
      </c>
      <c r="BV75" s="108" t="str">
        <f t="shared" si="111"/>
        <v/>
      </c>
      <c r="BW75" s="108" t="str">
        <f t="shared" si="111"/>
        <v/>
      </c>
      <c r="BX75" s="108" t="str">
        <f t="shared" si="111"/>
        <v/>
      </c>
      <c r="BY75" s="108" t="str">
        <f t="shared" si="111"/>
        <v/>
      </c>
      <c r="BZ75" s="108" t="str">
        <f t="shared" si="111"/>
        <v/>
      </c>
      <c r="CA75" s="108" t="str">
        <f t="shared" si="111"/>
        <v/>
      </c>
      <c r="CB75" s="108" t="str">
        <f t="shared" si="111"/>
        <v/>
      </c>
      <c r="CC75" s="108" t="str">
        <f t="shared" si="112"/>
        <v/>
      </c>
      <c r="CD75" s="108" t="str">
        <f t="shared" si="112"/>
        <v/>
      </c>
      <c r="CE75" s="108" t="str">
        <f t="shared" si="112"/>
        <v/>
      </c>
      <c r="CF75" s="108" t="str">
        <f t="shared" si="112"/>
        <v/>
      </c>
      <c r="CG75" s="108" t="str">
        <f t="shared" si="112"/>
        <v/>
      </c>
      <c r="CH75" s="108" t="str">
        <f t="shared" si="112"/>
        <v/>
      </c>
      <c r="CI75" s="108" t="str">
        <f t="shared" si="112"/>
        <v/>
      </c>
      <c r="CJ75" s="108" t="str">
        <f t="shared" si="112"/>
        <v/>
      </c>
      <c r="CK75" s="108" t="str">
        <f t="shared" si="112"/>
        <v/>
      </c>
      <c r="CL75" s="108" t="str">
        <f t="shared" si="112"/>
        <v/>
      </c>
      <c r="CM75" s="108" t="str">
        <f t="shared" si="113"/>
        <v/>
      </c>
      <c r="CN75" s="108" t="str">
        <f t="shared" si="113"/>
        <v/>
      </c>
      <c r="CO75" s="108" t="str">
        <f t="shared" si="113"/>
        <v/>
      </c>
      <c r="CP75" s="108" t="str">
        <f t="shared" si="113"/>
        <v/>
      </c>
      <c r="CQ75" s="108" t="str">
        <f t="shared" si="113"/>
        <v/>
      </c>
      <c r="CR75" s="109" t="str">
        <f t="shared" si="113"/>
        <v/>
      </c>
      <c r="CS75" s="108" t="str">
        <f t="shared" si="113"/>
        <v/>
      </c>
      <c r="CT75" s="108" t="str">
        <f t="shared" si="113"/>
        <v/>
      </c>
      <c r="CU75" s="108" t="str">
        <f t="shared" si="113"/>
        <v/>
      </c>
      <c r="CV75" s="108" t="str">
        <f t="shared" si="113"/>
        <v/>
      </c>
      <c r="CW75" s="108" t="str">
        <f t="shared" si="114"/>
        <v/>
      </c>
      <c r="CX75" s="108" t="str">
        <f t="shared" si="114"/>
        <v/>
      </c>
      <c r="CY75" s="108" t="str">
        <f t="shared" si="114"/>
        <v/>
      </c>
      <c r="CZ75" s="109" t="str">
        <f t="shared" si="114"/>
        <v/>
      </c>
      <c r="DA75" s="108" t="str">
        <f t="shared" si="114"/>
        <v/>
      </c>
      <c r="DB75" s="108" t="str">
        <f t="shared" si="114"/>
        <v/>
      </c>
      <c r="DC75" s="108" t="str">
        <f t="shared" si="114"/>
        <v/>
      </c>
      <c r="DD75" s="108" t="str">
        <f t="shared" si="114"/>
        <v/>
      </c>
      <c r="DE75" s="108" t="str">
        <f t="shared" si="114"/>
        <v/>
      </c>
      <c r="DF75" s="108" t="str">
        <f t="shared" si="114"/>
        <v/>
      </c>
      <c r="DG75" s="108" t="str">
        <f t="shared" si="115"/>
        <v/>
      </c>
      <c r="DH75" s="109" t="str">
        <f t="shared" si="115"/>
        <v/>
      </c>
      <c r="DI75" s="108" t="str">
        <f t="shared" si="115"/>
        <v/>
      </c>
      <c r="DJ75" s="108" t="str">
        <f t="shared" si="115"/>
        <v/>
      </c>
      <c r="DK75" s="108" t="str">
        <f t="shared" si="115"/>
        <v/>
      </c>
      <c r="DL75" s="108" t="str">
        <f t="shared" si="115"/>
        <v/>
      </c>
      <c r="DM75" s="108" t="str">
        <f t="shared" si="115"/>
        <v/>
      </c>
      <c r="DN75" s="108" t="str">
        <f t="shared" si="115"/>
        <v/>
      </c>
      <c r="DO75" s="109" t="str">
        <f t="shared" si="115"/>
        <v/>
      </c>
      <c r="DP75" s="108" t="str">
        <f t="shared" si="115"/>
        <v/>
      </c>
      <c r="DQ75" s="108" t="str">
        <f t="shared" si="116"/>
        <v/>
      </c>
      <c r="DR75" s="108" t="str">
        <f t="shared" si="116"/>
        <v/>
      </c>
      <c r="DS75" s="108" t="str">
        <f t="shared" si="116"/>
        <v/>
      </c>
      <c r="DT75" s="108" t="str">
        <f t="shared" si="116"/>
        <v/>
      </c>
      <c r="DU75" s="108" t="str">
        <f t="shared" si="116"/>
        <v/>
      </c>
      <c r="DV75" s="108" t="str">
        <f t="shared" si="116"/>
        <v/>
      </c>
      <c r="DW75" s="109" t="str">
        <f t="shared" si="116"/>
        <v/>
      </c>
      <c r="DX75" s="108" t="str">
        <f t="shared" si="116"/>
        <v/>
      </c>
      <c r="DY75" s="108" t="str">
        <f t="shared" si="116"/>
        <v/>
      </c>
      <c r="DZ75" s="108" t="str">
        <f t="shared" si="116"/>
        <v/>
      </c>
      <c r="EA75" s="108" t="str">
        <f t="shared" si="117"/>
        <v/>
      </c>
      <c r="EB75" s="108" t="str">
        <f t="shared" si="117"/>
        <v/>
      </c>
      <c r="EC75" s="108" t="str">
        <f t="shared" si="117"/>
        <v/>
      </c>
      <c r="ED75" s="109" t="str">
        <f t="shared" si="117"/>
        <v/>
      </c>
      <c r="EE75" s="108" t="str">
        <f t="shared" si="117"/>
        <v/>
      </c>
      <c r="EF75" s="108" t="str">
        <f t="shared" si="117"/>
        <v/>
      </c>
      <c r="EG75" s="108" t="str">
        <f t="shared" si="117"/>
        <v/>
      </c>
      <c r="EH75" s="108" t="str">
        <f t="shared" si="117"/>
        <v/>
      </c>
      <c r="EI75" s="108" t="str">
        <f t="shared" si="117"/>
        <v/>
      </c>
      <c r="EJ75" s="108" t="str">
        <f t="shared" si="117"/>
        <v/>
      </c>
      <c r="EK75" s="108" t="str">
        <f t="shared" si="118"/>
        <v/>
      </c>
      <c r="EL75" s="108" t="str">
        <f t="shared" si="118"/>
        <v/>
      </c>
      <c r="EM75" s="108" t="str">
        <f t="shared" si="118"/>
        <v/>
      </c>
      <c r="EN75" s="108" t="str">
        <f t="shared" si="118"/>
        <v/>
      </c>
      <c r="EO75" s="108" t="str">
        <f t="shared" si="118"/>
        <v/>
      </c>
      <c r="EP75" s="108" t="str">
        <f t="shared" si="118"/>
        <v/>
      </c>
      <c r="EQ75" s="108" t="str">
        <f t="shared" si="118"/>
        <v/>
      </c>
      <c r="ER75" s="108" t="str">
        <f t="shared" si="118"/>
        <v/>
      </c>
      <c r="ES75" s="109" t="str">
        <f t="shared" si="118"/>
        <v/>
      </c>
      <c r="ET75" s="108" t="str">
        <f t="shared" si="118"/>
        <v/>
      </c>
      <c r="EU75" s="108" t="str">
        <f t="shared" si="119"/>
        <v/>
      </c>
      <c r="EV75" s="108" t="str">
        <f t="shared" si="119"/>
        <v/>
      </c>
      <c r="EW75" s="108" t="str">
        <f t="shared" si="119"/>
        <v/>
      </c>
      <c r="EX75" s="108" t="str">
        <f t="shared" si="119"/>
        <v/>
      </c>
      <c r="EY75" s="108" t="str">
        <f t="shared" si="119"/>
        <v/>
      </c>
      <c r="EZ75" s="108" t="str">
        <f t="shared" si="119"/>
        <v/>
      </c>
      <c r="FA75" s="108" t="str">
        <f t="shared" si="119"/>
        <v/>
      </c>
      <c r="FB75" s="108" t="str">
        <f t="shared" si="119"/>
        <v/>
      </c>
      <c r="FC75" s="108" t="str">
        <f t="shared" si="119"/>
        <v/>
      </c>
      <c r="FD75" s="108" t="str">
        <f t="shared" si="119"/>
        <v/>
      </c>
      <c r="FE75" s="108" t="str">
        <f t="shared" si="120"/>
        <v/>
      </c>
      <c r="FF75" s="109" t="str">
        <f t="shared" si="120"/>
        <v/>
      </c>
      <c r="FG75" s="108" t="str">
        <f t="shared" si="120"/>
        <v/>
      </c>
      <c r="FH75" s="108" t="str">
        <f t="shared" si="120"/>
        <v/>
      </c>
      <c r="FI75" s="108" t="str">
        <f t="shared" si="120"/>
        <v/>
      </c>
      <c r="FJ75" s="108" t="str">
        <f t="shared" si="120"/>
        <v/>
      </c>
      <c r="FK75" s="108" t="str">
        <f t="shared" si="120"/>
        <v/>
      </c>
      <c r="FL75" s="108" t="str">
        <f t="shared" si="120"/>
        <v/>
      </c>
      <c r="FM75" s="108" t="str">
        <f t="shared" si="120"/>
        <v/>
      </c>
      <c r="FN75" s="108" t="str">
        <f t="shared" si="120"/>
        <v/>
      </c>
      <c r="FO75" s="108" t="str">
        <f t="shared" si="121"/>
        <v/>
      </c>
      <c r="FP75" s="108" t="str">
        <f t="shared" si="121"/>
        <v/>
      </c>
      <c r="FQ75" s="108" t="str">
        <f t="shared" si="121"/>
        <v/>
      </c>
      <c r="FR75" s="108" t="str">
        <f t="shared" si="121"/>
        <v/>
      </c>
      <c r="FS75" s="108" t="str">
        <f t="shared" si="121"/>
        <v/>
      </c>
      <c r="FT75" s="108" t="str">
        <f t="shared" si="121"/>
        <v/>
      </c>
      <c r="FU75" s="108" t="str">
        <f t="shared" si="121"/>
        <v/>
      </c>
      <c r="FV75" s="108" t="str">
        <f t="shared" si="121"/>
        <v/>
      </c>
      <c r="FW75" s="110" t="str">
        <f t="shared" si="121"/>
        <v/>
      </c>
    </row>
    <row r="76" spans="2:179" s="101" customFormat="1" ht="21" customHeight="1" x14ac:dyDescent="0.35">
      <c r="B76" s="27" t="e">
        <f>Portfolio_Daten!#REF!</f>
        <v>#REF!</v>
      </c>
      <c r="C76" s="27">
        <f>Portfolio_Daten!B77</f>
        <v>0</v>
      </c>
      <c r="D76" s="28">
        <f>Portfolio_Daten!E77</f>
        <v>0</v>
      </c>
      <c r="E76" s="31">
        <f>Portfolio_Daten!T77</f>
        <v>0</v>
      </c>
      <c r="F76" s="31">
        <f>Portfolio_Daten!U77</f>
        <v>0</v>
      </c>
      <c r="G76" s="107">
        <f>IF(F76="","",NETWORKDAYS(E76,F76,Parameter!$C$4:$C$51))</f>
        <v>0</v>
      </c>
      <c r="H76" s="29">
        <f>Portfolio_Daten!AG77</f>
        <v>0</v>
      </c>
      <c r="I76" s="33">
        <f>Portfolio_Daten!AI77</f>
        <v>0</v>
      </c>
      <c r="J76" s="106"/>
      <c r="K76" s="108" t="str">
        <f t="shared" si="105"/>
        <v/>
      </c>
      <c r="L76" s="108" t="str">
        <f t="shared" si="105"/>
        <v/>
      </c>
      <c r="M76" s="108" t="str">
        <f t="shared" si="105"/>
        <v/>
      </c>
      <c r="N76" s="108" t="str">
        <f t="shared" si="105"/>
        <v/>
      </c>
      <c r="O76" s="108" t="str">
        <f t="shared" si="105"/>
        <v/>
      </c>
      <c r="P76" s="108" t="str">
        <f t="shared" si="105"/>
        <v/>
      </c>
      <c r="Q76" s="108" t="str">
        <f t="shared" si="105"/>
        <v/>
      </c>
      <c r="R76" s="108" t="str">
        <f t="shared" si="105"/>
        <v/>
      </c>
      <c r="S76" s="108" t="str">
        <f t="shared" si="105"/>
        <v/>
      </c>
      <c r="T76" s="108" t="str">
        <f t="shared" si="105"/>
        <v/>
      </c>
      <c r="U76" s="108" t="str">
        <f t="shared" si="106"/>
        <v/>
      </c>
      <c r="V76" s="108" t="str">
        <f t="shared" si="106"/>
        <v/>
      </c>
      <c r="W76" s="108" t="str">
        <f t="shared" si="106"/>
        <v/>
      </c>
      <c r="X76" s="108" t="str">
        <f t="shared" si="106"/>
        <v/>
      </c>
      <c r="Y76" s="108" t="str">
        <f t="shared" si="106"/>
        <v/>
      </c>
      <c r="Z76" s="108" t="str">
        <f t="shared" si="106"/>
        <v/>
      </c>
      <c r="AA76" s="108" t="str">
        <f t="shared" si="106"/>
        <v/>
      </c>
      <c r="AB76" s="108" t="str">
        <f t="shared" si="106"/>
        <v/>
      </c>
      <c r="AC76" s="108" t="str">
        <f t="shared" si="106"/>
        <v/>
      </c>
      <c r="AD76" s="108" t="str">
        <f t="shared" si="106"/>
        <v/>
      </c>
      <c r="AE76" s="108" t="str">
        <f t="shared" si="107"/>
        <v/>
      </c>
      <c r="AF76" s="108" t="str">
        <f t="shared" si="107"/>
        <v/>
      </c>
      <c r="AG76" s="108" t="str">
        <f t="shared" si="107"/>
        <v/>
      </c>
      <c r="AH76" s="108" t="str">
        <f t="shared" si="107"/>
        <v/>
      </c>
      <c r="AI76" s="108" t="str">
        <f t="shared" si="107"/>
        <v/>
      </c>
      <c r="AJ76" s="108" t="str">
        <f t="shared" si="107"/>
        <v/>
      </c>
      <c r="AK76" s="108" t="str">
        <f t="shared" si="107"/>
        <v/>
      </c>
      <c r="AL76" s="108" t="str">
        <f t="shared" si="107"/>
        <v/>
      </c>
      <c r="AM76" s="108" t="str">
        <f t="shared" si="107"/>
        <v/>
      </c>
      <c r="AN76" s="108" t="str">
        <f t="shared" si="107"/>
        <v/>
      </c>
      <c r="AO76" s="108" t="str">
        <f t="shared" si="108"/>
        <v/>
      </c>
      <c r="AP76" s="108" t="str">
        <f t="shared" si="108"/>
        <v/>
      </c>
      <c r="AQ76" s="108" t="str">
        <f t="shared" si="108"/>
        <v/>
      </c>
      <c r="AR76" s="108" t="str">
        <f t="shared" si="108"/>
        <v/>
      </c>
      <c r="AS76" s="108" t="str">
        <f t="shared" si="108"/>
        <v/>
      </c>
      <c r="AT76" s="108" t="str">
        <f t="shared" si="108"/>
        <v/>
      </c>
      <c r="AU76" s="108" t="str">
        <f t="shared" si="108"/>
        <v/>
      </c>
      <c r="AV76" s="108" t="str">
        <f t="shared" si="108"/>
        <v/>
      </c>
      <c r="AW76" s="108" t="str">
        <f t="shared" si="108"/>
        <v/>
      </c>
      <c r="AX76" s="108" t="str">
        <f t="shared" si="108"/>
        <v/>
      </c>
      <c r="AY76" s="108" t="str">
        <f t="shared" si="109"/>
        <v/>
      </c>
      <c r="AZ76" s="108" t="str">
        <f t="shared" si="109"/>
        <v/>
      </c>
      <c r="BA76" s="108" t="str">
        <f t="shared" si="109"/>
        <v/>
      </c>
      <c r="BB76" s="108" t="str">
        <f t="shared" si="109"/>
        <v/>
      </c>
      <c r="BC76" s="108" t="str">
        <f t="shared" si="109"/>
        <v/>
      </c>
      <c r="BD76" s="108" t="str">
        <f t="shared" si="109"/>
        <v/>
      </c>
      <c r="BE76" s="108" t="str">
        <f t="shared" si="109"/>
        <v/>
      </c>
      <c r="BF76" s="108" t="str">
        <f t="shared" si="109"/>
        <v/>
      </c>
      <c r="BG76" s="108" t="str">
        <f t="shared" si="109"/>
        <v/>
      </c>
      <c r="BH76" s="108" t="str">
        <f t="shared" si="109"/>
        <v/>
      </c>
      <c r="BI76" s="108" t="str">
        <f t="shared" si="110"/>
        <v/>
      </c>
      <c r="BJ76" s="108" t="str">
        <f t="shared" si="110"/>
        <v/>
      </c>
      <c r="BK76" s="108" t="str">
        <f t="shared" si="110"/>
        <v/>
      </c>
      <c r="BL76" s="108" t="str">
        <f t="shared" si="110"/>
        <v/>
      </c>
      <c r="BM76" s="108" t="str">
        <f t="shared" si="110"/>
        <v/>
      </c>
      <c r="BN76" s="108" t="str">
        <f t="shared" si="110"/>
        <v/>
      </c>
      <c r="BO76" s="108" t="str">
        <f t="shared" si="110"/>
        <v/>
      </c>
      <c r="BP76" s="108" t="str">
        <f t="shared" si="110"/>
        <v/>
      </c>
      <c r="BQ76" s="108" t="str">
        <f t="shared" si="110"/>
        <v/>
      </c>
      <c r="BR76" s="108" t="str">
        <f t="shared" si="110"/>
        <v/>
      </c>
      <c r="BS76" s="108" t="str">
        <f t="shared" si="111"/>
        <v/>
      </c>
      <c r="BT76" s="108" t="str">
        <f t="shared" si="111"/>
        <v/>
      </c>
      <c r="BU76" s="108" t="str">
        <f t="shared" si="111"/>
        <v/>
      </c>
      <c r="BV76" s="108" t="str">
        <f t="shared" si="111"/>
        <v/>
      </c>
      <c r="BW76" s="108" t="str">
        <f t="shared" si="111"/>
        <v/>
      </c>
      <c r="BX76" s="108" t="str">
        <f t="shared" si="111"/>
        <v/>
      </c>
      <c r="BY76" s="108" t="str">
        <f t="shared" si="111"/>
        <v/>
      </c>
      <c r="BZ76" s="108" t="str">
        <f t="shared" si="111"/>
        <v/>
      </c>
      <c r="CA76" s="108" t="str">
        <f t="shared" si="111"/>
        <v/>
      </c>
      <c r="CB76" s="108" t="str">
        <f t="shared" si="111"/>
        <v/>
      </c>
      <c r="CC76" s="108" t="str">
        <f t="shared" si="112"/>
        <v/>
      </c>
      <c r="CD76" s="108" t="str">
        <f t="shared" si="112"/>
        <v/>
      </c>
      <c r="CE76" s="108" t="str">
        <f t="shared" si="112"/>
        <v/>
      </c>
      <c r="CF76" s="108" t="str">
        <f t="shared" si="112"/>
        <v/>
      </c>
      <c r="CG76" s="108" t="str">
        <f t="shared" si="112"/>
        <v/>
      </c>
      <c r="CH76" s="108" t="str">
        <f t="shared" si="112"/>
        <v/>
      </c>
      <c r="CI76" s="108" t="str">
        <f t="shared" si="112"/>
        <v/>
      </c>
      <c r="CJ76" s="108" t="str">
        <f t="shared" si="112"/>
        <v/>
      </c>
      <c r="CK76" s="108" t="str">
        <f t="shared" si="112"/>
        <v/>
      </c>
      <c r="CL76" s="108" t="str">
        <f t="shared" si="112"/>
        <v/>
      </c>
      <c r="CM76" s="108" t="str">
        <f t="shared" si="113"/>
        <v/>
      </c>
      <c r="CN76" s="108" t="str">
        <f t="shared" si="113"/>
        <v/>
      </c>
      <c r="CO76" s="108" t="str">
        <f t="shared" si="113"/>
        <v/>
      </c>
      <c r="CP76" s="108" t="str">
        <f t="shared" si="113"/>
        <v/>
      </c>
      <c r="CQ76" s="108" t="str">
        <f t="shared" si="113"/>
        <v/>
      </c>
      <c r="CR76" s="109" t="str">
        <f t="shared" si="113"/>
        <v/>
      </c>
      <c r="CS76" s="108" t="str">
        <f t="shared" si="113"/>
        <v/>
      </c>
      <c r="CT76" s="108" t="str">
        <f t="shared" si="113"/>
        <v/>
      </c>
      <c r="CU76" s="108" t="str">
        <f t="shared" si="113"/>
        <v/>
      </c>
      <c r="CV76" s="108" t="str">
        <f t="shared" si="113"/>
        <v/>
      </c>
      <c r="CW76" s="108" t="str">
        <f t="shared" si="114"/>
        <v/>
      </c>
      <c r="CX76" s="108" t="str">
        <f t="shared" si="114"/>
        <v/>
      </c>
      <c r="CY76" s="108" t="str">
        <f t="shared" si="114"/>
        <v/>
      </c>
      <c r="CZ76" s="109" t="str">
        <f t="shared" si="114"/>
        <v/>
      </c>
      <c r="DA76" s="108" t="str">
        <f t="shared" si="114"/>
        <v/>
      </c>
      <c r="DB76" s="108" t="str">
        <f t="shared" si="114"/>
        <v/>
      </c>
      <c r="DC76" s="108" t="str">
        <f t="shared" si="114"/>
        <v/>
      </c>
      <c r="DD76" s="108" t="str">
        <f t="shared" si="114"/>
        <v/>
      </c>
      <c r="DE76" s="108" t="str">
        <f t="shared" si="114"/>
        <v/>
      </c>
      <c r="DF76" s="108" t="str">
        <f t="shared" si="114"/>
        <v/>
      </c>
      <c r="DG76" s="108" t="str">
        <f t="shared" si="115"/>
        <v/>
      </c>
      <c r="DH76" s="109" t="str">
        <f t="shared" si="115"/>
        <v/>
      </c>
      <c r="DI76" s="108" t="str">
        <f t="shared" si="115"/>
        <v/>
      </c>
      <c r="DJ76" s="108" t="str">
        <f t="shared" si="115"/>
        <v/>
      </c>
      <c r="DK76" s="108" t="str">
        <f t="shared" si="115"/>
        <v/>
      </c>
      <c r="DL76" s="108" t="str">
        <f t="shared" si="115"/>
        <v/>
      </c>
      <c r="DM76" s="108" t="str">
        <f t="shared" si="115"/>
        <v/>
      </c>
      <c r="DN76" s="108" t="str">
        <f t="shared" si="115"/>
        <v/>
      </c>
      <c r="DO76" s="109" t="str">
        <f t="shared" si="115"/>
        <v/>
      </c>
      <c r="DP76" s="108" t="str">
        <f t="shared" si="115"/>
        <v/>
      </c>
      <c r="DQ76" s="108" t="str">
        <f t="shared" si="116"/>
        <v/>
      </c>
      <c r="DR76" s="108" t="str">
        <f t="shared" si="116"/>
        <v/>
      </c>
      <c r="DS76" s="108" t="str">
        <f t="shared" si="116"/>
        <v/>
      </c>
      <c r="DT76" s="108" t="str">
        <f t="shared" si="116"/>
        <v/>
      </c>
      <c r="DU76" s="108" t="str">
        <f t="shared" si="116"/>
        <v/>
      </c>
      <c r="DV76" s="108" t="str">
        <f t="shared" si="116"/>
        <v/>
      </c>
      <c r="DW76" s="109" t="str">
        <f t="shared" si="116"/>
        <v/>
      </c>
      <c r="DX76" s="108" t="str">
        <f t="shared" si="116"/>
        <v/>
      </c>
      <c r="DY76" s="108" t="str">
        <f t="shared" si="116"/>
        <v/>
      </c>
      <c r="DZ76" s="108" t="str">
        <f t="shared" si="116"/>
        <v/>
      </c>
      <c r="EA76" s="108" t="str">
        <f t="shared" si="117"/>
        <v/>
      </c>
      <c r="EB76" s="108" t="str">
        <f t="shared" si="117"/>
        <v/>
      </c>
      <c r="EC76" s="108" t="str">
        <f t="shared" si="117"/>
        <v/>
      </c>
      <c r="ED76" s="109" t="str">
        <f t="shared" si="117"/>
        <v/>
      </c>
      <c r="EE76" s="108" t="str">
        <f t="shared" si="117"/>
        <v/>
      </c>
      <c r="EF76" s="108" t="str">
        <f t="shared" si="117"/>
        <v/>
      </c>
      <c r="EG76" s="108" t="str">
        <f t="shared" si="117"/>
        <v/>
      </c>
      <c r="EH76" s="108" t="str">
        <f t="shared" si="117"/>
        <v/>
      </c>
      <c r="EI76" s="108" t="str">
        <f t="shared" si="117"/>
        <v/>
      </c>
      <c r="EJ76" s="108" t="str">
        <f t="shared" si="117"/>
        <v/>
      </c>
      <c r="EK76" s="108" t="str">
        <f t="shared" si="118"/>
        <v/>
      </c>
      <c r="EL76" s="108" t="str">
        <f t="shared" si="118"/>
        <v/>
      </c>
      <c r="EM76" s="108" t="str">
        <f t="shared" si="118"/>
        <v/>
      </c>
      <c r="EN76" s="108" t="str">
        <f t="shared" si="118"/>
        <v/>
      </c>
      <c r="EO76" s="108" t="str">
        <f t="shared" si="118"/>
        <v/>
      </c>
      <c r="EP76" s="108" t="str">
        <f t="shared" si="118"/>
        <v/>
      </c>
      <c r="EQ76" s="108" t="str">
        <f t="shared" si="118"/>
        <v/>
      </c>
      <c r="ER76" s="108" t="str">
        <f t="shared" si="118"/>
        <v/>
      </c>
      <c r="ES76" s="109" t="str">
        <f t="shared" si="118"/>
        <v/>
      </c>
      <c r="ET76" s="108" t="str">
        <f t="shared" si="118"/>
        <v/>
      </c>
      <c r="EU76" s="108" t="str">
        <f t="shared" si="119"/>
        <v/>
      </c>
      <c r="EV76" s="108" t="str">
        <f t="shared" si="119"/>
        <v/>
      </c>
      <c r="EW76" s="108" t="str">
        <f t="shared" si="119"/>
        <v/>
      </c>
      <c r="EX76" s="108" t="str">
        <f t="shared" si="119"/>
        <v/>
      </c>
      <c r="EY76" s="108" t="str">
        <f t="shared" si="119"/>
        <v/>
      </c>
      <c r="EZ76" s="108" t="str">
        <f t="shared" si="119"/>
        <v/>
      </c>
      <c r="FA76" s="108" t="str">
        <f t="shared" si="119"/>
        <v/>
      </c>
      <c r="FB76" s="108" t="str">
        <f t="shared" si="119"/>
        <v/>
      </c>
      <c r="FC76" s="108" t="str">
        <f t="shared" si="119"/>
        <v/>
      </c>
      <c r="FD76" s="108" t="str">
        <f t="shared" si="119"/>
        <v/>
      </c>
      <c r="FE76" s="108" t="str">
        <f t="shared" si="120"/>
        <v/>
      </c>
      <c r="FF76" s="109" t="str">
        <f t="shared" si="120"/>
        <v/>
      </c>
      <c r="FG76" s="108" t="str">
        <f t="shared" si="120"/>
        <v/>
      </c>
      <c r="FH76" s="108" t="str">
        <f t="shared" si="120"/>
        <v/>
      </c>
      <c r="FI76" s="108" t="str">
        <f t="shared" si="120"/>
        <v/>
      </c>
      <c r="FJ76" s="108" t="str">
        <f t="shared" si="120"/>
        <v/>
      </c>
      <c r="FK76" s="108" t="str">
        <f t="shared" si="120"/>
        <v/>
      </c>
      <c r="FL76" s="108" t="str">
        <f t="shared" si="120"/>
        <v/>
      </c>
      <c r="FM76" s="108" t="str">
        <f t="shared" si="120"/>
        <v/>
      </c>
      <c r="FN76" s="108" t="str">
        <f t="shared" si="120"/>
        <v/>
      </c>
      <c r="FO76" s="108" t="str">
        <f t="shared" si="121"/>
        <v/>
      </c>
      <c r="FP76" s="108" t="str">
        <f t="shared" si="121"/>
        <v/>
      </c>
      <c r="FQ76" s="108" t="str">
        <f t="shared" si="121"/>
        <v/>
      </c>
      <c r="FR76" s="108" t="str">
        <f t="shared" si="121"/>
        <v/>
      </c>
      <c r="FS76" s="108" t="str">
        <f t="shared" si="121"/>
        <v/>
      </c>
      <c r="FT76" s="108" t="str">
        <f t="shared" si="121"/>
        <v/>
      </c>
      <c r="FU76" s="108" t="str">
        <f t="shared" si="121"/>
        <v/>
      </c>
      <c r="FV76" s="108" t="str">
        <f t="shared" si="121"/>
        <v/>
      </c>
      <c r="FW76" s="110" t="str">
        <f t="shared" si="121"/>
        <v/>
      </c>
    </row>
    <row r="77" spans="2:179" s="101" customFormat="1" ht="21" customHeight="1" x14ac:dyDescent="0.35">
      <c r="B77" s="27" t="e">
        <f>Portfolio_Daten!#REF!</f>
        <v>#REF!</v>
      </c>
      <c r="C77" s="27">
        <f>Portfolio_Daten!B78</f>
        <v>0</v>
      </c>
      <c r="D77" s="28">
        <f>Portfolio_Daten!E78</f>
        <v>0</v>
      </c>
      <c r="E77" s="31">
        <f>Portfolio_Daten!T78</f>
        <v>0</v>
      </c>
      <c r="F77" s="31">
        <f>Portfolio_Daten!U78</f>
        <v>0</v>
      </c>
      <c r="G77" s="107">
        <f>IF(F77="","",NETWORKDAYS(E77,F77,Parameter!$C$4:$C$51))</f>
        <v>0</v>
      </c>
      <c r="H77" s="29">
        <f>Portfolio_Daten!AG78</f>
        <v>0</v>
      </c>
      <c r="I77" s="33">
        <f>Portfolio_Daten!AI78</f>
        <v>0</v>
      </c>
      <c r="J77" s="106"/>
      <c r="K77" s="108" t="str">
        <f t="shared" ref="K77:T86" si="122">IF(K$5=($F77-WEEKDAY($F77,2)+1),"u","")</f>
        <v/>
      </c>
      <c r="L77" s="108" t="str">
        <f t="shared" si="122"/>
        <v/>
      </c>
      <c r="M77" s="108" t="str">
        <f t="shared" si="122"/>
        <v/>
      </c>
      <c r="N77" s="108" t="str">
        <f t="shared" si="122"/>
        <v/>
      </c>
      <c r="O77" s="108" t="str">
        <f t="shared" si="122"/>
        <v/>
      </c>
      <c r="P77" s="108" t="str">
        <f t="shared" si="122"/>
        <v/>
      </c>
      <c r="Q77" s="108" t="str">
        <f t="shared" si="122"/>
        <v/>
      </c>
      <c r="R77" s="108" t="str">
        <f t="shared" si="122"/>
        <v/>
      </c>
      <c r="S77" s="108" t="str">
        <f t="shared" si="122"/>
        <v/>
      </c>
      <c r="T77" s="108" t="str">
        <f t="shared" si="122"/>
        <v/>
      </c>
      <c r="U77" s="108" t="str">
        <f t="shared" ref="U77:AD86" si="123">IF(U$5=($F77-WEEKDAY($F77,2)+1),"u","")</f>
        <v/>
      </c>
      <c r="V77" s="108" t="str">
        <f t="shared" si="123"/>
        <v/>
      </c>
      <c r="W77" s="108" t="str">
        <f t="shared" si="123"/>
        <v/>
      </c>
      <c r="X77" s="108" t="str">
        <f t="shared" si="123"/>
        <v/>
      </c>
      <c r="Y77" s="108" t="str">
        <f t="shared" si="123"/>
        <v/>
      </c>
      <c r="Z77" s="108" t="str">
        <f t="shared" si="123"/>
        <v/>
      </c>
      <c r="AA77" s="108" t="str">
        <f t="shared" si="123"/>
        <v/>
      </c>
      <c r="AB77" s="108" t="str">
        <f t="shared" si="123"/>
        <v/>
      </c>
      <c r="AC77" s="108" t="str">
        <f t="shared" si="123"/>
        <v/>
      </c>
      <c r="AD77" s="108" t="str">
        <f t="shared" si="123"/>
        <v/>
      </c>
      <c r="AE77" s="108" t="str">
        <f t="shared" ref="AE77:AN86" si="124">IF(AE$5=($F77-WEEKDAY($F77,2)+1),"u","")</f>
        <v/>
      </c>
      <c r="AF77" s="108" t="str">
        <f t="shared" si="124"/>
        <v/>
      </c>
      <c r="AG77" s="108" t="str">
        <f t="shared" si="124"/>
        <v/>
      </c>
      <c r="AH77" s="108" t="str">
        <f t="shared" si="124"/>
        <v/>
      </c>
      <c r="AI77" s="108" t="str">
        <f t="shared" si="124"/>
        <v/>
      </c>
      <c r="AJ77" s="108" t="str">
        <f t="shared" si="124"/>
        <v/>
      </c>
      <c r="AK77" s="108" t="str">
        <f t="shared" si="124"/>
        <v/>
      </c>
      <c r="AL77" s="108" t="str">
        <f t="shared" si="124"/>
        <v/>
      </c>
      <c r="AM77" s="108" t="str">
        <f t="shared" si="124"/>
        <v/>
      </c>
      <c r="AN77" s="108" t="str">
        <f t="shared" si="124"/>
        <v/>
      </c>
      <c r="AO77" s="108" t="str">
        <f t="shared" ref="AO77:AX86" si="125">IF(AO$5=($F77-WEEKDAY($F77,2)+1),"u","")</f>
        <v/>
      </c>
      <c r="AP77" s="108" t="str">
        <f t="shared" si="125"/>
        <v/>
      </c>
      <c r="AQ77" s="108" t="str">
        <f t="shared" si="125"/>
        <v/>
      </c>
      <c r="AR77" s="108" t="str">
        <f t="shared" si="125"/>
        <v/>
      </c>
      <c r="AS77" s="108" t="str">
        <f t="shared" si="125"/>
        <v/>
      </c>
      <c r="AT77" s="108" t="str">
        <f t="shared" si="125"/>
        <v/>
      </c>
      <c r="AU77" s="108" t="str">
        <f t="shared" si="125"/>
        <v/>
      </c>
      <c r="AV77" s="108" t="str">
        <f t="shared" si="125"/>
        <v/>
      </c>
      <c r="AW77" s="108" t="str">
        <f t="shared" si="125"/>
        <v/>
      </c>
      <c r="AX77" s="108" t="str">
        <f t="shared" si="125"/>
        <v/>
      </c>
      <c r="AY77" s="108" t="str">
        <f t="shared" ref="AY77:BH86" si="126">IF(AY$5=($F77-WEEKDAY($F77,2)+1),"u","")</f>
        <v/>
      </c>
      <c r="AZ77" s="108" t="str">
        <f t="shared" si="126"/>
        <v/>
      </c>
      <c r="BA77" s="108" t="str">
        <f t="shared" si="126"/>
        <v/>
      </c>
      <c r="BB77" s="108" t="str">
        <f t="shared" si="126"/>
        <v/>
      </c>
      <c r="BC77" s="108" t="str">
        <f t="shared" si="126"/>
        <v/>
      </c>
      <c r="BD77" s="108" t="str">
        <f t="shared" si="126"/>
        <v/>
      </c>
      <c r="BE77" s="108" t="str">
        <f t="shared" si="126"/>
        <v/>
      </c>
      <c r="BF77" s="108" t="str">
        <f t="shared" si="126"/>
        <v/>
      </c>
      <c r="BG77" s="108" t="str">
        <f t="shared" si="126"/>
        <v/>
      </c>
      <c r="BH77" s="108" t="str">
        <f t="shared" si="126"/>
        <v/>
      </c>
      <c r="BI77" s="108" t="str">
        <f t="shared" ref="BI77:BR86" si="127">IF(BI$5=($F77-WEEKDAY($F77,2)+1),"u","")</f>
        <v/>
      </c>
      <c r="BJ77" s="108" t="str">
        <f t="shared" si="127"/>
        <v/>
      </c>
      <c r="BK77" s="108" t="str">
        <f t="shared" si="127"/>
        <v/>
      </c>
      <c r="BL77" s="108" t="str">
        <f t="shared" si="127"/>
        <v/>
      </c>
      <c r="BM77" s="108" t="str">
        <f t="shared" si="127"/>
        <v/>
      </c>
      <c r="BN77" s="108" t="str">
        <f t="shared" si="127"/>
        <v/>
      </c>
      <c r="BO77" s="108" t="str">
        <f t="shared" si="127"/>
        <v/>
      </c>
      <c r="BP77" s="108" t="str">
        <f t="shared" si="127"/>
        <v/>
      </c>
      <c r="BQ77" s="108" t="str">
        <f t="shared" si="127"/>
        <v/>
      </c>
      <c r="BR77" s="108" t="str">
        <f t="shared" si="127"/>
        <v/>
      </c>
      <c r="BS77" s="108" t="str">
        <f t="shared" ref="BS77:CB86" si="128">IF(BS$5=($F77-WEEKDAY($F77,2)+1),"u","")</f>
        <v/>
      </c>
      <c r="BT77" s="108" t="str">
        <f t="shared" si="128"/>
        <v/>
      </c>
      <c r="BU77" s="108" t="str">
        <f t="shared" si="128"/>
        <v/>
      </c>
      <c r="BV77" s="108" t="str">
        <f t="shared" si="128"/>
        <v/>
      </c>
      <c r="BW77" s="108" t="str">
        <f t="shared" si="128"/>
        <v/>
      </c>
      <c r="BX77" s="108" t="str">
        <f t="shared" si="128"/>
        <v/>
      </c>
      <c r="BY77" s="108" t="str">
        <f t="shared" si="128"/>
        <v/>
      </c>
      <c r="BZ77" s="108" t="str">
        <f t="shared" si="128"/>
        <v/>
      </c>
      <c r="CA77" s="108" t="str">
        <f t="shared" si="128"/>
        <v/>
      </c>
      <c r="CB77" s="108" t="str">
        <f t="shared" si="128"/>
        <v/>
      </c>
      <c r="CC77" s="108" t="str">
        <f t="shared" ref="CC77:CL86" si="129">IF(CC$5=($F77-WEEKDAY($F77,2)+1),"u","")</f>
        <v/>
      </c>
      <c r="CD77" s="108" t="str">
        <f t="shared" si="129"/>
        <v/>
      </c>
      <c r="CE77" s="108" t="str">
        <f t="shared" si="129"/>
        <v/>
      </c>
      <c r="CF77" s="108" t="str">
        <f t="shared" si="129"/>
        <v/>
      </c>
      <c r="CG77" s="108" t="str">
        <f t="shared" si="129"/>
        <v/>
      </c>
      <c r="CH77" s="108" t="str">
        <f t="shared" si="129"/>
        <v/>
      </c>
      <c r="CI77" s="108" t="str">
        <f t="shared" si="129"/>
        <v/>
      </c>
      <c r="CJ77" s="108" t="str">
        <f t="shared" si="129"/>
        <v/>
      </c>
      <c r="CK77" s="108" t="str">
        <f t="shared" si="129"/>
        <v/>
      </c>
      <c r="CL77" s="108" t="str">
        <f t="shared" si="129"/>
        <v/>
      </c>
      <c r="CM77" s="108" t="str">
        <f t="shared" ref="CM77:CV86" si="130">IF(CM$5=($F77-WEEKDAY($F77,2)+1),"u","")</f>
        <v/>
      </c>
      <c r="CN77" s="108" t="str">
        <f t="shared" si="130"/>
        <v/>
      </c>
      <c r="CO77" s="108" t="str">
        <f t="shared" si="130"/>
        <v/>
      </c>
      <c r="CP77" s="108" t="str">
        <f t="shared" si="130"/>
        <v/>
      </c>
      <c r="CQ77" s="108" t="str">
        <f t="shared" si="130"/>
        <v/>
      </c>
      <c r="CR77" s="109" t="str">
        <f t="shared" si="130"/>
        <v/>
      </c>
      <c r="CS77" s="108" t="str">
        <f t="shared" si="130"/>
        <v/>
      </c>
      <c r="CT77" s="108" t="str">
        <f t="shared" si="130"/>
        <v/>
      </c>
      <c r="CU77" s="108" t="str">
        <f t="shared" si="130"/>
        <v/>
      </c>
      <c r="CV77" s="108" t="str">
        <f t="shared" si="130"/>
        <v/>
      </c>
      <c r="CW77" s="108" t="str">
        <f t="shared" ref="CW77:DF86" si="131">IF(CW$5=($F77-WEEKDAY($F77,2)+1),"u","")</f>
        <v/>
      </c>
      <c r="CX77" s="108" t="str">
        <f t="shared" si="131"/>
        <v/>
      </c>
      <c r="CY77" s="108" t="str">
        <f t="shared" si="131"/>
        <v/>
      </c>
      <c r="CZ77" s="109" t="str">
        <f t="shared" si="131"/>
        <v/>
      </c>
      <c r="DA77" s="108" t="str">
        <f t="shared" si="131"/>
        <v/>
      </c>
      <c r="DB77" s="108" t="str">
        <f t="shared" si="131"/>
        <v/>
      </c>
      <c r="DC77" s="108" t="str">
        <f t="shared" si="131"/>
        <v/>
      </c>
      <c r="DD77" s="108" t="str">
        <f t="shared" si="131"/>
        <v/>
      </c>
      <c r="DE77" s="108" t="str">
        <f t="shared" si="131"/>
        <v/>
      </c>
      <c r="DF77" s="108" t="str">
        <f t="shared" si="131"/>
        <v/>
      </c>
      <c r="DG77" s="108" t="str">
        <f t="shared" ref="DG77:DP86" si="132">IF(DG$5=($F77-WEEKDAY($F77,2)+1),"u","")</f>
        <v/>
      </c>
      <c r="DH77" s="109" t="str">
        <f t="shared" si="132"/>
        <v/>
      </c>
      <c r="DI77" s="108" t="str">
        <f t="shared" si="132"/>
        <v/>
      </c>
      <c r="DJ77" s="108" t="str">
        <f t="shared" si="132"/>
        <v/>
      </c>
      <c r="DK77" s="108" t="str">
        <f t="shared" si="132"/>
        <v/>
      </c>
      <c r="DL77" s="108" t="str">
        <f t="shared" si="132"/>
        <v/>
      </c>
      <c r="DM77" s="108" t="str">
        <f t="shared" si="132"/>
        <v/>
      </c>
      <c r="DN77" s="108" t="str">
        <f t="shared" si="132"/>
        <v/>
      </c>
      <c r="DO77" s="109" t="str">
        <f t="shared" si="132"/>
        <v/>
      </c>
      <c r="DP77" s="108" t="str">
        <f t="shared" si="132"/>
        <v/>
      </c>
      <c r="DQ77" s="108" t="str">
        <f t="shared" ref="DQ77:DZ86" si="133">IF(DQ$5=($F77-WEEKDAY($F77,2)+1),"u","")</f>
        <v/>
      </c>
      <c r="DR77" s="108" t="str">
        <f t="shared" si="133"/>
        <v/>
      </c>
      <c r="DS77" s="108" t="str">
        <f t="shared" si="133"/>
        <v/>
      </c>
      <c r="DT77" s="108" t="str">
        <f t="shared" si="133"/>
        <v/>
      </c>
      <c r="DU77" s="108" t="str">
        <f t="shared" si="133"/>
        <v/>
      </c>
      <c r="DV77" s="108" t="str">
        <f t="shared" si="133"/>
        <v/>
      </c>
      <c r="DW77" s="109" t="str">
        <f t="shared" si="133"/>
        <v/>
      </c>
      <c r="DX77" s="108" t="str">
        <f t="shared" si="133"/>
        <v/>
      </c>
      <c r="DY77" s="108" t="str">
        <f t="shared" si="133"/>
        <v/>
      </c>
      <c r="DZ77" s="108" t="str">
        <f t="shared" si="133"/>
        <v/>
      </c>
      <c r="EA77" s="108" t="str">
        <f t="shared" ref="EA77:EJ86" si="134">IF(EA$5=($F77-WEEKDAY($F77,2)+1),"u","")</f>
        <v/>
      </c>
      <c r="EB77" s="108" t="str">
        <f t="shared" si="134"/>
        <v/>
      </c>
      <c r="EC77" s="108" t="str">
        <f t="shared" si="134"/>
        <v/>
      </c>
      <c r="ED77" s="109" t="str">
        <f t="shared" si="134"/>
        <v/>
      </c>
      <c r="EE77" s="108" t="str">
        <f t="shared" si="134"/>
        <v/>
      </c>
      <c r="EF77" s="108" t="str">
        <f t="shared" si="134"/>
        <v/>
      </c>
      <c r="EG77" s="108" t="str">
        <f t="shared" si="134"/>
        <v/>
      </c>
      <c r="EH77" s="108" t="str">
        <f t="shared" si="134"/>
        <v/>
      </c>
      <c r="EI77" s="108" t="str">
        <f t="shared" si="134"/>
        <v/>
      </c>
      <c r="EJ77" s="108" t="str">
        <f t="shared" si="134"/>
        <v/>
      </c>
      <c r="EK77" s="108" t="str">
        <f t="shared" ref="EK77:ET86" si="135">IF(EK$5=($F77-WEEKDAY($F77,2)+1),"u","")</f>
        <v/>
      </c>
      <c r="EL77" s="108" t="str">
        <f t="shared" si="135"/>
        <v/>
      </c>
      <c r="EM77" s="108" t="str">
        <f t="shared" si="135"/>
        <v/>
      </c>
      <c r="EN77" s="108" t="str">
        <f t="shared" si="135"/>
        <v/>
      </c>
      <c r="EO77" s="108" t="str">
        <f t="shared" si="135"/>
        <v/>
      </c>
      <c r="EP77" s="108" t="str">
        <f t="shared" si="135"/>
        <v/>
      </c>
      <c r="EQ77" s="108" t="str">
        <f t="shared" si="135"/>
        <v/>
      </c>
      <c r="ER77" s="108" t="str">
        <f t="shared" si="135"/>
        <v/>
      </c>
      <c r="ES77" s="109" t="str">
        <f t="shared" si="135"/>
        <v/>
      </c>
      <c r="ET77" s="108" t="str">
        <f t="shared" si="135"/>
        <v/>
      </c>
      <c r="EU77" s="108" t="str">
        <f t="shared" ref="EU77:FD86" si="136">IF(EU$5=($F77-WEEKDAY($F77,2)+1),"u","")</f>
        <v/>
      </c>
      <c r="EV77" s="108" t="str">
        <f t="shared" si="136"/>
        <v/>
      </c>
      <c r="EW77" s="108" t="str">
        <f t="shared" si="136"/>
        <v/>
      </c>
      <c r="EX77" s="108" t="str">
        <f t="shared" si="136"/>
        <v/>
      </c>
      <c r="EY77" s="108" t="str">
        <f t="shared" si="136"/>
        <v/>
      </c>
      <c r="EZ77" s="108" t="str">
        <f t="shared" si="136"/>
        <v/>
      </c>
      <c r="FA77" s="108" t="str">
        <f t="shared" si="136"/>
        <v/>
      </c>
      <c r="FB77" s="108" t="str">
        <f t="shared" si="136"/>
        <v/>
      </c>
      <c r="FC77" s="108" t="str">
        <f t="shared" si="136"/>
        <v/>
      </c>
      <c r="FD77" s="108" t="str">
        <f t="shared" si="136"/>
        <v/>
      </c>
      <c r="FE77" s="108" t="str">
        <f t="shared" ref="FE77:FN86" si="137">IF(FE$5=($F77-WEEKDAY($F77,2)+1),"u","")</f>
        <v/>
      </c>
      <c r="FF77" s="109" t="str">
        <f t="shared" si="137"/>
        <v/>
      </c>
      <c r="FG77" s="108" t="str">
        <f t="shared" si="137"/>
        <v/>
      </c>
      <c r="FH77" s="108" t="str">
        <f t="shared" si="137"/>
        <v/>
      </c>
      <c r="FI77" s="108" t="str">
        <f t="shared" si="137"/>
        <v/>
      </c>
      <c r="FJ77" s="108" t="str">
        <f t="shared" si="137"/>
        <v/>
      </c>
      <c r="FK77" s="108" t="str">
        <f t="shared" si="137"/>
        <v/>
      </c>
      <c r="FL77" s="108" t="str">
        <f t="shared" si="137"/>
        <v/>
      </c>
      <c r="FM77" s="108" t="str">
        <f t="shared" si="137"/>
        <v/>
      </c>
      <c r="FN77" s="108" t="str">
        <f t="shared" si="137"/>
        <v/>
      </c>
      <c r="FO77" s="108" t="str">
        <f t="shared" ref="FO77:FW86" si="138">IF(FO$5=($F77-WEEKDAY($F77,2)+1),"u","")</f>
        <v/>
      </c>
      <c r="FP77" s="108" t="str">
        <f t="shared" si="138"/>
        <v/>
      </c>
      <c r="FQ77" s="108" t="str">
        <f t="shared" si="138"/>
        <v/>
      </c>
      <c r="FR77" s="108" t="str">
        <f t="shared" si="138"/>
        <v/>
      </c>
      <c r="FS77" s="108" t="str">
        <f t="shared" si="138"/>
        <v/>
      </c>
      <c r="FT77" s="108" t="str">
        <f t="shared" si="138"/>
        <v/>
      </c>
      <c r="FU77" s="108" t="str">
        <f t="shared" si="138"/>
        <v/>
      </c>
      <c r="FV77" s="108" t="str">
        <f t="shared" si="138"/>
        <v/>
      </c>
      <c r="FW77" s="110" t="str">
        <f t="shared" si="138"/>
        <v/>
      </c>
    </row>
    <row r="78" spans="2:179" s="101" customFormat="1" ht="21" customHeight="1" x14ac:dyDescent="0.35">
      <c r="B78" s="27" t="e">
        <f>Portfolio_Daten!#REF!</f>
        <v>#REF!</v>
      </c>
      <c r="C78" s="27">
        <f>Portfolio_Daten!B79</f>
        <v>0</v>
      </c>
      <c r="D78" s="28">
        <f>Portfolio_Daten!E79</f>
        <v>0</v>
      </c>
      <c r="E78" s="31">
        <f>Portfolio_Daten!T79</f>
        <v>0</v>
      </c>
      <c r="F78" s="31">
        <f>Portfolio_Daten!U79</f>
        <v>0</v>
      </c>
      <c r="G78" s="107">
        <f>IF(F78="","",NETWORKDAYS(E78,F78,Parameter!$C$4:$C$51))</f>
        <v>0</v>
      </c>
      <c r="H78" s="29">
        <f>Portfolio_Daten!AG79</f>
        <v>0</v>
      </c>
      <c r="I78" s="33">
        <f>Portfolio_Daten!AI79</f>
        <v>0</v>
      </c>
      <c r="J78" s="106"/>
      <c r="K78" s="108" t="str">
        <f t="shared" si="122"/>
        <v/>
      </c>
      <c r="L78" s="108" t="str">
        <f t="shared" si="122"/>
        <v/>
      </c>
      <c r="M78" s="108" t="str">
        <f t="shared" si="122"/>
        <v/>
      </c>
      <c r="N78" s="108" t="str">
        <f t="shared" si="122"/>
        <v/>
      </c>
      <c r="O78" s="108" t="str">
        <f t="shared" si="122"/>
        <v/>
      </c>
      <c r="P78" s="108" t="str">
        <f t="shared" si="122"/>
        <v/>
      </c>
      <c r="Q78" s="108" t="str">
        <f t="shared" si="122"/>
        <v/>
      </c>
      <c r="R78" s="108" t="str">
        <f t="shared" si="122"/>
        <v/>
      </c>
      <c r="S78" s="108" t="str">
        <f t="shared" si="122"/>
        <v/>
      </c>
      <c r="T78" s="108" t="str">
        <f t="shared" si="122"/>
        <v/>
      </c>
      <c r="U78" s="108" t="str">
        <f t="shared" si="123"/>
        <v/>
      </c>
      <c r="V78" s="108" t="str">
        <f t="shared" si="123"/>
        <v/>
      </c>
      <c r="W78" s="108" t="str">
        <f t="shared" si="123"/>
        <v/>
      </c>
      <c r="X78" s="108" t="str">
        <f t="shared" si="123"/>
        <v/>
      </c>
      <c r="Y78" s="108" t="str">
        <f t="shared" si="123"/>
        <v/>
      </c>
      <c r="Z78" s="108" t="str">
        <f t="shared" si="123"/>
        <v/>
      </c>
      <c r="AA78" s="108" t="str">
        <f t="shared" si="123"/>
        <v/>
      </c>
      <c r="AB78" s="108" t="str">
        <f t="shared" si="123"/>
        <v/>
      </c>
      <c r="AC78" s="108" t="str">
        <f t="shared" si="123"/>
        <v/>
      </c>
      <c r="AD78" s="108" t="str">
        <f t="shared" si="123"/>
        <v/>
      </c>
      <c r="AE78" s="108" t="str">
        <f t="shared" si="124"/>
        <v/>
      </c>
      <c r="AF78" s="108" t="str">
        <f t="shared" si="124"/>
        <v/>
      </c>
      <c r="AG78" s="108" t="str">
        <f t="shared" si="124"/>
        <v/>
      </c>
      <c r="AH78" s="108" t="str">
        <f t="shared" si="124"/>
        <v/>
      </c>
      <c r="AI78" s="108" t="str">
        <f t="shared" si="124"/>
        <v/>
      </c>
      <c r="AJ78" s="108" t="str">
        <f t="shared" si="124"/>
        <v/>
      </c>
      <c r="AK78" s="108" t="str">
        <f t="shared" si="124"/>
        <v/>
      </c>
      <c r="AL78" s="108" t="str">
        <f t="shared" si="124"/>
        <v/>
      </c>
      <c r="AM78" s="108" t="str">
        <f t="shared" si="124"/>
        <v/>
      </c>
      <c r="AN78" s="108" t="str">
        <f t="shared" si="124"/>
        <v/>
      </c>
      <c r="AO78" s="108" t="str">
        <f t="shared" si="125"/>
        <v/>
      </c>
      <c r="AP78" s="108" t="str">
        <f t="shared" si="125"/>
        <v/>
      </c>
      <c r="AQ78" s="108" t="str">
        <f t="shared" si="125"/>
        <v/>
      </c>
      <c r="AR78" s="108" t="str">
        <f t="shared" si="125"/>
        <v/>
      </c>
      <c r="AS78" s="108" t="str">
        <f t="shared" si="125"/>
        <v/>
      </c>
      <c r="AT78" s="108" t="str">
        <f t="shared" si="125"/>
        <v/>
      </c>
      <c r="AU78" s="108" t="str">
        <f t="shared" si="125"/>
        <v/>
      </c>
      <c r="AV78" s="108" t="str">
        <f t="shared" si="125"/>
        <v/>
      </c>
      <c r="AW78" s="108" t="str">
        <f t="shared" si="125"/>
        <v/>
      </c>
      <c r="AX78" s="108" t="str">
        <f t="shared" si="125"/>
        <v/>
      </c>
      <c r="AY78" s="108" t="str">
        <f t="shared" si="126"/>
        <v/>
      </c>
      <c r="AZ78" s="108" t="str">
        <f t="shared" si="126"/>
        <v/>
      </c>
      <c r="BA78" s="108" t="str">
        <f t="shared" si="126"/>
        <v/>
      </c>
      <c r="BB78" s="108" t="str">
        <f t="shared" si="126"/>
        <v/>
      </c>
      <c r="BC78" s="108" t="str">
        <f t="shared" si="126"/>
        <v/>
      </c>
      <c r="BD78" s="108" t="str">
        <f t="shared" si="126"/>
        <v/>
      </c>
      <c r="BE78" s="108" t="str">
        <f t="shared" si="126"/>
        <v/>
      </c>
      <c r="BF78" s="108" t="str">
        <f t="shared" si="126"/>
        <v/>
      </c>
      <c r="BG78" s="108" t="str">
        <f t="shared" si="126"/>
        <v/>
      </c>
      <c r="BH78" s="108" t="str">
        <f t="shared" si="126"/>
        <v/>
      </c>
      <c r="BI78" s="108" t="str">
        <f t="shared" si="127"/>
        <v/>
      </c>
      <c r="BJ78" s="108" t="str">
        <f t="shared" si="127"/>
        <v/>
      </c>
      <c r="BK78" s="108" t="str">
        <f t="shared" si="127"/>
        <v/>
      </c>
      <c r="BL78" s="108" t="str">
        <f t="shared" si="127"/>
        <v/>
      </c>
      <c r="BM78" s="108" t="str">
        <f t="shared" si="127"/>
        <v/>
      </c>
      <c r="BN78" s="108" t="str">
        <f t="shared" si="127"/>
        <v/>
      </c>
      <c r="BO78" s="108" t="str">
        <f t="shared" si="127"/>
        <v/>
      </c>
      <c r="BP78" s="108" t="str">
        <f t="shared" si="127"/>
        <v/>
      </c>
      <c r="BQ78" s="108" t="str">
        <f t="shared" si="127"/>
        <v/>
      </c>
      <c r="BR78" s="108" t="str">
        <f t="shared" si="127"/>
        <v/>
      </c>
      <c r="BS78" s="108" t="str">
        <f t="shared" si="128"/>
        <v/>
      </c>
      <c r="BT78" s="108" t="str">
        <f t="shared" si="128"/>
        <v/>
      </c>
      <c r="BU78" s="108" t="str">
        <f t="shared" si="128"/>
        <v/>
      </c>
      <c r="BV78" s="108" t="str">
        <f t="shared" si="128"/>
        <v/>
      </c>
      <c r="BW78" s="108" t="str">
        <f t="shared" si="128"/>
        <v/>
      </c>
      <c r="BX78" s="108" t="str">
        <f t="shared" si="128"/>
        <v/>
      </c>
      <c r="BY78" s="108" t="str">
        <f t="shared" si="128"/>
        <v/>
      </c>
      <c r="BZ78" s="108" t="str">
        <f t="shared" si="128"/>
        <v/>
      </c>
      <c r="CA78" s="108" t="str">
        <f t="shared" si="128"/>
        <v/>
      </c>
      <c r="CB78" s="108" t="str">
        <f t="shared" si="128"/>
        <v/>
      </c>
      <c r="CC78" s="108" t="str">
        <f t="shared" si="129"/>
        <v/>
      </c>
      <c r="CD78" s="108" t="str">
        <f t="shared" si="129"/>
        <v/>
      </c>
      <c r="CE78" s="108" t="str">
        <f t="shared" si="129"/>
        <v/>
      </c>
      <c r="CF78" s="108" t="str">
        <f t="shared" si="129"/>
        <v/>
      </c>
      <c r="CG78" s="108" t="str">
        <f t="shared" si="129"/>
        <v/>
      </c>
      <c r="CH78" s="108" t="str">
        <f t="shared" si="129"/>
        <v/>
      </c>
      <c r="CI78" s="108" t="str">
        <f t="shared" si="129"/>
        <v/>
      </c>
      <c r="CJ78" s="108" t="str">
        <f t="shared" si="129"/>
        <v/>
      </c>
      <c r="CK78" s="108" t="str">
        <f t="shared" si="129"/>
        <v/>
      </c>
      <c r="CL78" s="108" t="str">
        <f t="shared" si="129"/>
        <v/>
      </c>
      <c r="CM78" s="108" t="str">
        <f t="shared" si="130"/>
        <v/>
      </c>
      <c r="CN78" s="108" t="str">
        <f t="shared" si="130"/>
        <v/>
      </c>
      <c r="CO78" s="108" t="str">
        <f t="shared" si="130"/>
        <v/>
      </c>
      <c r="CP78" s="108" t="str">
        <f t="shared" si="130"/>
        <v/>
      </c>
      <c r="CQ78" s="108" t="str">
        <f t="shared" si="130"/>
        <v/>
      </c>
      <c r="CR78" s="109" t="str">
        <f t="shared" si="130"/>
        <v/>
      </c>
      <c r="CS78" s="108" t="str">
        <f t="shared" si="130"/>
        <v/>
      </c>
      <c r="CT78" s="108" t="str">
        <f t="shared" si="130"/>
        <v/>
      </c>
      <c r="CU78" s="108" t="str">
        <f t="shared" si="130"/>
        <v/>
      </c>
      <c r="CV78" s="108" t="str">
        <f t="shared" si="130"/>
        <v/>
      </c>
      <c r="CW78" s="108" t="str">
        <f t="shared" si="131"/>
        <v/>
      </c>
      <c r="CX78" s="108" t="str">
        <f t="shared" si="131"/>
        <v/>
      </c>
      <c r="CY78" s="108" t="str">
        <f t="shared" si="131"/>
        <v/>
      </c>
      <c r="CZ78" s="109" t="str">
        <f t="shared" si="131"/>
        <v/>
      </c>
      <c r="DA78" s="108" t="str">
        <f t="shared" si="131"/>
        <v/>
      </c>
      <c r="DB78" s="108" t="str">
        <f t="shared" si="131"/>
        <v/>
      </c>
      <c r="DC78" s="108" t="str">
        <f t="shared" si="131"/>
        <v/>
      </c>
      <c r="DD78" s="108" t="str">
        <f t="shared" si="131"/>
        <v/>
      </c>
      <c r="DE78" s="108" t="str">
        <f t="shared" si="131"/>
        <v/>
      </c>
      <c r="DF78" s="108" t="str">
        <f t="shared" si="131"/>
        <v/>
      </c>
      <c r="DG78" s="108" t="str">
        <f t="shared" si="132"/>
        <v/>
      </c>
      <c r="DH78" s="109" t="str">
        <f t="shared" si="132"/>
        <v/>
      </c>
      <c r="DI78" s="108" t="str">
        <f t="shared" si="132"/>
        <v/>
      </c>
      <c r="DJ78" s="108" t="str">
        <f t="shared" si="132"/>
        <v/>
      </c>
      <c r="DK78" s="108" t="str">
        <f t="shared" si="132"/>
        <v/>
      </c>
      <c r="DL78" s="108" t="str">
        <f t="shared" si="132"/>
        <v/>
      </c>
      <c r="DM78" s="108" t="str">
        <f t="shared" si="132"/>
        <v/>
      </c>
      <c r="DN78" s="108" t="str">
        <f t="shared" si="132"/>
        <v/>
      </c>
      <c r="DO78" s="109" t="str">
        <f t="shared" si="132"/>
        <v/>
      </c>
      <c r="DP78" s="108" t="str">
        <f t="shared" si="132"/>
        <v/>
      </c>
      <c r="DQ78" s="108" t="str">
        <f t="shared" si="133"/>
        <v/>
      </c>
      <c r="DR78" s="108" t="str">
        <f t="shared" si="133"/>
        <v/>
      </c>
      <c r="DS78" s="108" t="str">
        <f t="shared" si="133"/>
        <v/>
      </c>
      <c r="DT78" s="108" t="str">
        <f t="shared" si="133"/>
        <v/>
      </c>
      <c r="DU78" s="108" t="str">
        <f t="shared" si="133"/>
        <v/>
      </c>
      <c r="DV78" s="108" t="str">
        <f t="shared" si="133"/>
        <v/>
      </c>
      <c r="DW78" s="109" t="str">
        <f t="shared" si="133"/>
        <v/>
      </c>
      <c r="DX78" s="108" t="str">
        <f t="shared" si="133"/>
        <v/>
      </c>
      <c r="DY78" s="108" t="str">
        <f t="shared" si="133"/>
        <v/>
      </c>
      <c r="DZ78" s="108" t="str">
        <f t="shared" si="133"/>
        <v/>
      </c>
      <c r="EA78" s="108" t="str">
        <f t="shared" si="134"/>
        <v/>
      </c>
      <c r="EB78" s="108" t="str">
        <f t="shared" si="134"/>
        <v/>
      </c>
      <c r="EC78" s="108" t="str">
        <f t="shared" si="134"/>
        <v/>
      </c>
      <c r="ED78" s="109" t="str">
        <f t="shared" si="134"/>
        <v/>
      </c>
      <c r="EE78" s="108" t="str">
        <f t="shared" si="134"/>
        <v/>
      </c>
      <c r="EF78" s="108" t="str">
        <f t="shared" si="134"/>
        <v/>
      </c>
      <c r="EG78" s="108" t="str">
        <f t="shared" si="134"/>
        <v/>
      </c>
      <c r="EH78" s="108" t="str">
        <f t="shared" si="134"/>
        <v/>
      </c>
      <c r="EI78" s="108" t="str">
        <f t="shared" si="134"/>
        <v/>
      </c>
      <c r="EJ78" s="108" t="str">
        <f t="shared" si="134"/>
        <v/>
      </c>
      <c r="EK78" s="108" t="str">
        <f t="shared" si="135"/>
        <v/>
      </c>
      <c r="EL78" s="108" t="str">
        <f t="shared" si="135"/>
        <v/>
      </c>
      <c r="EM78" s="108" t="str">
        <f t="shared" si="135"/>
        <v/>
      </c>
      <c r="EN78" s="108" t="str">
        <f t="shared" si="135"/>
        <v/>
      </c>
      <c r="EO78" s="108" t="str">
        <f t="shared" si="135"/>
        <v/>
      </c>
      <c r="EP78" s="108" t="str">
        <f t="shared" si="135"/>
        <v/>
      </c>
      <c r="EQ78" s="108" t="str">
        <f t="shared" si="135"/>
        <v/>
      </c>
      <c r="ER78" s="108" t="str">
        <f t="shared" si="135"/>
        <v/>
      </c>
      <c r="ES78" s="109" t="str">
        <f t="shared" si="135"/>
        <v/>
      </c>
      <c r="ET78" s="108" t="str">
        <f t="shared" si="135"/>
        <v/>
      </c>
      <c r="EU78" s="108" t="str">
        <f t="shared" si="136"/>
        <v/>
      </c>
      <c r="EV78" s="108" t="str">
        <f t="shared" si="136"/>
        <v/>
      </c>
      <c r="EW78" s="108" t="str">
        <f t="shared" si="136"/>
        <v/>
      </c>
      <c r="EX78" s="108" t="str">
        <f t="shared" si="136"/>
        <v/>
      </c>
      <c r="EY78" s="108" t="str">
        <f t="shared" si="136"/>
        <v/>
      </c>
      <c r="EZ78" s="108" t="str">
        <f t="shared" si="136"/>
        <v/>
      </c>
      <c r="FA78" s="108" t="str">
        <f t="shared" si="136"/>
        <v/>
      </c>
      <c r="FB78" s="108" t="str">
        <f t="shared" si="136"/>
        <v/>
      </c>
      <c r="FC78" s="108" t="str">
        <f t="shared" si="136"/>
        <v/>
      </c>
      <c r="FD78" s="108" t="str">
        <f t="shared" si="136"/>
        <v/>
      </c>
      <c r="FE78" s="108" t="str">
        <f t="shared" si="137"/>
        <v/>
      </c>
      <c r="FF78" s="109" t="str">
        <f t="shared" si="137"/>
        <v/>
      </c>
      <c r="FG78" s="108" t="str">
        <f t="shared" si="137"/>
        <v/>
      </c>
      <c r="FH78" s="108" t="str">
        <f t="shared" si="137"/>
        <v/>
      </c>
      <c r="FI78" s="108" t="str">
        <f t="shared" si="137"/>
        <v/>
      </c>
      <c r="FJ78" s="108" t="str">
        <f t="shared" si="137"/>
        <v/>
      </c>
      <c r="FK78" s="108" t="str">
        <f t="shared" si="137"/>
        <v/>
      </c>
      <c r="FL78" s="108" t="str">
        <f t="shared" si="137"/>
        <v/>
      </c>
      <c r="FM78" s="108" t="str">
        <f t="shared" si="137"/>
        <v/>
      </c>
      <c r="FN78" s="108" t="str">
        <f t="shared" si="137"/>
        <v/>
      </c>
      <c r="FO78" s="108" t="str">
        <f t="shared" si="138"/>
        <v/>
      </c>
      <c r="FP78" s="108" t="str">
        <f t="shared" si="138"/>
        <v/>
      </c>
      <c r="FQ78" s="108" t="str">
        <f t="shared" si="138"/>
        <v/>
      </c>
      <c r="FR78" s="108" t="str">
        <f t="shared" si="138"/>
        <v/>
      </c>
      <c r="FS78" s="108" t="str">
        <f t="shared" si="138"/>
        <v/>
      </c>
      <c r="FT78" s="108" t="str">
        <f t="shared" si="138"/>
        <v/>
      </c>
      <c r="FU78" s="108" t="str">
        <f t="shared" si="138"/>
        <v/>
      </c>
      <c r="FV78" s="108" t="str">
        <f t="shared" si="138"/>
        <v/>
      </c>
      <c r="FW78" s="110" t="str">
        <f t="shared" si="138"/>
        <v/>
      </c>
    </row>
    <row r="79" spans="2:179" s="101" customFormat="1" ht="21" customHeight="1" x14ac:dyDescent="0.35">
      <c r="B79" s="27" t="e">
        <f>Portfolio_Daten!#REF!</f>
        <v>#REF!</v>
      </c>
      <c r="C79" s="27">
        <f>Portfolio_Daten!B80</f>
        <v>0</v>
      </c>
      <c r="D79" s="28">
        <f>Portfolio_Daten!E80</f>
        <v>0</v>
      </c>
      <c r="E79" s="31">
        <f>Portfolio_Daten!T80</f>
        <v>0</v>
      </c>
      <c r="F79" s="31">
        <f>Portfolio_Daten!U80</f>
        <v>0</v>
      </c>
      <c r="G79" s="107">
        <f>IF(F79="","",NETWORKDAYS(E79,F79,Parameter!$C$4:$C$51))</f>
        <v>0</v>
      </c>
      <c r="H79" s="29">
        <f>Portfolio_Daten!AG80</f>
        <v>0</v>
      </c>
      <c r="I79" s="33">
        <f>Portfolio_Daten!AI80</f>
        <v>0</v>
      </c>
      <c r="J79" s="106"/>
      <c r="K79" s="108" t="str">
        <f t="shared" si="122"/>
        <v/>
      </c>
      <c r="L79" s="108" t="str">
        <f t="shared" si="122"/>
        <v/>
      </c>
      <c r="M79" s="108" t="str">
        <f t="shared" si="122"/>
        <v/>
      </c>
      <c r="N79" s="108" t="str">
        <f t="shared" si="122"/>
        <v/>
      </c>
      <c r="O79" s="108" t="str">
        <f t="shared" si="122"/>
        <v/>
      </c>
      <c r="P79" s="108" t="str">
        <f t="shared" si="122"/>
        <v/>
      </c>
      <c r="Q79" s="108" t="str">
        <f t="shared" si="122"/>
        <v/>
      </c>
      <c r="R79" s="108" t="str">
        <f t="shared" si="122"/>
        <v/>
      </c>
      <c r="S79" s="108" t="str">
        <f t="shared" si="122"/>
        <v/>
      </c>
      <c r="T79" s="108" t="str">
        <f t="shared" si="122"/>
        <v/>
      </c>
      <c r="U79" s="108" t="str">
        <f t="shared" si="123"/>
        <v/>
      </c>
      <c r="V79" s="108" t="str">
        <f t="shared" si="123"/>
        <v/>
      </c>
      <c r="W79" s="108" t="str">
        <f t="shared" si="123"/>
        <v/>
      </c>
      <c r="X79" s="108" t="str">
        <f t="shared" si="123"/>
        <v/>
      </c>
      <c r="Y79" s="108" t="str">
        <f t="shared" si="123"/>
        <v/>
      </c>
      <c r="Z79" s="108" t="str">
        <f t="shared" si="123"/>
        <v/>
      </c>
      <c r="AA79" s="108" t="str">
        <f t="shared" si="123"/>
        <v/>
      </c>
      <c r="AB79" s="108" t="str">
        <f t="shared" si="123"/>
        <v/>
      </c>
      <c r="AC79" s="108" t="str">
        <f t="shared" si="123"/>
        <v/>
      </c>
      <c r="AD79" s="108" t="str">
        <f t="shared" si="123"/>
        <v/>
      </c>
      <c r="AE79" s="108" t="str">
        <f t="shared" si="124"/>
        <v/>
      </c>
      <c r="AF79" s="108" t="str">
        <f t="shared" si="124"/>
        <v/>
      </c>
      <c r="AG79" s="108" t="str">
        <f t="shared" si="124"/>
        <v/>
      </c>
      <c r="AH79" s="108" t="str">
        <f t="shared" si="124"/>
        <v/>
      </c>
      <c r="AI79" s="108" t="str">
        <f t="shared" si="124"/>
        <v/>
      </c>
      <c r="AJ79" s="108" t="str">
        <f t="shared" si="124"/>
        <v/>
      </c>
      <c r="AK79" s="108" t="str">
        <f t="shared" si="124"/>
        <v/>
      </c>
      <c r="AL79" s="108" t="str">
        <f t="shared" si="124"/>
        <v/>
      </c>
      <c r="AM79" s="108" t="str">
        <f t="shared" si="124"/>
        <v/>
      </c>
      <c r="AN79" s="108" t="str">
        <f t="shared" si="124"/>
        <v/>
      </c>
      <c r="AO79" s="108" t="str">
        <f t="shared" si="125"/>
        <v/>
      </c>
      <c r="AP79" s="108" t="str">
        <f t="shared" si="125"/>
        <v/>
      </c>
      <c r="AQ79" s="108" t="str">
        <f t="shared" si="125"/>
        <v/>
      </c>
      <c r="AR79" s="108" t="str">
        <f t="shared" si="125"/>
        <v/>
      </c>
      <c r="AS79" s="108" t="str">
        <f t="shared" si="125"/>
        <v/>
      </c>
      <c r="AT79" s="108" t="str">
        <f t="shared" si="125"/>
        <v/>
      </c>
      <c r="AU79" s="108" t="str">
        <f t="shared" si="125"/>
        <v/>
      </c>
      <c r="AV79" s="108" t="str">
        <f t="shared" si="125"/>
        <v/>
      </c>
      <c r="AW79" s="108" t="str">
        <f t="shared" si="125"/>
        <v/>
      </c>
      <c r="AX79" s="108" t="str">
        <f t="shared" si="125"/>
        <v/>
      </c>
      <c r="AY79" s="108" t="str">
        <f t="shared" si="126"/>
        <v/>
      </c>
      <c r="AZ79" s="108" t="str">
        <f t="shared" si="126"/>
        <v/>
      </c>
      <c r="BA79" s="108" t="str">
        <f t="shared" si="126"/>
        <v/>
      </c>
      <c r="BB79" s="108" t="str">
        <f t="shared" si="126"/>
        <v/>
      </c>
      <c r="BC79" s="108" t="str">
        <f t="shared" si="126"/>
        <v/>
      </c>
      <c r="BD79" s="108" t="str">
        <f t="shared" si="126"/>
        <v/>
      </c>
      <c r="BE79" s="108" t="str">
        <f t="shared" si="126"/>
        <v/>
      </c>
      <c r="BF79" s="108" t="str">
        <f t="shared" si="126"/>
        <v/>
      </c>
      <c r="BG79" s="108" t="str">
        <f t="shared" si="126"/>
        <v/>
      </c>
      <c r="BH79" s="108" t="str">
        <f t="shared" si="126"/>
        <v/>
      </c>
      <c r="BI79" s="108" t="str">
        <f t="shared" si="127"/>
        <v/>
      </c>
      <c r="BJ79" s="108" t="str">
        <f t="shared" si="127"/>
        <v/>
      </c>
      <c r="BK79" s="108" t="str">
        <f t="shared" si="127"/>
        <v/>
      </c>
      <c r="BL79" s="108" t="str">
        <f t="shared" si="127"/>
        <v/>
      </c>
      <c r="BM79" s="108" t="str">
        <f t="shared" si="127"/>
        <v/>
      </c>
      <c r="BN79" s="108" t="str">
        <f t="shared" si="127"/>
        <v/>
      </c>
      <c r="BO79" s="108" t="str">
        <f t="shared" si="127"/>
        <v/>
      </c>
      <c r="BP79" s="108" t="str">
        <f t="shared" si="127"/>
        <v/>
      </c>
      <c r="BQ79" s="108" t="str">
        <f t="shared" si="127"/>
        <v/>
      </c>
      <c r="BR79" s="108" t="str">
        <f t="shared" si="127"/>
        <v/>
      </c>
      <c r="BS79" s="108" t="str">
        <f t="shared" si="128"/>
        <v/>
      </c>
      <c r="BT79" s="108" t="str">
        <f t="shared" si="128"/>
        <v/>
      </c>
      <c r="BU79" s="108" t="str">
        <f t="shared" si="128"/>
        <v/>
      </c>
      <c r="BV79" s="108" t="str">
        <f t="shared" si="128"/>
        <v/>
      </c>
      <c r="BW79" s="108" t="str">
        <f t="shared" si="128"/>
        <v/>
      </c>
      <c r="BX79" s="108" t="str">
        <f t="shared" si="128"/>
        <v/>
      </c>
      <c r="BY79" s="108" t="str">
        <f t="shared" si="128"/>
        <v/>
      </c>
      <c r="BZ79" s="108" t="str">
        <f t="shared" si="128"/>
        <v/>
      </c>
      <c r="CA79" s="108" t="str">
        <f t="shared" si="128"/>
        <v/>
      </c>
      <c r="CB79" s="108" t="str">
        <f t="shared" si="128"/>
        <v/>
      </c>
      <c r="CC79" s="108" t="str">
        <f t="shared" si="129"/>
        <v/>
      </c>
      <c r="CD79" s="108" t="str">
        <f t="shared" si="129"/>
        <v/>
      </c>
      <c r="CE79" s="108" t="str">
        <f t="shared" si="129"/>
        <v/>
      </c>
      <c r="CF79" s="108" t="str">
        <f t="shared" si="129"/>
        <v/>
      </c>
      <c r="CG79" s="108" t="str">
        <f t="shared" si="129"/>
        <v/>
      </c>
      <c r="CH79" s="108" t="str">
        <f t="shared" si="129"/>
        <v/>
      </c>
      <c r="CI79" s="108" t="str">
        <f t="shared" si="129"/>
        <v/>
      </c>
      <c r="CJ79" s="108" t="str">
        <f t="shared" si="129"/>
        <v/>
      </c>
      <c r="CK79" s="108" t="str">
        <f t="shared" si="129"/>
        <v/>
      </c>
      <c r="CL79" s="108" t="str">
        <f t="shared" si="129"/>
        <v/>
      </c>
      <c r="CM79" s="108" t="str">
        <f t="shared" si="130"/>
        <v/>
      </c>
      <c r="CN79" s="108" t="str">
        <f t="shared" si="130"/>
        <v/>
      </c>
      <c r="CO79" s="108" t="str">
        <f t="shared" si="130"/>
        <v/>
      </c>
      <c r="CP79" s="108" t="str">
        <f t="shared" si="130"/>
        <v/>
      </c>
      <c r="CQ79" s="108" t="str">
        <f t="shared" si="130"/>
        <v/>
      </c>
      <c r="CR79" s="109" t="str">
        <f t="shared" si="130"/>
        <v/>
      </c>
      <c r="CS79" s="108" t="str">
        <f t="shared" si="130"/>
        <v/>
      </c>
      <c r="CT79" s="108" t="str">
        <f t="shared" si="130"/>
        <v/>
      </c>
      <c r="CU79" s="108" t="str">
        <f t="shared" si="130"/>
        <v/>
      </c>
      <c r="CV79" s="108" t="str">
        <f t="shared" si="130"/>
        <v/>
      </c>
      <c r="CW79" s="108" t="str">
        <f t="shared" si="131"/>
        <v/>
      </c>
      <c r="CX79" s="108" t="str">
        <f t="shared" si="131"/>
        <v/>
      </c>
      <c r="CY79" s="108" t="str">
        <f t="shared" si="131"/>
        <v/>
      </c>
      <c r="CZ79" s="109" t="str">
        <f t="shared" si="131"/>
        <v/>
      </c>
      <c r="DA79" s="108" t="str">
        <f t="shared" si="131"/>
        <v/>
      </c>
      <c r="DB79" s="108" t="str">
        <f t="shared" si="131"/>
        <v/>
      </c>
      <c r="DC79" s="108" t="str">
        <f t="shared" si="131"/>
        <v/>
      </c>
      <c r="DD79" s="108" t="str">
        <f t="shared" si="131"/>
        <v/>
      </c>
      <c r="DE79" s="108" t="str">
        <f t="shared" si="131"/>
        <v/>
      </c>
      <c r="DF79" s="108" t="str">
        <f t="shared" si="131"/>
        <v/>
      </c>
      <c r="DG79" s="108" t="str">
        <f t="shared" si="132"/>
        <v/>
      </c>
      <c r="DH79" s="109" t="str">
        <f t="shared" si="132"/>
        <v/>
      </c>
      <c r="DI79" s="108" t="str">
        <f t="shared" si="132"/>
        <v/>
      </c>
      <c r="DJ79" s="108" t="str">
        <f t="shared" si="132"/>
        <v/>
      </c>
      <c r="DK79" s="108" t="str">
        <f t="shared" si="132"/>
        <v/>
      </c>
      <c r="DL79" s="108" t="str">
        <f t="shared" si="132"/>
        <v/>
      </c>
      <c r="DM79" s="108" t="str">
        <f t="shared" si="132"/>
        <v/>
      </c>
      <c r="DN79" s="108" t="str">
        <f t="shared" si="132"/>
        <v/>
      </c>
      <c r="DO79" s="109" t="str">
        <f t="shared" si="132"/>
        <v/>
      </c>
      <c r="DP79" s="108" t="str">
        <f t="shared" si="132"/>
        <v/>
      </c>
      <c r="DQ79" s="108" t="str">
        <f t="shared" si="133"/>
        <v/>
      </c>
      <c r="DR79" s="108" t="str">
        <f t="shared" si="133"/>
        <v/>
      </c>
      <c r="DS79" s="108" t="str">
        <f t="shared" si="133"/>
        <v/>
      </c>
      <c r="DT79" s="108" t="str">
        <f t="shared" si="133"/>
        <v/>
      </c>
      <c r="DU79" s="108" t="str">
        <f t="shared" si="133"/>
        <v/>
      </c>
      <c r="DV79" s="108" t="str">
        <f t="shared" si="133"/>
        <v/>
      </c>
      <c r="DW79" s="109" t="str">
        <f t="shared" si="133"/>
        <v/>
      </c>
      <c r="DX79" s="108" t="str">
        <f t="shared" si="133"/>
        <v/>
      </c>
      <c r="DY79" s="108" t="str">
        <f t="shared" si="133"/>
        <v/>
      </c>
      <c r="DZ79" s="108" t="str">
        <f t="shared" si="133"/>
        <v/>
      </c>
      <c r="EA79" s="108" t="str">
        <f t="shared" si="134"/>
        <v/>
      </c>
      <c r="EB79" s="108" t="str">
        <f t="shared" si="134"/>
        <v/>
      </c>
      <c r="EC79" s="108" t="str">
        <f t="shared" si="134"/>
        <v/>
      </c>
      <c r="ED79" s="109" t="str">
        <f t="shared" si="134"/>
        <v/>
      </c>
      <c r="EE79" s="108" t="str">
        <f t="shared" si="134"/>
        <v/>
      </c>
      <c r="EF79" s="108" t="str">
        <f t="shared" si="134"/>
        <v/>
      </c>
      <c r="EG79" s="108" t="str">
        <f t="shared" si="134"/>
        <v/>
      </c>
      <c r="EH79" s="108" t="str">
        <f t="shared" si="134"/>
        <v/>
      </c>
      <c r="EI79" s="108" t="str">
        <f t="shared" si="134"/>
        <v/>
      </c>
      <c r="EJ79" s="108" t="str">
        <f t="shared" si="134"/>
        <v/>
      </c>
      <c r="EK79" s="108" t="str">
        <f t="shared" si="135"/>
        <v/>
      </c>
      <c r="EL79" s="108" t="str">
        <f t="shared" si="135"/>
        <v/>
      </c>
      <c r="EM79" s="108" t="str">
        <f t="shared" si="135"/>
        <v/>
      </c>
      <c r="EN79" s="108" t="str">
        <f t="shared" si="135"/>
        <v/>
      </c>
      <c r="EO79" s="108" t="str">
        <f t="shared" si="135"/>
        <v/>
      </c>
      <c r="EP79" s="108" t="str">
        <f t="shared" si="135"/>
        <v/>
      </c>
      <c r="EQ79" s="108" t="str">
        <f t="shared" si="135"/>
        <v/>
      </c>
      <c r="ER79" s="108" t="str">
        <f t="shared" si="135"/>
        <v/>
      </c>
      <c r="ES79" s="109" t="str">
        <f t="shared" si="135"/>
        <v/>
      </c>
      <c r="ET79" s="108" t="str">
        <f t="shared" si="135"/>
        <v/>
      </c>
      <c r="EU79" s="108" t="str">
        <f t="shared" si="136"/>
        <v/>
      </c>
      <c r="EV79" s="108" t="str">
        <f t="shared" si="136"/>
        <v/>
      </c>
      <c r="EW79" s="108" t="str">
        <f t="shared" si="136"/>
        <v/>
      </c>
      <c r="EX79" s="108" t="str">
        <f t="shared" si="136"/>
        <v/>
      </c>
      <c r="EY79" s="108" t="str">
        <f t="shared" si="136"/>
        <v/>
      </c>
      <c r="EZ79" s="108" t="str">
        <f t="shared" si="136"/>
        <v/>
      </c>
      <c r="FA79" s="108" t="str">
        <f t="shared" si="136"/>
        <v/>
      </c>
      <c r="FB79" s="108" t="str">
        <f t="shared" si="136"/>
        <v/>
      </c>
      <c r="FC79" s="108" t="str">
        <f t="shared" si="136"/>
        <v/>
      </c>
      <c r="FD79" s="108" t="str">
        <f t="shared" si="136"/>
        <v/>
      </c>
      <c r="FE79" s="108" t="str">
        <f t="shared" si="137"/>
        <v/>
      </c>
      <c r="FF79" s="109" t="str">
        <f t="shared" si="137"/>
        <v/>
      </c>
      <c r="FG79" s="108" t="str">
        <f t="shared" si="137"/>
        <v/>
      </c>
      <c r="FH79" s="108" t="str">
        <f t="shared" si="137"/>
        <v/>
      </c>
      <c r="FI79" s="108" t="str">
        <f t="shared" si="137"/>
        <v/>
      </c>
      <c r="FJ79" s="108" t="str">
        <f t="shared" si="137"/>
        <v/>
      </c>
      <c r="FK79" s="108" t="str">
        <f t="shared" si="137"/>
        <v/>
      </c>
      <c r="FL79" s="108" t="str">
        <f t="shared" si="137"/>
        <v/>
      </c>
      <c r="FM79" s="108" t="str">
        <f t="shared" si="137"/>
        <v/>
      </c>
      <c r="FN79" s="108" t="str">
        <f t="shared" si="137"/>
        <v/>
      </c>
      <c r="FO79" s="108" t="str">
        <f t="shared" si="138"/>
        <v/>
      </c>
      <c r="FP79" s="108" t="str">
        <f t="shared" si="138"/>
        <v/>
      </c>
      <c r="FQ79" s="108" t="str">
        <f t="shared" si="138"/>
        <v/>
      </c>
      <c r="FR79" s="108" t="str">
        <f t="shared" si="138"/>
        <v/>
      </c>
      <c r="FS79" s="108" t="str">
        <f t="shared" si="138"/>
        <v/>
      </c>
      <c r="FT79" s="108" t="str">
        <f t="shared" si="138"/>
        <v/>
      </c>
      <c r="FU79" s="108" t="str">
        <f t="shared" si="138"/>
        <v/>
      </c>
      <c r="FV79" s="108" t="str">
        <f t="shared" si="138"/>
        <v/>
      </c>
      <c r="FW79" s="110" t="str">
        <f t="shared" si="138"/>
        <v/>
      </c>
    </row>
    <row r="80" spans="2:179" s="101" customFormat="1" ht="21" customHeight="1" x14ac:dyDescent="0.35">
      <c r="B80" s="27" t="e">
        <f>Portfolio_Daten!#REF!</f>
        <v>#REF!</v>
      </c>
      <c r="C80" s="27">
        <f>Portfolio_Daten!B81</f>
        <v>0</v>
      </c>
      <c r="D80" s="28">
        <f>Portfolio_Daten!E81</f>
        <v>0</v>
      </c>
      <c r="E80" s="31">
        <f>Portfolio_Daten!T81</f>
        <v>0</v>
      </c>
      <c r="F80" s="31">
        <f>Portfolio_Daten!U81</f>
        <v>0</v>
      </c>
      <c r="G80" s="107">
        <f>IF(F80="","",NETWORKDAYS(E80,F80,Parameter!$C$4:$C$51))</f>
        <v>0</v>
      </c>
      <c r="H80" s="29">
        <f>Portfolio_Daten!AG81</f>
        <v>0</v>
      </c>
      <c r="I80" s="33">
        <f>Portfolio_Daten!AI81</f>
        <v>0</v>
      </c>
      <c r="J80" s="106"/>
      <c r="K80" s="108" t="str">
        <f t="shared" si="122"/>
        <v/>
      </c>
      <c r="L80" s="108" t="str">
        <f t="shared" si="122"/>
        <v/>
      </c>
      <c r="M80" s="108" t="str">
        <f t="shared" si="122"/>
        <v/>
      </c>
      <c r="N80" s="108" t="str">
        <f t="shared" si="122"/>
        <v/>
      </c>
      <c r="O80" s="108" t="str">
        <f t="shared" si="122"/>
        <v/>
      </c>
      <c r="P80" s="108" t="str">
        <f t="shared" si="122"/>
        <v/>
      </c>
      <c r="Q80" s="108" t="str">
        <f t="shared" si="122"/>
        <v/>
      </c>
      <c r="R80" s="108" t="str">
        <f t="shared" si="122"/>
        <v/>
      </c>
      <c r="S80" s="108" t="str">
        <f t="shared" si="122"/>
        <v/>
      </c>
      <c r="T80" s="108" t="str">
        <f t="shared" si="122"/>
        <v/>
      </c>
      <c r="U80" s="108" t="str">
        <f t="shared" si="123"/>
        <v/>
      </c>
      <c r="V80" s="108" t="str">
        <f t="shared" si="123"/>
        <v/>
      </c>
      <c r="W80" s="108" t="str">
        <f t="shared" si="123"/>
        <v/>
      </c>
      <c r="X80" s="108" t="str">
        <f t="shared" si="123"/>
        <v/>
      </c>
      <c r="Y80" s="108" t="str">
        <f t="shared" si="123"/>
        <v/>
      </c>
      <c r="Z80" s="108" t="str">
        <f t="shared" si="123"/>
        <v/>
      </c>
      <c r="AA80" s="108" t="str">
        <f t="shared" si="123"/>
        <v/>
      </c>
      <c r="AB80" s="108" t="str">
        <f t="shared" si="123"/>
        <v/>
      </c>
      <c r="AC80" s="108" t="str">
        <f t="shared" si="123"/>
        <v/>
      </c>
      <c r="AD80" s="108" t="str">
        <f t="shared" si="123"/>
        <v/>
      </c>
      <c r="AE80" s="108" t="str">
        <f t="shared" si="124"/>
        <v/>
      </c>
      <c r="AF80" s="108" t="str">
        <f t="shared" si="124"/>
        <v/>
      </c>
      <c r="AG80" s="108" t="str">
        <f t="shared" si="124"/>
        <v/>
      </c>
      <c r="AH80" s="108" t="str">
        <f t="shared" si="124"/>
        <v/>
      </c>
      <c r="AI80" s="108" t="str">
        <f t="shared" si="124"/>
        <v/>
      </c>
      <c r="AJ80" s="108" t="str">
        <f t="shared" si="124"/>
        <v/>
      </c>
      <c r="AK80" s="108" t="str">
        <f t="shared" si="124"/>
        <v/>
      </c>
      <c r="AL80" s="108" t="str">
        <f t="shared" si="124"/>
        <v/>
      </c>
      <c r="AM80" s="108" t="str">
        <f t="shared" si="124"/>
        <v/>
      </c>
      <c r="AN80" s="108" t="str">
        <f t="shared" si="124"/>
        <v/>
      </c>
      <c r="AO80" s="108" t="str">
        <f t="shared" si="125"/>
        <v/>
      </c>
      <c r="AP80" s="108" t="str">
        <f t="shared" si="125"/>
        <v/>
      </c>
      <c r="AQ80" s="108" t="str">
        <f t="shared" si="125"/>
        <v/>
      </c>
      <c r="AR80" s="108" t="str">
        <f t="shared" si="125"/>
        <v/>
      </c>
      <c r="AS80" s="108" t="str">
        <f t="shared" si="125"/>
        <v/>
      </c>
      <c r="AT80" s="108" t="str">
        <f t="shared" si="125"/>
        <v/>
      </c>
      <c r="AU80" s="108" t="str">
        <f t="shared" si="125"/>
        <v/>
      </c>
      <c r="AV80" s="108" t="str">
        <f t="shared" si="125"/>
        <v/>
      </c>
      <c r="AW80" s="108" t="str">
        <f t="shared" si="125"/>
        <v/>
      </c>
      <c r="AX80" s="108" t="str">
        <f t="shared" si="125"/>
        <v/>
      </c>
      <c r="AY80" s="108" t="str">
        <f t="shared" si="126"/>
        <v/>
      </c>
      <c r="AZ80" s="108" t="str">
        <f t="shared" si="126"/>
        <v/>
      </c>
      <c r="BA80" s="108" t="str">
        <f t="shared" si="126"/>
        <v/>
      </c>
      <c r="BB80" s="108" t="str">
        <f t="shared" si="126"/>
        <v/>
      </c>
      <c r="BC80" s="108" t="str">
        <f t="shared" si="126"/>
        <v/>
      </c>
      <c r="BD80" s="108" t="str">
        <f t="shared" si="126"/>
        <v/>
      </c>
      <c r="BE80" s="108" t="str">
        <f t="shared" si="126"/>
        <v/>
      </c>
      <c r="BF80" s="108" t="str">
        <f t="shared" si="126"/>
        <v/>
      </c>
      <c r="BG80" s="108" t="str">
        <f t="shared" si="126"/>
        <v/>
      </c>
      <c r="BH80" s="108" t="str">
        <f t="shared" si="126"/>
        <v/>
      </c>
      <c r="BI80" s="108" t="str">
        <f t="shared" si="127"/>
        <v/>
      </c>
      <c r="BJ80" s="108" t="str">
        <f t="shared" si="127"/>
        <v/>
      </c>
      <c r="BK80" s="108" t="str">
        <f t="shared" si="127"/>
        <v/>
      </c>
      <c r="BL80" s="108" t="str">
        <f t="shared" si="127"/>
        <v/>
      </c>
      <c r="BM80" s="108" t="str">
        <f t="shared" si="127"/>
        <v/>
      </c>
      <c r="BN80" s="108" t="str">
        <f t="shared" si="127"/>
        <v/>
      </c>
      <c r="BO80" s="108" t="str">
        <f t="shared" si="127"/>
        <v/>
      </c>
      <c r="BP80" s="108" t="str">
        <f t="shared" si="127"/>
        <v/>
      </c>
      <c r="BQ80" s="108" t="str">
        <f t="shared" si="127"/>
        <v/>
      </c>
      <c r="BR80" s="108" t="str">
        <f t="shared" si="127"/>
        <v/>
      </c>
      <c r="BS80" s="108" t="str">
        <f t="shared" si="128"/>
        <v/>
      </c>
      <c r="BT80" s="108" t="str">
        <f t="shared" si="128"/>
        <v/>
      </c>
      <c r="BU80" s="108" t="str">
        <f t="shared" si="128"/>
        <v/>
      </c>
      <c r="BV80" s="108" t="str">
        <f t="shared" si="128"/>
        <v/>
      </c>
      <c r="BW80" s="108" t="str">
        <f t="shared" si="128"/>
        <v/>
      </c>
      <c r="BX80" s="108" t="str">
        <f t="shared" si="128"/>
        <v/>
      </c>
      <c r="BY80" s="108" t="str">
        <f t="shared" si="128"/>
        <v/>
      </c>
      <c r="BZ80" s="108" t="str">
        <f t="shared" si="128"/>
        <v/>
      </c>
      <c r="CA80" s="108" t="str">
        <f t="shared" si="128"/>
        <v/>
      </c>
      <c r="CB80" s="108" t="str">
        <f t="shared" si="128"/>
        <v/>
      </c>
      <c r="CC80" s="108" t="str">
        <f t="shared" si="129"/>
        <v/>
      </c>
      <c r="CD80" s="108" t="str">
        <f t="shared" si="129"/>
        <v/>
      </c>
      <c r="CE80" s="108" t="str">
        <f t="shared" si="129"/>
        <v/>
      </c>
      <c r="CF80" s="108" t="str">
        <f t="shared" si="129"/>
        <v/>
      </c>
      <c r="CG80" s="108" t="str">
        <f t="shared" si="129"/>
        <v/>
      </c>
      <c r="CH80" s="108" t="str">
        <f t="shared" si="129"/>
        <v/>
      </c>
      <c r="CI80" s="108" t="str">
        <f t="shared" si="129"/>
        <v/>
      </c>
      <c r="CJ80" s="108" t="str">
        <f t="shared" si="129"/>
        <v/>
      </c>
      <c r="CK80" s="108" t="str">
        <f t="shared" si="129"/>
        <v/>
      </c>
      <c r="CL80" s="108" t="str">
        <f t="shared" si="129"/>
        <v/>
      </c>
      <c r="CM80" s="108" t="str">
        <f t="shared" si="130"/>
        <v/>
      </c>
      <c r="CN80" s="108" t="str">
        <f t="shared" si="130"/>
        <v/>
      </c>
      <c r="CO80" s="108" t="str">
        <f t="shared" si="130"/>
        <v/>
      </c>
      <c r="CP80" s="108" t="str">
        <f t="shared" si="130"/>
        <v/>
      </c>
      <c r="CQ80" s="108" t="str">
        <f t="shared" si="130"/>
        <v/>
      </c>
      <c r="CR80" s="109" t="str">
        <f t="shared" si="130"/>
        <v/>
      </c>
      <c r="CS80" s="108" t="str">
        <f t="shared" si="130"/>
        <v/>
      </c>
      <c r="CT80" s="108" t="str">
        <f t="shared" si="130"/>
        <v/>
      </c>
      <c r="CU80" s="108" t="str">
        <f t="shared" si="130"/>
        <v/>
      </c>
      <c r="CV80" s="108" t="str">
        <f t="shared" si="130"/>
        <v/>
      </c>
      <c r="CW80" s="108" t="str">
        <f t="shared" si="131"/>
        <v/>
      </c>
      <c r="CX80" s="108" t="str">
        <f t="shared" si="131"/>
        <v/>
      </c>
      <c r="CY80" s="108" t="str">
        <f t="shared" si="131"/>
        <v/>
      </c>
      <c r="CZ80" s="109" t="str">
        <f t="shared" si="131"/>
        <v/>
      </c>
      <c r="DA80" s="108" t="str">
        <f t="shared" si="131"/>
        <v/>
      </c>
      <c r="DB80" s="108" t="str">
        <f t="shared" si="131"/>
        <v/>
      </c>
      <c r="DC80" s="108" t="str">
        <f t="shared" si="131"/>
        <v/>
      </c>
      <c r="DD80" s="108" t="str">
        <f t="shared" si="131"/>
        <v/>
      </c>
      <c r="DE80" s="108" t="str">
        <f t="shared" si="131"/>
        <v/>
      </c>
      <c r="DF80" s="108" t="str">
        <f t="shared" si="131"/>
        <v/>
      </c>
      <c r="DG80" s="108" t="str">
        <f t="shared" si="132"/>
        <v/>
      </c>
      <c r="DH80" s="109" t="str">
        <f t="shared" si="132"/>
        <v/>
      </c>
      <c r="DI80" s="108" t="str">
        <f t="shared" si="132"/>
        <v/>
      </c>
      <c r="DJ80" s="108" t="str">
        <f t="shared" si="132"/>
        <v/>
      </c>
      <c r="DK80" s="108" t="str">
        <f t="shared" si="132"/>
        <v/>
      </c>
      <c r="DL80" s="108" t="str">
        <f t="shared" si="132"/>
        <v/>
      </c>
      <c r="DM80" s="108" t="str">
        <f t="shared" si="132"/>
        <v/>
      </c>
      <c r="DN80" s="108" t="str">
        <f t="shared" si="132"/>
        <v/>
      </c>
      <c r="DO80" s="109" t="str">
        <f t="shared" si="132"/>
        <v/>
      </c>
      <c r="DP80" s="108" t="str">
        <f t="shared" si="132"/>
        <v/>
      </c>
      <c r="DQ80" s="108" t="str">
        <f t="shared" si="133"/>
        <v/>
      </c>
      <c r="DR80" s="108" t="str">
        <f t="shared" si="133"/>
        <v/>
      </c>
      <c r="DS80" s="108" t="str">
        <f t="shared" si="133"/>
        <v/>
      </c>
      <c r="DT80" s="108" t="str">
        <f t="shared" si="133"/>
        <v/>
      </c>
      <c r="DU80" s="108" t="str">
        <f t="shared" si="133"/>
        <v/>
      </c>
      <c r="DV80" s="108" t="str">
        <f t="shared" si="133"/>
        <v/>
      </c>
      <c r="DW80" s="109" t="str">
        <f t="shared" si="133"/>
        <v/>
      </c>
      <c r="DX80" s="108" t="str">
        <f t="shared" si="133"/>
        <v/>
      </c>
      <c r="DY80" s="108" t="str">
        <f t="shared" si="133"/>
        <v/>
      </c>
      <c r="DZ80" s="108" t="str">
        <f t="shared" si="133"/>
        <v/>
      </c>
      <c r="EA80" s="108" t="str">
        <f t="shared" si="134"/>
        <v/>
      </c>
      <c r="EB80" s="108" t="str">
        <f t="shared" si="134"/>
        <v/>
      </c>
      <c r="EC80" s="108" t="str">
        <f t="shared" si="134"/>
        <v/>
      </c>
      <c r="ED80" s="109" t="str">
        <f t="shared" si="134"/>
        <v/>
      </c>
      <c r="EE80" s="108" t="str">
        <f t="shared" si="134"/>
        <v/>
      </c>
      <c r="EF80" s="108" t="str">
        <f t="shared" si="134"/>
        <v/>
      </c>
      <c r="EG80" s="108" t="str">
        <f t="shared" si="134"/>
        <v/>
      </c>
      <c r="EH80" s="108" t="str">
        <f t="shared" si="134"/>
        <v/>
      </c>
      <c r="EI80" s="108" t="str">
        <f t="shared" si="134"/>
        <v/>
      </c>
      <c r="EJ80" s="108" t="str">
        <f t="shared" si="134"/>
        <v/>
      </c>
      <c r="EK80" s="108" t="str">
        <f t="shared" si="135"/>
        <v/>
      </c>
      <c r="EL80" s="108" t="str">
        <f t="shared" si="135"/>
        <v/>
      </c>
      <c r="EM80" s="108" t="str">
        <f t="shared" si="135"/>
        <v/>
      </c>
      <c r="EN80" s="108" t="str">
        <f t="shared" si="135"/>
        <v/>
      </c>
      <c r="EO80" s="108" t="str">
        <f t="shared" si="135"/>
        <v/>
      </c>
      <c r="EP80" s="108" t="str">
        <f t="shared" si="135"/>
        <v/>
      </c>
      <c r="EQ80" s="108" t="str">
        <f t="shared" si="135"/>
        <v/>
      </c>
      <c r="ER80" s="108" t="str">
        <f t="shared" si="135"/>
        <v/>
      </c>
      <c r="ES80" s="109" t="str">
        <f t="shared" si="135"/>
        <v/>
      </c>
      <c r="ET80" s="108" t="str">
        <f t="shared" si="135"/>
        <v/>
      </c>
      <c r="EU80" s="108" t="str">
        <f t="shared" si="136"/>
        <v/>
      </c>
      <c r="EV80" s="108" t="str">
        <f t="shared" si="136"/>
        <v/>
      </c>
      <c r="EW80" s="108" t="str">
        <f t="shared" si="136"/>
        <v/>
      </c>
      <c r="EX80" s="108" t="str">
        <f t="shared" si="136"/>
        <v/>
      </c>
      <c r="EY80" s="108" t="str">
        <f t="shared" si="136"/>
        <v/>
      </c>
      <c r="EZ80" s="108" t="str">
        <f t="shared" si="136"/>
        <v/>
      </c>
      <c r="FA80" s="108" t="str">
        <f t="shared" si="136"/>
        <v/>
      </c>
      <c r="FB80" s="108" t="str">
        <f t="shared" si="136"/>
        <v/>
      </c>
      <c r="FC80" s="108" t="str">
        <f t="shared" si="136"/>
        <v/>
      </c>
      <c r="FD80" s="108" t="str">
        <f t="shared" si="136"/>
        <v/>
      </c>
      <c r="FE80" s="108" t="str">
        <f t="shared" si="137"/>
        <v/>
      </c>
      <c r="FF80" s="109" t="str">
        <f t="shared" si="137"/>
        <v/>
      </c>
      <c r="FG80" s="108" t="str">
        <f t="shared" si="137"/>
        <v/>
      </c>
      <c r="FH80" s="108" t="str">
        <f t="shared" si="137"/>
        <v/>
      </c>
      <c r="FI80" s="108" t="str">
        <f t="shared" si="137"/>
        <v/>
      </c>
      <c r="FJ80" s="108" t="str">
        <f t="shared" si="137"/>
        <v/>
      </c>
      <c r="FK80" s="108" t="str">
        <f t="shared" si="137"/>
        <v/>
      </c>
      <c r="FL80" s="108" t="str">
        <f t="shared" si="137"/>
        <v/>
      </c>
      <c r="FM80" s="108" t="str">
        <f t="shared" si="137"/>
        <v/>
      </c>
      <c r="FN80" s="108" t="str">
        <f t="shared" si="137"/>
        <v/>
      </c>
      <c r="FO80" s="108" t="str">
        <f t="shared" si="138"/>
        <v/>
      </c>
      <c r="FP80" s="108" t="str">
        <f t="shared" si="138"/>
        <v/>
      </c>
      <c r="FQ80" s="108" t="str">
        <f t="shared" si="138"/>
        <v/>
      </c>
      <c r="FR80" s="108" t="str">
        <f t="shared" si="138"/>
        <v/>
      </c>
      <c r="FS80" s="108" t="str">
        <f t="shared" si="138"/>
        <v/>
      </c>
      <c r="FT80" s="108" t="str">
        <f t="shared" si="138"/>
        <v/>
      </c>
      <c r="FU80" s="108" t="str">
        <f t="shared" si="138"/>
        <v/>
      </c>
      <c r="FV80" s="108" t="str">
        <f t="shared" si="138"/>
        <v/>
      </c>
      <c r="FW80" s="110" t="str">
        <f t="shared" si="138"/>
        <v/>
      </c>
    </row>
    <row r="81" spans="2:179" s="101" customFormat="1" ht="21" customHeight="1" x14ac:dyDescent="0.35">
      <c r="B81" s="27" t="e">
        <f>Portfolio_Daten!#REF!</f>
        <v>#REF!</v>
      </c>
      <c r="C81" s="27">
        <f>Portfolio_Daten!B82</f>
        <v>0</v>
      </c>
      <c r="D81" s="28">
        <f>Portfolio_Daten!E82</f>
        <v>0</v>
      </c>
      <c r="E81" s="31">
        <f>Portfolio_Daten!T82</f>
        <v>0</v>
      </c>
      <c r="F81" s="31">
        <f>Portfolio_Daten!U82</f>
        <v>0</v>
      </c>
      <c r="G81" s="107">
        <f>IF(F81="","",NETWORKDAYS(E81,F81,Parameter!$C$4:$C$51))</f>
        <v>0</v>
      </c>
      <c r="H81" s="29">
        <f>Portfolio_Daten!AG82</f>
        <v>0</v>
      </c>
      <c r="I81" s="33">
        <f>Portfolio_Daten!AI82</f>
        <v>0</v>
      </c>
      <c r="J81" s="106"/>
      <c r="K81" s="108" t="str">
        <f t="shared" si="122"/>
        <v/>
      </c>
      <c r="L81" s="108" t="str">
        <f t="shared" si="122"/>
        <v/>
      </c>
      <c r="M81" s="108" t="str">
        <f t="shared" si="122"/>
        <v/>
      </c>
      <c r="N81" s="108" t="str">
        <f t="shared" si="122"/>
        <v/>
      </c>
      <c r="O81" s="108" t="str">
        <f t="shared" si="122"/>
        <v/>
      </c>
      <c r="P81" s="108" t="str">
        <f t="shared" si="122"/>
        <v/>
      </c>
      <c r="Q81" s="108" t="str">
        <f t="shared" si="122"/>
        <v/>
      </c>
      <c r="R81" s="108" t="str">
        <f t="shared" si="122"/>
        <v/>
      </c>
      <c r="S81" s="108" t="str">
        <f t="shared" si="122"/>
        <v/>
      </c>
      <c r="T81" s="108" t="str">
        <f t="shared" si="122"/>
        <v/>
      </c>
      <c r="U81" s="108" t="str">
        <f t="shared" si="123"/>
        <v/>
      </c>
      <c r="V81" s="108" t="str">
        <f t="shared" si="123"/>
        <v/>
      </c>
      <c r="W81" s="108" t="str">
        <f t="shared" si="123"/>
        <v/>
      </c>
      <c r="X81" s="108" t="str">
        <f t="shared" si="123"/>
        <v/>
      </c>
      <c r="Y81" s="108" t="str">
        <f t="shared" si="123"/>
        <v/>
      </c>
      <c r="Z81" s="108" t="str">
        <f t="shared" si="123"/>
        <v/>
      </c>
      <c r="AA81" s="108" t="str">
        <f t="shared" si="123"/>
        <v/>
      </c>
      <c r="AB81" s="108" t="str">
        <f t="shared" si="123"/>
        <v/>
      </c>
      <c r="AC81" s="108" t="str">
        <f t="shared" si="123"/>
        <v/>
      </c>
      <c r="AD81" s="108" t="str">
        <f t="shared" si="123"/>
        <v/>
      </c>
      <c r="AE81" s="108" t="str">
        <f t="shared" si="124"/>
        <v/>
      </c>
      <c r="AF81" s="108" t="str">
        <f t="shared" si="124"/>
        <v/>
      </c>
      <c r="AG81" s="108" t="str">
        <f t="shared" si="124"/>
        <v/>
      </c>
      <c r="AH81" s="108" t="str">
        <f t="shared" si="124"/>
        <v/>
      </c>
      <c r="AI81" s="108" t="str">
        <f t="shared" si="124"/>
        <v/>
      </c>
      <c r="AJ81" s="108" t="str">
        <f t="shared" si="124"/>
        <v/>
      </c>
      <c r="AK81" s="108" t="str">
        <f t="shared" si="124"/>
        <v/>
      </c>
      <c r="AL81" s="108" t="str">
        <f t="shared" si="124"/>
        <v/>
      </c>
      <c r="AM81" s="108" t="str">
        <f t="shared" si="124"/>
        <v/>
      </c>
      <c r="AN81" s="108" t="str">
        <f t="shared" si="124"/>
        <v/>
      </c>
      <c r="AO81" s="108" t="str">
        <f t="shared" si="125"/>
        <v/>
      </c>
      <c r="AP81" s="108" t="str">
        <f t="shared" si="125"/>
        <v/>
      </c>
      <c r="AQ81" s="108" t="str">
        <f t="shared" si="125"/>
        <v/>
      </c>
      <c r="AR81" s="108" t="str">
        <f t="shared" si="125"/>
        <v/>
      </c>
      <c r="AS81" s="108" t="str">
        <f t="shared" si="125"/>
        <v/>
      </c>
      <c r="AT81" s="108" t="str">
        <f t="shared" si="125"/>
        <v/>
      </c>
      <c r="AU81" s="108" t="str">
        <f t="shared" si="125"/>
        <v/>
      </c>
      <c r="AV81" s="108" t="str">
        <f t="shared" si="125"/>
        <v/>
      </c>
      <c r="AW81" s="108" t="str">
        <f t="shared" si="125"/>
        <v/>
      </c>
      <c r="AX81" s="108" t="str">
        <f t="shared" si="125"/>
        <v/>
      </c>
      <c r="AY81" s="108" t="str">
        <f t="shared" si="126"/>
        <v/>
      </c>
      <c r="AZ81" s="108" t="str">
        <f t="shared" si="126"/>
        <v/>
      </c>
      <c r="BA81" s="108" t="str">
        <f t="shared" si="126"/>
        <v/>
      </c>
      <c r="BB81" s="108" t="str">
        <f t="shared" si="126"/>
        <v/>
      </c>
      <c r="BC81" s="108" t="str">
        <f t="shared" si="126"/>
        <v/>
      </c>
      <c r="BD81" s="108" t="str">
        <f t="shared" si="126"/>
        <v/>
      </c>
      <c r="BE81" s="108" t="str">
        <f t="shared" si="126"/>
        <v/>
      </c>
      <c r="BF81" s="108" t="str">
        <f t="shared" si="126"/>
        <v/>
      </c>
      <c r="BG81" s="108" t="str">
        <f t="shared" si="126"/>
        <v/>
      </c>
      <c r="BH81" s="108" t="str">
        <f t="shared" si="126"/>
        <v/>
      </c>
      <c r="BI81" s="108" t="str">
        <f t="shared" si="127"/>
        <v/>
      </c>
      <c r="BJ81" s="108" t="str">
        <f t="shared" si="127"/>
        <v/>
      </c>
      <c r="BK81" s="108" t="str">
        <f t="shared" si="127"/>
        <v/>
      </c>
      <c r="BL81" s="108" t="str">
        <f t="shared" si="127"/>
        <v/>
      </c>
      <c r="BM81" s="108" t="str">
        <f t="shared" si="127"/>
        <v/>
      </c>
      <c r="BN81" s="108" t="str">
        <f t="shared" si="127"/>
        <v/>
      </c>
      <c r="BO81" s="108" t="str">
        <f t="shared" si="127"/>
        <v/>
      </c>
      <c r="BP81" s="108" t="str">
        <f t="shared" si="127"/>
        <v/>
      </c>
      <c r="BQ81" s="108" t="str">
        <f t="shared" si="127"/>
        <v/>
      </c>
      <c r="BR81" s="108" t="str">
        <f t="shared" si="127"/>
        <v/>
      </c>
      <c r="BS81" s="108" t="str">
        <f t="shared" si="128"/>
        <v/>
      </c>
      <c r="BT81" s="108" t="str">
        <f t="shared" si="128"/>
        <v/>
      </c>
      <c r="BU81" s="108" t="str">
        <f t="shared" si="128"/>
        <v/>
      </c>
      <c r="BV81" s="108" t="str">
        <f t="shared" si="128"/>
        <v/>
      </c>
      <c r="BW81" s="108" t="str">
        <f t="shared" si="128"/>
        <v/>
      </c>
      <c r="BX81" s="108" t="str">
        <f t="shared" si="128"/>
        <v/>
      </c>
      <c r="BY81" s="108" t="str">
        <f t="shared" si="128"/>
        <v/>
      </c>
      <c r="BZ81" s="108" t="str">
        <f t="shared" si="128"/>
        <v/>
      </c>
      <c r="CA81" s="108" t="str">
        <f t="shared" si="128"/>
        <v/>
      </c>
      <c r="CB81" s="108" t="str">
        <f t="shared" si="128"/>
        <v/>
      </c>
      <c r="CC81" s="108" t="str">
        <f t="shared" si="129"/>
        <v/>
      </c>
      <c r="CD81" s="108" t="str">
        <f t="shared" si="129"/>
        <v/>
      </c>
      <c r="CE81" s="108" t="str">
        <f t="shared" si="129"/>
        <v/>
      </c>
      <c r="CF81" s="108" t="str">
        <f t="shared" si="129"/>
        <v/>
      </c>
      <c r="CG81" s="108" t="str">
        <f t="shared" si="129"/>
        <v/>
      </c>
      <c r="CH81" s="108" t="str">
        <f t="shared" si="129"/>
        <v/>
      </c>
      <c r="CI81" s="108" t="str">
        <f t="shared" si="129"/>
        <v/>
      </c>
      <c r="CJ81" s="108" t="str">
        <f t="shared" si="129"/>
        <v/>
      </c>
      <c r="CK81" s="108" t="str">
        <f t="shared" si="129"/>
        <v/>
      </c>
      <c r="CL81" s="108" t="str">
        <f t="shared" si="129"/>
        <v/>
      </c>
      <c r="CM81" s="108" t="str">
        <f t="shared" si="130"/>
        <v/>
      </c>
      <c r="CN81" s="108" t="str">
        <f t="shared" si="130"/>
        <v/>
      </c>
      <c r="CO81" s="108" t="str">
        <f t="shared" si="130"/>
        <v/>
      </c>
      <c r="CP81" s="108" t="str">
        <f t="shared" si="130"/>
        <v/>
      </c>
      <c r="CQ81" s="108" t="str">
        <f t="shared" si="130"/>
        <v/>
      </c>
      <c r="CR81" s="109" t="str">
        <f t="shared" si="130"/>
        <v/>
      </c>
      <c r="CS81" s="108" t="str">
        <f t="shared" si="130"/>
        <v/>
      </c>
      <c r="CT81" s="108" t="str">
        <f t="shared" si="130"/>
        <v/>
      </c>
      <c r="CU81" s="108" t="str">
        <f t="shared" si="130"/>
        <v/>
      </c>
      <c r="CV81" s="108" t="str">
        <f t="shared" si="130"/>
        <v/>
      </c>
      <c r="CW81" s="108" t="str">
        <f t="shared" si="131"/>
        <v/>
      </c>
      <c r="CX81" s="108" t="str">
        <f t="shared" si="131"/>
        <v/>
      </c>
      <c r="CY81" s="108" t="str">
        <f t="shared" si="131"/>
        <v/>
      </c>
      <c r="CZ81" s="109" t="str">
        <f t="shared" si="131"/>
        <v/>
      </c>
      <c r="DA81" s="108" t="str">
        <f t="shared" si="131"/>
        <v/>
      </c>
      <c r="DB81" s="108" t="str">
        <f t="shared" si="131"/>
        <v/>
      </c>
      <c r="DC81" s="108" t="str">
        <f t="shared" si="131"/>
        <v/>
      </c>
      <c r="DD81" s="108" t="str">
        <f t="shared" si="131"/>
        <v/>
      </c>
      <c r="DE81" s="108" t="str">
        <f t="shared" si="131"/>
        <v/>
      </c>
      <c r="DF81" s="108" t="str">
        <f t="shared" si="131"/>
        <v/>
      </c>
      <c r="DG81" s="108" t="str">
        <f t="shared" si="132"/>
        <v/>
      </c>
      <c r="DH81" s="109" t="str">
        <f t="shared" si="132"/>
        <v/>
      </c>
      <c r="DI81" s="108" t="str">
        <f t="shared" si="132"/>
        <v/>
      </c>
      <c r="DJ81" s="108" t="str">
        <f t="shared" si="132"/>
        <v/>
      </c>
      <c r="DK81" s="108" t="str">
        <f t="shared" si="132"/>
        <v/>
      </c>
      <c r="DL81" s="108" t="str">
        <f t="shared" si="132"/>
        <v/>
      </c>
      <c r="DM81" s="108" t="str">
        <f t="shared" si="132"/>
        <v/>
      </c>
      <c r="DN81" s="108" t="str">
        <f t="shared" si="132"/>
        <v/>
      </c>
      <c r="DO81" s="109" t="str">
        <f t="shared" si="132"/>
        <v/>
      </c>
      <c r="DP81" s="108" t="str">
        <f t="shared" si="132"/>
        <v/>
      </c>
      <c r="DQ81" s="108" t="str">
        <f t="shared" si="133"/>
        <v/>
      </c>
      <c r="DR81" s="108" t="str">
        <f t="shared" si="133"/>
        <v/>
      </c>
      <c r="DS81" s="108" t="str">
        <f t="shared" si="133"/>
        <v/>
      </c>
      <c r="DT81" s="108" t="str">
        <f t="shared" si="133"/>
        <v/>
      </c>
      <c r="DU81" s="108" t="str">
        <f t="shared" si="133"/>
        <v/>
      </c>
      <c r="DV81" s="108" t="str">
        <f t="shared" si="133"/>
        <v/>
      </c>
      <c r="DW81" s="109" t="str">
        <f t="shared" si="133"/>
        <v/>
      </c>
      <c r="DX81" s="108" t="str">
        <f t="shared" si="133"/>
        <v/>
      </c>
      <c r="DY81" s="108" t="str">
        <f t="shared" si="133"/>
        <v/>
      </c>
      <c r="DZ81" s="108" t="str">
        <f t="shared" si="133"/>
        <v/>
      </c>
      <c r="EA81" s="108" t="str">
        <f t="shared" si="134"/>
        <v/>
      </c>
      <c r="EB81" s="108" t="str">
        <f t="shared" si="134"/>
        <v/>
      </c>
      <c r="EC81" s="108" t="str">
        <f t="shared" si="134"/>
        <v/>
      </c>
      <c r="ED81" s="109" t="str">
        <f t="shared" si="134"/>
        <v/>
      </c>
      <c r="EE81" s="108" t="str">
        <f t="shared" si="134"/>
        <v/>
      </c>
      <c r="EF81" s="108" t="str">
        <f t="shared" si="134"/>
        <v/>
      </c>
      <c r="EG81" s="108" t="str">
        <f t="shared" si="134"/>
        <v/>
      </c>
      <c r="EH81" s="108" t="str">
        <f t="shared" si="134"/>
        <v/>
      </c>
      <c r="EI81" s="108" t="str">
        <f t="shared" si="134"/>
        <v/>
      </c>
      <c r="EJ81" s="108" t="str">
        <f t="shared" si="134"/>
        <v/>
      </c>
      <c r="EK81" s="108" t="str">
        <f t="shared" si="135"/>
        <v/>
      </c>
      <c r="EL81" s="108" t="str">
        <f t="shared" si="135"/>
        <v/>
      </c>
      <c r="EM81" s="108" t="str">
        <f t="shared" si="135"/>
        <v/>
      </c>
      <c r="EN81" s="108" t="str">
        <f t="shared" si="135"/>
        <v/>
      </c>
      <c r="EO81" s="108" t="str">
        <f t="shared" si="135"/>
        <v/>
      </c>
      <c r="EP81" s="108" t="str">
        <f t="shared" si="135"/>
        <v/>
      </c>
      <c r="EQ81" s="108" t="str">
        <f t="shared" si="135"/>
        <v/>
      </c>
      <c r="ER81" s="108" t="str">
        <f t="shared" si="135"/>
        <v/>
      </c>
      <c r="ES81" s="109" t="str">
        <f t="shared" si="135"/>
        <v/>
      </c>
      <c r="ET81" s="108" t="str">
        <f t="shared" si="135"/>
        <v/>
      </c>
      <c r="EU81" s="108" t="str">
        <f t="shared" si="136"/>
        <v/>
      </c>
      <c r="EV81" s="108" t="str">
        <f t="shared" si="136"/>
        <v/>
      </c>
      <c r="EW81" s="108" t="str">
        <f t="shared" si="136"/>
        <v/>
      </c>
      <c r="EX81" s="108" t="str">
        <f t="shared" si="136"/>
        <v/>
      </c>
      <c r="EY81" s="108" t="str">
        <f t="shared" si="136"/>
        <v/>
      </c>
      <c r="EZ81" s="108" t="str">
        <f t="shared" si="136"/>
        <v/>
      </c>
      <c r="FA81" s="108" t="str">
        <f t="shared" si="136"/>
        <v/>
      </c>
      <c r="FB81" s="108" t="str">
        <f t="shared" si="136"/>
        <v/>
      </c>
      <c r="FC81" s="108" t="str">
        <f t="shared" si="136"/>
        <v/>
      </c>
      <c r="FD81" s="108" t="str">
        <f t="shared" si="136"/>
        <v/>
      </c>
      <c r="FE81" s="108" t="str">
        <f t="shared" si="137"/>
        <v/>
      </c>
      <c r="FF81" s="109" t="str">
        <f t="shared" si="137"/>
        <v/>
      </c>
      <c r="FG81" s="108" t="str">
        <f t="shared" si="137"/>
        <v/>
      </c>
      <c r="FH81" s="108" t="str">
        <f t="shared" si="137"/>
        <v/>
      </c>
      <c r="FI81" s="108" t="str">
        <f t="shared" si="137"/>
        <v/>
      </c>
      <c r="FJ81" s="108" t="str">
        <f t="shared" si="137"/>
        <v/>
      </c>
      <c r="FK81" s="108" t="str">
        <f t="shared" si="137"/>
        <v/>
      </c>
      <c r="FL81" s="108" t="str">
        <f t="shared" si="137"/>
        <v/>
      </c>
      <c r="FM81" s="108" t="str">
        <f t="shared" si="137"/>
        <v/>
      </c>
      <c r="FN81" s="108" t="str">
        <f t="shared" si="137"/>
        <v/>
      </c>
      <c r="FO81" s="108" t="str">
        <f t="shared" si="138"/>
        <v/>
      </c>
      <c r="FP81" s="108" t="str">
        <f t="shared" si="138"/>
        <v/>
      </c>
      <c r="FQ81" s="108" t="str">
        <f t="shared" si="138"/>
        <v/>
      </c>
      <c r="FR81" s="108" t="str">
        <f t="shared" si="138"/>
        <v/>
      </c>
      <c r="FS81" s="108" t="str">
        <f t="shared" si="138"/>
        <v/>
      </c>
      <c r="FT81" s="108" t="str">
        <f t="shared" si="138"/>
        <v/>
      </c>
      <c r="FU81" s="108" t="str">
        <f t="shared" si="138"/>
        <v/>
      </c>
      <c r="FV81" s="108" t="str">
        <f t="shared" si="138"/>
        <v/>
      </c>
      <c r="FW81" s="110" t="str">
        <f t="shared" si="138"/>
        <v/>
      </c>
    </row>
    <row r="82" spans="2:179" s="101" customFormat="1" ht="21" customHeight="1" x14ac:dyDescent="0.35">
      <c r="B82" s="27" t="e">
        <f>Portfolio_Daten!#REF!</f>
        <v>#REF!</v>
      </c>
      <c r="C82" s="27">
        <f>Portfolio_Daten!B83</f>
        <v>0</v>
      </c>
      <c r="D82" s="28">
        <f>Portfolio_Daten!E83</f>
        <v>0</v>
      </c>
      <c r="E82" s="31">
        <f>Portfolio_Daten!T83</f>
        <v>0</v>
      </c>
      <c r="F82" s="31">
        <f>Portfolio_Daten!U83</f>
        <v>0</v>
      </c>
      <c r="G82" s="107">
        <f>IF(F82="","",NETWORKDAYS(E82,F82,Parameter!$C$4:$C$51))</f>
        <v>0</v>
      </c>
      <c r="H82" s="29">
        <f>Portfolio_Daten!AG83</f>
        <v>0</v>
      </c>
      <c r="I82" s="33">
        <f>Portfolio_Daten!AI83</f>
        <v>0</v>
      </c>
      <c r="J82" s="106"/>
      <c r="K82" s="108" t="str">
        <f t="shared" si="122"/>
        <v/>
      </c>
      <c r="L82" s="108" t="str">
        <f t="shared" si="122"/>
        <v/>
      </c>
      <c r="M82" s="108" t="str">
        <f t="shared" si="122"/>
        <v/>
      </c>
      <c r="N82" s="108" t="str">
        <f t="shared" si="122"/>
        <v/>
      </c>
      <c r="O82" s="108" t="str">
        <f t="shared" si="122"/>
        <v/>
      </c>
      <c r="P82" s="108" t="str">
        <f t="shared" si="122"/>
        <v/>
      </c>
      <c r="Q82" s="108" t="str">
        <f t="shared" si="122"/>
        <v/>
      </c>
      <c r="R82" s="108" t="str">
        <f t="shared" si="122"/>
        <v/>
      </c>
      <c r="S82" s="108" t="str">
        <f t="shared" si="122"/>
        <v/>
      </c>
      <c r="T82" s="108" t="str">
        <f t="shared" si="122"/>
        <v/>
      </c>
      <c r="U82" s="108" t="str">
        <f t="shared" si="123"/>
        <v/>
      </c>
      <c r="V82" s="108" t="str">
        <f t="shared" si="123"/>
        <v/>
      </c>
      <c r="W82" s="108" t="str">
        <f t="shared" si="123"/>
        <v/>
      </c>
      <c r="X82" s="108" t="str">
        <f t="shared" si="123"/>
        <v/>
      </c>
      <c r="Y82" s="108" t="str">
        <f t="shared" si="123"/>
        <v/>
      </c>
      <c r="Z82" s="108" t="str">
        <f t="shared" si="123"/>
        <v/>
      </c>
      <c r="AA82" s="108" t="str">
        <f t="shared" si="123"/>
        <v/>
      </c>
      <c r="AB82" s="108" t="str">
        <f t="shared" si="123"/>
        <v/>
      </c>
      <c r="AC82" s="108" t="str">
        <f t="shared" si="123"/>
        <v/>
      </c>
      <c r="AD82" s="108" t="str">
        <f t="shared" si="123"/>
        <v/>
      </c>
      <c r="AE82" s="108" t="str">
        <f t="shared" si="124"/>
        <v/>
      </c>
      <c r="AF82" s="108" t="str">
        <f t="shared" si="124"/>
        <v/>
      </c>
      <c r="AG82" s="108" t="str">
        <f t="shared" si="124"/>
        <v/>
      </c>
      <c r="AH82" s="108" t="str">
        <f t="shared" si="124"/>
        <v/>
      </c>
      <c r="AI82" s="108" t="str">
        <f t="shared" si="124"/>
        <v/>
      </c>
      <c r="AJ82" s="108" t="str">
        <f t="shared" si="124"/>
        <v/>
      </c>
      <c r="AK82" s="108" t="str">
        <f t="shared" si="124"/>
        <v/>
      </c>
      <c r="AL82" s="108" t="str">
        <f t="shared" si="124"/>
        <v/>
      </c>
      <c r="AM82" s="108" t="str">
        <f t="shared" si="124"/>
        <v/>
      </c>
      <c r="AN82" s="108" t="str">
        <f t="shared" si="124"/>
        <v/>
      </c>
      <c r="AO82" s="108" t="str">
        <f t="shared" si="125"/>
        <v/>
      </c>
      <c r="AP82" s="108" t="str">
        <f t="shared" si="125"/>
        <v/>
      </c>
      <c r="AQ82" s="108" t="str">
        <f t="shared" si="125"/>
        <v/>
      </c>
      <c r="AR82" s="108" t="str">
        <f t="shared" si="125"/>
        <v/>
      </c>
      <c r="AS82" s="108" t="str">
        <f t="shared" si="125"/>
        <v/>
      </c>
      <c r="AT82" s="108" t="str">
        <f t="shared" si="125"/>
        <v/>
      </c>
      <c r="AU82" s="108" t="str">
        <f t="shared" si="125"/>
        <v/>
      </c>
      <c r="AV82" s="108" t="str">
        <f t="shared" si="125"/>
        <v/>
      </c>
      <c r="AW82" s="108" t="str">
        <f t="shared" si="125"/>
        <v/>
      </c>
      <c r="AX82" s="108" t="str">
        <f t="shared" si="125"/>
        <v/>
      </c>
      <c r="AY82" s="108" t="str">
        <f t="shared" si="126"/>
        <v/>
      </c>
      <c r="AZ82" s="108" t="str">
        <f t="shared" si="126"/>
        <v/>
      </c>
      <c r="BA82" s="108" t="str">
        <f t="shared" si="126"/>
        <v/>
      </c>
      <c r="BB82" s="108" t="str">
        <f t="shared" si="126"/>
        <v/>
      </c>
      <c r="BC82" s="108" t="str">
        <f t="shared" si="126"/>
        <v/>
      </c>
      <c r="BD82" s="108" t="str">
        <f t="shared" si="126"/>
        <v/>
      </c>
      <c r="BE82" s="108" t="str">
        <f t="shared" si="126"/>
        <v/>
      </c>
      <c r="BF82" s="108" t="str">
        <f t="shared" si="126"/>
        <v/>
      </c>
      <c r="BG82" s="108" t="str">
        <f t="shared" si="126"/>
        <v/>
      </c>
      <c r="BH82" s="108" t="str">
        <f t="shared" si="126"/>
        <v/>
      </c>
      <c r="BI82" s="108" t="str">
        <f t="shared" si="127"/>
        <v/>
      </c>
      <c r="BJ82" s="108" t="str">
        <f t="shared" si="127"/>
        <v/>
      </c>
      <c r="BK82" s="108" t="str">
        <f t="shared" si="127"/>
        <v/>
      </c>
      <c r="BL82" s="108" t="str">
        <f t="shared" si="127"/>
        <v/>
      </c>
      <c r="BM82" s="108" t="str">
        <f t="shared" si="127"/>
        <v/>
      </c>
      <c r="BN82" s="108" t="str">
        <f t="shared" si="127"/>
        <v/>
      </c>
      <c r="BO82" s="108" t="str">
        <f t="shared" si="127"/>
        <v/>
      </c>
      <c r="BP82" s="108" t="str">
        <f t="shared" si="127"/>
        <v/>
      </c>
      <c r="BQ82" s="108" t="str">
        <f t="shared" si="127"/>
        <v/>
      </c>
      <c r="BR82" s="108" t="str">
        <f t="shared" si="127"/>
        <v/>
      </c>
      <c r="BS82" s="108" t="str">
        <f t="shared" si="128"/>
        <v/>
      </c>
      <c r="BT82" s="108" t="str">
        <f t="shared" si="128"/>
        <v/>
      </c>
      <c r="BU82" s="108" t="str">
        <f t="shared" si="128"/>
        <v/>
      </c>
      <c r="BV82" s="108" t="str">
        <f t="shared" si="128"/>
        <v/>
      </c>
      <c r="BW82" s="108" t="str">
        <f t="shared" si="128"/>
        <v/>
      </c>
      <c r="BX82" s="108" t="str">
        <f t="shared" si="128"/>
        <v/>
      </c>
      <c r="BY82" s="108" t="str">
        <f t="shared" si="128"/>
        <v/>
      </c>
      <c r="BZ82" s="108" t="str">
        <f t="shared" si="128"/>
        <v/>
      </c>
      <c r="CA82" s="108" t="str">
        <f t="shared" si="128"/>
        <v/>
      </c>
      <c r="CB82" s="108" t="str">
        <f t="shared" si="128"/>
        <v/>
      </c>
      <c r="CC82" s="108" t="str">
        <f t="shared" si="129"/>
        <v/>
      </c>
      <c r="CD82" s="108" t="str">
        <f t="shared" si="129"/>
        <v/>
      </c>
      <c r="CE82" s="108" t="str">
        <f t="shared" si="129"/>
        <v/>
      </c>
      <c r="CF82" s="108" t="str">
        <f t="shared" si="129"/>
        <v/>
      </c>
      <c r="CG82" s="108" t="str">
        <f t="shared" si="129"/>
        <v/>
      </c>
      <c r="CH82" s="108" t="str">
        <f t="shared" si="129"/>
        <v/>
      </c>
      <c r="CI82" s="108" t="str">
        <f t="shared" si="129"/>
        <v/>
      </c>
      <c r="CJ82" s="108" t="str">
        <f t="shared" si="129"/>
        <v/>
      </c>
      <c r="CK82" s="108" t="str">
        <f t="shared" si="129"/>
        <v/>
      </c>
      <c r="CL82" s="108" t="str">
        <f t="shared" si="129"/>
        <v/>
      </c>
      <c r="CM82" s="108" t="str">
        <f t="shared" si="130"/>
        <v/>
      </c>
      <c r="CN82" s="108" t="str">
        <f t="shared" si="130"/>
        <v/>
      </c>
      <c r="CO82" s="108" t="str">
        <f t="shared" si="130"/>
        <v/>
      </c>
      <c r="CP82" s="108" t="str">
        <f t="shared" si="130"/>
        <v/>
      </c>
      <c r="CQ82" s="108" t="str">
        <f t="shared" si="130"/>
        <v/>
      </c>
      <c r="CR82" s="109" t="str">
        <f t="shared" si="130"/>
        <v/>
      </c>
      <c r="CS82" s="108" t="str">
        <f t="shared" si="130"/>
        <v/>
      </c>
      <c r="CT82" s="108" t="str">
        <f t="shared" si="130"/>
        <v/>
      </c>
      <c r="CU82" s="108" t="str">
        <f t="shared" si="130"/>
        <v/>
      </c>
      <c r="CV82" s="108" t="str">
        <f t="shared" si="130"/>
        <v/>
      </c>
      <c r="CW82" s="108" t="str">
        <f t="shared" si="131"/>
        <v/>
      </c>
      <c r="CX82" s="108" t="str">
        <f t="shared" si="131"/>
        <v/>
      </c>
      <c r="CY82" s="108" t="str">
        <f t="shared" si="131"/>
        <v/>
      </c>
      <c r="CZ82" s="109" t="str">
        <f t="shared" si="131"/>
        <v/>
      </c>
      <c r="DA82" s="108" t="str">
        <f t="shared" si="131"/>
        <v/>
      </c>
      <c r="DB82" s="108" t="str">
        <f t="shared" si="131"/>
        <v/>
      </c>
      <c r="DC82" s="108" t="str">
        <f t="shared" si="131"/>
        <v/>
      </c>
      <c r="DD82" s="108" t="str">
        <f t="shared" si="131"/>
        <v/>
      </c>
      <c r="DE82" s="108" t="str">
        <f t="shared" si="131"/>
        <v/>
      </c>
      <c r="DF82" s="108" t="str">
        <f t="shared" si="131"/>
        <v/>
      </c>
      <c r="DG82" s="108" t="str">
        <f t="shared" si="132"/>
        <v/>
      </c>
      <c r="DH82" s="109" t="str">
        <f t="shared" si="132"/>
        <v/>
      </c>
      <c r="DI82" s="108" t="str">
        <f t="shared" si="132"/>
        <v/>
      </c>
      <c r="DJ82" s="108" t="str">
        <f t="shared" si="132"/>
        <v/>
      </c>
      <c r="DK82" s="108" t="str">
        <f t="shared" si="132"/>
        <v/>
      </c>
      <c r="DL82" s="108" t="str">
        <f t="shared" si="132"/>
        <v/>
      </c>
      <c r="DM82" s="108" t="str">
        <f t="shared" si="132"/>
        <v/>
      </c>
      <c r="DN82" s="108" t="str">
        <f t="shared" si="132"/>
        <v/>
      </c>
      <c r="DO82" s="109" t="str">
        <f t="shared" si="132"/>
        <v/>
      </c>
      <c r="DP82" s="108" t="str">
        <f t="shared" si="132"/>
        <v/>
      </c>
      <c r="DQ82" s="108" t="str">
        <f t="shared" si="133"/>
        <v/>
      </c>
      <c r="DR82" s="108" t="str">
        <f t="shared" si="133"/>
        <v/>
      </c>
      <c r="DS82" s="108" t="str">
        <f t="shared" si="133"/>
        <v/>
      </c>
      <c r="DT82" s="108" t="str">
        <f t="shared" si="133"/>
        <v/>
      </c>
      <c r="DU82" s="108" t="str">
        <f t="shared" si="133"/>
        <v/>
      </c>
      <c r="DV82" s="108" t="str">
        <f t="shared" si="133"/>
        <v/>
      </c>
      <c r="DW82" s="109" t="str">
        <f t="shared" si="133"/>
        <v/>
      </c>
      <c r="DX82" s="108" t="str">
        <f t="shared" si="133"/>
        <v/>
      </c>
      <c r="DY82" s="108" t="str">
        <f t="shared" si="133"/>
        <v/>
      </c>
      <c r="DZ82" s="108" t="str">
        <f t="shared" si="133"/>
        <v/>
      </c>
      <c r="EA82" s="108" t="str">
        <f t="shared" si="134"/>
        <v/>
      </c>
      <c r="EB82" s="108" t="str">
        <f t="shared" si="134"/>
        <v/>
      </c>
      <c r="EC82" s="108" t="str">
        <f t="shared" si="134"/>
        <v/>
      </c>
      <c r="ED82" s="109" t="str">
        <f t="shared" si="134"/>
        <v/>
      </c>
      <c r="EE82" s="108" t="str">
        <f t="shared" si="134"/>
        <v/>
      </c>
      <c r="EF82" s="108" t="str">
        <f t="shared" si="134"/>
        <v/>
      </c>
      <c r="EG82" s="108" t="str">
        <f t="shared" si="134"/>
        <v/>
      </c>
      <c r="EH82" s="108" t="str">
        <f t="shared" si="134"/>
        <v/>
      </c>
      <c r="EI82" s="108" t="str">
        <f t="shared" si="134"/>
        <v/>
      </c>
      <c r="EJ82" s="108" t="str">
        <f t="shared" si="134"/>
        <v/>
      </c>
      <c r="EK82" s="108" t="str">
        <f t="shared" si="135"/>
        <v/>
      </c>
      <c r="EL82" s="108" t="str">
        <f t="shared" si="135"/>
        <v/>
      </c>
      <c r="EM82" s="108" t="str">
        <f t="shared" si="135"/>
        <v/>
      </c>
      <c r="EN82" s="108" t="str">
        <f t="shared" si="135"/>
        <v/>
      </c>
      <c r="EO82" s="108" t="str">
        <f t="shared" si="135"/>
        <v/>
      </c>
      <c r="EP82" s="108" t="str">
        <f t="shared" si="135"/>
        <v/>
      </c>
      <c r="EQ82" s="108" t="str">
        <f t="shared" si="135"/>
        <v/>
      </c>
      <c r="ER82" s="108" t="str">
        <f t="shared" si="135"/>
        <v/>
      </c>
      <c r="ES82" s="109" t="str">
        <f t="shared" si="135"/>
        <v/>
      </c>
      <c r="ET82" s="108" t="str">
        <f t="shared" si="135"/>
        <v/>
      </c>
      <c r="EU82" s="108" t="str">
        <f t="shared" si="136"/>
        <v/>
      </c>
      <c r="EV82" s="108" t="str">
        <f t="shared" si="136"/>
        <v/>
      </c>
      <c r="EW82" s="108" t="str">
        <f t="shared" si="136"/>
        <v/>
      </c>
      <c r="EX82" s="108" t="str">
        <f t="shared" si="136"/>
        <v/>
      </c>
      <c r="EY82" s="108" t="str">
        <f t="shared" si="136"/>
        <v/>
      </c>
      <c r="EZ82" s="108" t="str">
        <f t="shared" si="136"/>
        <v/>
      </c>
      <c r="FA82" s="108" t="str">
        <f t="shared" si="136"/>
        <v/>
      </c>
      <c r="FB82" s="108" t="str">
        <f t="shared" si="136"/>
        <v/>
      </c>
      <c r="FC82" s="108" t="str">
        <f t="shared" si="136"/>
        <v/>
      </c>
      <c r="FD82" s="108" t="str">
        <f t="shared" si="136"/>
        <v/>
      </c>
      <c r="FE82" s="108" t="str">
        <f t="shared" si="137"/>
        <v/>
      </c>
      <c r="FF82" s="109" t="str">
        <f t="shared" si="137"/>
        <v/>
      </c>
      <c r="FG82" s="108" t="str">
        <f t="shared" si="137"/>
        <v/>
      </c>
      <c r="FH82" s="108" t="str">
        <f t="shared" si="137"/>
        <v/>
      </c>
      <c r="FI82" s="108" t="str">
        <f t="shared" si="137"/>
        <v/>
      </c>
      <c r="FJ82" s="108" t="str">
        <f t="shared" si="137"/>
        <v/>
      </c>
      <c r="FK82" s="108" t="str">
        <f t="shared" si="137"/>
        <v/>
      </c>
      <c r="FL82" s="108" t="str">
        <f t="shared" si="137"/>
        <v/>
      </c>
      <c r="FM82" s="108" t="str">
        <f t="shared" si="137"/>
        <v/>
      </c>
      <c r="FN82" s="108" t="str">
        <f t="shared" si="137"/>
        <v/>
      </c>
      <c r="FO82" s="108" t="str">
        <f t="shared" si="138"/>
        <v/>
      </c>
      <c r="FP82" s="108" t="str">
        <f t="shared" si="138"/>
        <v/>
      </c>
      <c r="FQ82" s="108" t="str">
        <f t="shared" si="138"/>
        <v/>
      </c>
      <c r="FR82" s="108" t="str">
        <f t="shared" si="138"/>
        <v/>
      </c>
      <c r="FS82" s="108" t="str">
        <f t="shared" si="138"/>
        <v/>
      </c>
      <c r="FT82" s="108" t="str">
        <f t="shared" si="138"/>
        <v/>
      </c>
      <c r="FU82" s="108" t="str">
        <f t="shared" si="138"/>
        <v/>
      </c>
      <c r="FV82" s="108" t="str">
        <f t="shared" si="138"/>
        <v/>
      </c>
      <c r="FW82" s="110" t="str">
        <f t="shared" si="138"/>
        <v/>
      </c>
    </row>
    <row r="83" spans="2:179" s="101" customFormat="1" ht="21" customHeight="1" x14ac:dyDescent="0.35">
      <c r="B83" s="27" t="e">
        <f>Portfolio_Daten!#REF!</f>
        <v>#REF!</v>
      </c>
      <c r="C83" s="27">
        <f>Portfolio_Daten!B84</f>
        <v>0</v>
      </c>
      <c r="D83" s="28">
        <f>Portfolio_Daten!E84</f>
        <v>0</v>
      </c>
      <c r="E83" s="31">
        <f>Portfolio_Daten!T84</f>
        <v>0</v>
      </c>
      <c r="F83" s="31">
        <f>Portfolio_Daten!U84</f>
        <v>0</v>
      </c>
      <c r="G83" s="107">
        <f>IF(F83="","",NETWORKDAYS(E83,F83,Parameter!$C$4:$C$51))</f>
        <v>0</v>
      </c>
      <c r="H83" s="29">
        <f>Portfolio_Daten!AG84</f>
        <v>0</v>
      </c>
      <c r="I83" s="33">
        <f>Portfolio_Daten!AI84</f>
        <v>0</v>
      </c>
      <c r="J83" s="106"/>
      <c r="K83" s="108" t="str">
        <f t="shared" si="122"/>
        <v/>
      </c>
      <c r="L83" s="108" t="str">
        <f t="shared" si="122"/>
        <v/>
      </c>
      <c r="M83" s="108" t="str">
        <f t="shared" si="122"/>
        <v/>
      </c>
      <c r="N83" s="108" t="str">
        <f t="shared" si="122"/>
        <v/>
      </c>
      <c r="O83" s="108" t="str">
        <f t="shared" si="122"/>
        <v/>
      </c>
      <c r="P83" s="108" t="str">
        <f t="shared" si="122"/>
        <v/>
      </c>
      <c r="Q83" s="108" t="str">
        <f t="shared" si="122"/>
        <v/>
      </c>
      <c r="R83" s="108" t="str">
        <f t="shared" si="122"/>
        <v/>
      </c>
      <c r="S83" s="108" t="str">
        <f t="shared" si="122"/>
        <v/>
      </c>
      <c r="T83" s="108" t="str">
        <f t="shared" si="122"/>
        <v/>
      </c>
      <c r="U83" s="108" t="str">
        <f t="shared" si="123"/>
        <v/>
      </c>
      <c r="V83" s="108" t="str">
        <f t="shared" si="123"/>
        <v/>
      </c>
      <c r="W83" s="108" t="str">
        <f t="shared" si="123"/>
        <v/>
      </c>
      <c r="X83" s="108" t="str">
        <f t="shared" si="123"/>
        <v/>
      </c>
      <c r="Y83" s="108" t="str">
        <f t="shared" si="123"/>
        <v/>
      </c>
      <c r="Z83" s="108" t="str">
        <f t="shared" si="123"/>
        <v/>
      </c>
      <c r="AA83" s="108" t="str">
        <f t="shared" si="123"/>
        <v/>
      </c>
      <c r="AB83" s="108" t="str">
        <f t="shared" si="123"/>
        <v/>
      </c>
      <c r="AC83" s="108" t="str">
        <f t="shared" si="123"/>
        <v/>
      </c>
      <c r="AD83" s="108" t="str">
        <f t="shared" si="123"/>
        <v/>
      </c>
      <c r="AE83" s="108" t="str">
        <f t="shared" si="124"/>
        <v/>
      </c>
      <c r="AF83" s="108" t="str">
        <f t="shared" si="124"/>
        <v/>
      </c>
      <c r="AG83" s="108" t="str">
        <f t="shared" si="124"/>
        <v/>
      </c>
      <c r="AH83" s="108" t="str">
        <f t="shared" si="124"/>
        <v/>
      </c>
      <c r="AI83" s="108" t="str">
        <f t="shared" si="124"/>
        <v/>
      </c>
      <c r="AJ83" s="108" t="str">
        <f t="shared" si="124"/>
        <v/>
      </c>
      <c r="AK83" s="108" t="str">
        <f t="shared" si="124"/>
        <v/>
      </c>
      <c r="AL83" s="108" t="str">
        <f t="shared" si="124"/>
        <v/>
      </c>
      <c r="AM83" s="108" t="str">
        <f t="shared" si="124"/>
        <v/>
      </c>
      <c r="AN83" s="108" t="str">
        <f t="shared" si="124"/>
        <v/>
      </c>
      <c r="AO83" s="108" t="str">
        <f t="shared" si="125"/>
        <v/>
      </c>
      <c r="AP83" s="108" t="str">
        <f t="shared" si="125"/>
        <v/>
      </c>
      <c r="AQ83" s="108" t="str">
        <f t="shared" si="125"/>
        <v/>
      </c>
      <c r="AR83" s="108" t="str">
        <f t="shared" si="125"/>
        <v/>
      </c>
      <c r="AS83" s="108" t="str">
        <f t="shared" si="125"/>
        <v/>
      </c>
      <c r="AT83" s="108" t="str">
        <f t="shared" si="125"/>
        <v/>
      </c>
      <c r="AU83" s="108" t="str">
        <f t="shared" si="125"/>
        <v/>
      </c>
      <c r="AV83" s="108" t="str">
        <f t="shared" si="125"/>
        <v/>
      </c>
      <c r="AW83" s="108" t="str">
        <f t="shared" si="125"/>
        <v/>
      </c>
      <c r="AX83" s="108" t="str">
        <f t="shared" si="125"/>
        <v/>
      </c>
      <c r="AY83" s="108" t="str">
        <f t="shared" si="126"/>
        <v/>
      </c>
      <c r="AZ83" s="108" t="str">
        <f t="shared" si="126"/>
        <v/>
      </c>
      <c r="BA83" s="108" t="str">
        <f t="shared" si="126"/>
        <v/>
      </c>
      <c r="BB83" s="108" t="str">
        <f t="shared" si="126"/>
        <v/>
      </c>
      <c r="BC83" s="108" t="str">
        <f t="shared" si="126"/>
        <v/>
      </c>
      <c r="BD83" s="108" t="str">
        <f t="shared" si="126"/>
        <v/>
      </c>
      <c r="BE83" s="108" t="str">
        <f t="shared" si="126"/>
        <v/>
      </c>
      <c r="BF83" s="108" t="str">
        <f t="shared" si="126"/>
        <v/>
      </c>
      <c r="BG83" s="108" t="str">
        <f t="shared" si="126"/>
        <v/>
      </c>
      <c r="BH83" s="108" t="str">
        <f t="shared" si="126"/>
        <v/>
      </c>
      <c r="BI83" s="108" t="str">
        <f t="shared" si="127"/>
        <v/>
      </c>
      <c r="BJ83" s="108" t="str">
        <f t="shared" si="127"/>
        <v/>
      </c>
      <c r="BK83" s="108" t="str">
        <f t="shared" si="127"/>
        <v/>
      </c>
      <c r="BL83" s="108" t="str">
        <f t="shared" si="127"/>
        <v/>
      </c>
      <c r="BM83" s="108" t="str">
        <f t="shared" si="127"/>
        <v/>
      </c>
      <c r="BN83" s="108" t="str">
        <f t="shared" si="127"/>
        <v/>
      </c>
      <c r="BO83" s="108" t="str">
        <f t="shared" si="127"/>
        <v/>
      </c>
      <c r="BP83" s="108" t="str">
        <f t="shared" si="127"/>
        <v/>
      </c>
      <c r="BQ83" s="108" t="str">
        <f t="shared" si="127"/>
        <v/>
      </c>
      <c r="BR83" s="108" t="str">
        <f t="shared" si="127"/>
        <v/>
      </c>
      <c r="BS83" s="108" t="str">
        <f t="shared" si="128"/>
        <v/>
      </c>
      <c r="BT83" s="108" t="str">
        <f t="shared" si="128"/>
        <v/>
      </c>
      <c r="BU83" s="108" t="str">
        <f t="shared" si="128"/>
        <v/>
      </c>
      <c r="BV83" s="108" t="str">
        <f t="shared" si="128"/>
        <v/>
      </c>
      <c r="BW83" s="108" t="str">
        <f t="shared" si="128"/>
        <v/>
      </c>
      <c r="BX83" s="108" t="str">
        <f t="shared" si="128"/>
        <v/>
      </c>
      <c r="BY83" s="108" t="str">
        <f t="shared" si="128"/>
        <v/>
      </c>
      <c r="BZ83" s="108" t="str">
        <f t="shared" si="128"/>
        <v/>
      </c>
      <c r="CA83" s="108" t="str">
        <f t="shared" si="128"/>
        <v/>
      </c>
      <c r="CB83" s="108" t="str">
        <f t="shared" si="128"/>
        <v/>
      </c>
      <c r="CC83" s="108" t="str">
        <f t="shared" si="129"/>
        <v/>
      </c>
      <c r="CD83" s="108" t="str">
        <f t="shared" si="129"/>
        <v/>
      </c>
      <c r="CE83" s="108" t="str">
        <f t="shared" si="129"/>
        <v/>
      </c>
      <c r="CF83" s="108" t="str">
        <f t="shared" si="129"/>
        <v/>
      </c>
      <c r="CG83" s="108" t="str">
        <f t="shared" si="129"/>
        <v/>
      </c>
      <c r="CH83" s="108" t="str">
        <f t="shared" si="129"/>
        <v/>
      </c>
      <c r="CI83" s="108" t="str">
        <f t="shared" si="129"/>
        <v/>
      </c>
      <c r="CJ83" s="108" t="str">
        <f t="shared" si="129"/>
        <v/>
      </c>
      <c r="CK83" s="108" t="str">
        <f t="shared" si="129"/>
        <v/>
      </c>
      <c r="CL83" s="108" t="str">
        <f t="shared" si="129"/>
        <v/>
      </c>
      <c r="CM83" s="108" t="str">
        <f t="shared" si="130"/>
        <v/>
      </c>
      <c r="CN83" s="108" t="str">
        <f t="shared" si="130"/>
        <v/>
      </c>
      <c r="CO83" s="108" t="str">
        <f t="shared" si="130"/>
        <v/>
      </c>
      <c r="CP83" s="108" t="str">
        <f t="shared" si="130"/>
        <v/>
      </c>
      <c r="CQ83" s="108" t="str">
        <f t="shared" si="130"/>
        <v/>
      </c>
      <c r="CR83" s="109" t="str">
        <f t="shared" si="130"/>
        <v/>
      </c>
      <c r="CS83" s="108" t="str">
        <f t="shared" si="130"/>
        <v/>
      </c>
      <c r="CT83" s="108" t="str">
        <f t="shared" si="130"/>
        <v/>
      </c>
      <c r="CU83" s="108" t="str">
        <f t="shared" si="130"/>
        <v/>
      </c>
      <c r="CV83" s="108" t="str">
        <f t="shared" si="130"/>
        <v/>
      </c>
      <c r="CW83" s="108" t="str">
        <f t="shared" si="131"/>
        <v/>
      </c>
      <c r="CX83" s="108" t="str">
        <f t="shared" si="131"/>
        <v/>
      </c>
      <c r="CY83" s="108" t="str">
        <f t="shared" si="131"/>
        <v/>
      </c>
      <c r="CZ83" s="109" t="str">
        <f t="shared" si="131"/>
        <v/>
      </c>
      <c r="DA83" s="108" t="str">
        <f t="shared" si="131"/>
        <v/>
      </c>
      <c r="DB83" s="108" t="str">
        <f t="shared" si="131"/>
        <v/>
      </c>
      <c r="DC83" s="108" t="str">
        <f t="shared" si="131"/>
        <v/>
      </c>
      <c r="DD83" s="108" t="str">
        <f t="shared" si="131"/>
        <v/>
      </c>
      <c r="DE83" s="108" t="str">
        <f t="shared" si="131"/>
        <v/>
      </c>
      <c r="DF83" s="108" t="str">
        <f t="shared" si="131"/>
        <v/>
      </c>
      <c r="DG83" s="108" t="str">
        <f t="shared" si="132"/>
        <v/>
      </c>
      <c r="DH83" s="109" t="str">
        <f t="shared" si="132"/>
        <v/>
      </c>
      <c r="DI83" s="108" t="str">
        <f t="shared" si="132"/>
        <v/>
      </c>
      <c r="DJ83" s="108" t="str">
        <f t="shared" si="132"/>
        <v/>
      </c>
      <c r="DK83" s="108" t="str">
        <f t="shared" si="132"/>
        <v/>
      </c>
      <c r="DL83" s="108" t="str">
        <f t="shared" si="132"/>
        <v/>
      </c>
      <c r="DM83" s="108" t="str">
        <f t="shared" si="132"/>
        <v/>
      </c>
      <c r="DN83" s="108" t="str">
        <f t="shared" si="132"/>
        <v/>
      </c>
      <c r="DO83" s="109" t="str">
        <f t="shared" si="132"/>
        <v/>
      </c>
      <c r="DP83" s="108" t="str">
        <f t="shared" si="132"/>
        <v/>
      </c>
      <c r="DQ83" s="108" t="str">
        <f t="shared" si="133"/>
        <v/>
      </c>
      <c r="DR83" s="108" t="str">
        <f t="shared" si="133"/>
        <v/>
      </c>
      <c r="DS83" s="108" t="str">
        <f t="shared" si="133"/>
        <v/>
      </c>
      <c r="DT83" s="108" t="str">
        <f t="shared" si="133"/>
        <v/>
      </c>
      <c r="DU83" s="108" t="str">
        <f t="shared" si="133"/>
        <v/>
      </c>
      <c r="DV83" s="108" t="str">
        <f t="shared" si="133"/>
        <v/>
      </c>
      <c r="DW83" s="109" t="str">
        <f t="shared" si="133"/>
        <v/>
      </c>
      <c r="DX83" s="108" t="str">
        <f t="shared" si="133"/>
        <v/>
      </c>
      <c r="DY83" s="108" t="str">
        <f t="shared" si="133"/>
        <v/>
      </c>
      <c r="DZ83" s="108" t="str">
        <f t="shared" si="133"/>
        <v/>
      </c>
      <c r="EA83" s="108" t="str">
        <f t="shared" si="134"/>
        <v/>
      </c>
      <c r="EB83" s="108" t="str">
        <f t="shared" si="134"/>
        <v/>
      </c>
      <c r="EC83" s="108" t="str">
        <f t="shared" si="134"/>
        <v/>
      </c>
      <c r="ED83" s="109" t="str">
        <f t="shared" si="134"/>
        <v/>
      </c>
      <c r="EE83" s="108" t="str">
        <f t="shared" si="134"/>
        <v/>
      </c>
      <c r="EF83" s="108" t="str">
        <f t="shared" si="134"/>
        <v/>
      </c>
      <c r="EG83" s="108" t="str">
        <f t="shared" si="134"/>
        <v/>
      </c>
      <c r="EH83" s="108" t="str">
        <f t="shared" si="134"/>
        <v/>
      </c>
      <c r="EI83" s="108" t="str">
        <f t="shared" si="134"/>
        <v/>
      </c>
      <c r="EJ83" s="108" t="str">
        <f t="shared" si="134"/>
        <v/>
      </c>
      <c r="EK83" s="108" t="str">
        <f t="shared" si="135"/>
        <v/>
      </c>
      <c r="EL83" s="108" t="str">
        <f t="shared" si="135"/>
        <v/>
      </c>
      <c r="EM83" s="108" t="str">
        <f t="shared" si="135"/>
        <v/>
      </c>
      <c r="EN83" s="108" t="str">
        <f t="shared" si="135"/>
        <v/>
      </c>
      <c r="EO83" s="108" t="str">
        <f t="shared" si="135"/>
        <v/>
      </c>
      <c r="EP83" s="108" t="str">
        <f t="shared" si="135"/>
        <v/>
      </c>
      <c r="EQ83" s="108" t="str">
        <f t="shared" si="135"/>
        <v/>
      </c>
      <c r="ER83" s="108" t="str">
        <f t="shared" si="135"/>
        <v/>
      </c>
      <c r="ES83" s="109" t="str">
        <f t="shared" si="135"/>
        <v/>
      </c>
      <c r="ET83" s="108" t="str">
        <f t="shared" si="135"/>
        <v/>
      </c>
      <c r="EU83" s="108" t="str">
        <f t="shared" si="136"/>
        <v/>
      </c>
      <c r="EV83" s="108" t="str">
        <f t="shared" si="136"/>
        <v/>
      </c>
      <c r="EW83" s="108" t="str">
        <f t="shared" si="136"/>
        <v/>
      </c>
      <c r="EX83" s="108" t="str">
        <f t="shared" si="136"/>
        <v/>
      </c>
      <c r="EY83" s="108" t="str">
        <f t="shared" si="136"/>
        <v/>
      </c>
      <c r="EZ83" s="108" t="str">
        <f t="shared" si="136"/>
        <v/>
      </c>
      <c r="FA83" s="108" t="str">
        <f t="shared" si="136"/>
        <v/>
      </c>
      <c r="FB83" s="108" t="str">
        <f t="shared" si="136"/>
        <v/>
      </c>
      <c r="FC83" s="108" t="str">
        <f t="shared" si="136"/>
        <v/>
      </c>
      <c r="FD83" s="108" t="str">
        <f t="shared" si="136"/>
        <v/>
      </c>
      <c r="FE83" s="108" t="str">
        <f t="shared" si="137"/>
        <v/>
      </c>
      <c r="FF83" s="109" t="str">
        <f t="shared" si="137"/>
        <v/>
      </c>
      <c r="FG83" s="108" t="str">
        <f t="shared" si="137"/>
        <v/>
      </c>
      <c r="FH83" s="108" t="str">
        <f t="shared" si="137"/>
        <v/>
      </c>
      <c r="FI83" s="108" t="str">
        <f t="shared" si="137"/>
        <v/>
      </c>
      <c r="FJ83" s="108" t="str">
        <f t="shared" si="137"/>
        <v/>
      </c>
      <c r="FK83" s="108" t="str">
        <f t="shared" si="137"/>
        <v/>
      </c>
      <c r="FL83" s="108" t="str">
        <f t="shared" si="137"/>
        <v/>
      </c>
      <c r="FM83" s="108" t="str">
        <f t="shared" si="137"/>
        <v/>
      </c>
      <c r="FN83" s="108" t="str">
        <f t="shared" si="137"/>
        <v/>
      </c>
      <c r="FO83" s="108" t="str">
        <f t="shared" si="138"/>
        <v/>
      </c>
      <c r="FP83" s="108" t="str">
        <f t="shared" si="138"/>
        <v/>
      </c>
      <c r="FQ83" s="108" t="str">
        <f t="shared" si="138"/>
        <v/>
      </c>
      <c r="FR83" s="108" t="str">
        <f t="shared" si="138"/>
        <v/>
      </c>
      <c r="FS83" s="108" t="str">
        <f t="shared" si="138"/>
        <v/>
      </c>
      <c r="FT83" s="108" t="str">
        <f t="shared" si="138"/>
        <v/>
      </c>
      <c r="FU83" s="108" t="str">
        <f t="shared" si="138"/>
        <v/>
      </c>
      <c r="FV83" s="108" t="str">
        <f t="shared" si="138"/>
        <v/>
      </c>
      <c r="FW83" s="110" t="str">
        <f t="shared" si="138"/>
        <v/>
      </c>
    </row>
    <row r="84" spans="2:179" s="101" customFormat="1" ht="21" customHeight="1" x14ac:dyDescent="0.35">
      <c r="B84" s="27" t="e">
        <f>Portfolio_Daten!#REF!</f>
        <v>#REF!</v>
      </c>
      <c r="C84" s="27">
        <f>Portfolio_Daten!B85</f>
        <v>0</v>
      </c>
      <c r="D84" s="28">
        <f>Portfolio_Daten!E85</f>
        <v>0</v>
      </c>
      <c r="E84" s="31">
        <f>Portfolio_Daten!T85</f>
        <v>0</v>
      </c>
      <c r="F84" s="31">
        <f>Portfolio_Daten!U85</f>
        <v>0</v>
      </c>
      <c r="G84" s="107">
        <f>IF(F84="","",NETWORKDAYS(E84,F84,Parameter!$C$4:$C$51))</f>
        <v>0</v>
      </c>
      <c r="H84" s="29">
        <f>Portfolio_Daten!AG85</f>
        <v>0</v>
      </c>
      <c r="I84" s="33">
        <f>Portfolio_Daten!AI85</f>
        <v>0</v>
      </c>
      <c r="J84" s="106"/>
      <c r="K84" s="108" t="str">
        <f t="shared" si="122"/>
        <v/>
      </c>
      <c r="L84" s="108" t="str">
        <f t="shared" si="122"/>
        <v/>
      </c>
      <c r="M84" s="108" t="str">
        <f t="shared" si="122"/>
        <v/>
      </c>
      <c r="N84" s="108" t="str">
        <f t="shared" si="122"/>
        <v/>
      </c>
      <c r="O84" s="108" t="str">
        <f t="shared" si="122"/>
        <v/>
      </c>
      <c r="P84" s="108" t="str">
        <f t="shared" si="122"/>
        <v/>
      </c>
      <c r="Q84" s="108" t="str">
        <f t="shared" si="122"/>
        <v/>
      </c>
      <c r="R84" s="108" t="str">
        <f t="shared" si="122"/>
        <v/>
      </c>
      <c r="S84" s="108" t="str">
        <f t="shared" si="122"/>
        <v/>
      </c>
      <c r="T84" s="108" t="str">
        <f t="shared" si="122"/>
        <v/>
      </c>
      <c r="U84" s="108" t="str">
        <f t="shared" si="123"/>
        <v/>
      </c>
      <c r="V84" s="108" t="str">
        <f t="shared" si="123"/>
        <v/>
      </c>
      <c r="W84" s="108" t="str">
        <f t="shared" si="123"/>
        <v/>
      </c>
      <c r="X84" s="108" t="str">
        <f t="shared" si="123"/>
        <v/>
      </c>
      <c r="Y84" s="108" t="str">
        <f t="shared" si="123"/>
        <v/>
      </c>
      <c r="Z84" s="108" t="str">
        <f t="shared" si="123"/>
        <v/>
      </c>
      <c r="AA84" s="108" t="str">
        <f t="shared" si="123"/>
        <v/>
      </c>
      <c r="AB84" s="108" t="str">
        <f t="shared" si="123"/>
        <v/>
      </c>
      <c r="AC84" s="108" t="str">
        <f t="shared" si="123"/>
        <v/>
      </c>
      <c r="AD84" s="108" t="str">
        <f t="shared" si="123"/>
        <v/>
      </c>
      <c r="AE84" s="108" t="str">
        <f t="shared" si="124"/>
        <v/>
      </c>
      <c r="AF84" s="108" t="str">
        <f t="shared" si="124"/>
        <v/>
      </c>
      <c r="AG84" s="108" t="str">
        <f t="shared" si="124"/>
        <v/>
      </c>
      <c r="AH84" s="108" t="str">
        <f t="shared" si="124"/>
        <v/>
      </c>
      <c r="AI84" s="108" t="str">
        <f t="shared" si="124"/>
        <v/>
      </c>
      <c r="AJ84" s="108" t="str">
        <f t="shared" si="124"/>
        <v/>
      </c>
      <c r="AK84" s="108" t="str">
        <f t="shared" si="124"/>
        <v/>
      </c>
      <c r="AL84" s="108" t="str">
        <f t="shared" si="124"/>
        <v/>
      </c>
      <c r="AM84" s="108" t="str">
        <f t="shared" si="124"/>
        <v/>
      </c>
      <c r="AN84" s="108" t="str">
        <f t="shared" si="124"/>
        <v/>
      </c>
      <c r="AO84" s="108" t="str">
        <f t="shared" si="125"/>
        <v/>
      </c>
      <c r="AP84" s="108" t="str">
        <f t="shared" si="125"/>
        <v/>
      </c>
      <c r="AQ84" s="108" t="str">
        <f t="shared" si="125"/>
        <v/>
      </c>
      <c r="AR84" s="108" t="str">
        <f t="shared" si="125"/>
        <v/>
      </c>
      <c r="AS84" s="108" t="str">
        <f t="shared" si="125"/>
        <v/>
      </c>
      <c r="AT84" s="108" t="str">
        <f t="shared" si="125"/>
        <v/>
      </c>
      <c r="AU84" s="108" t="str">
        <f t="shared" si="125"/>
        <v/>
      </c>
      <c r="AV84" s="108" t="str">
        <f t="shared" si="125"/>
        <v/>
      </c>
      <c r="AW84" s="108" t="str">
        <f t="shared" si="125"/>
        <v/>
      </c>
      <c r="AX84" s="108" t="str">
        <f t="shared" si="125"/>
        <v/>
      </c>
      <c r="AY84" s="108" t="str">
        <f t="shared" si="126"/>
        <v/>
      </c>
      <c r="AZ84" s="108" t="str">
        <f t="shared" si="126"/>
        <v/>
      </c>
      <c r="BA84" s="108" t="str">
        <f t="shared" si="126"/>
        <v/>
      </c>
      <c r="BB84" s="108" t="str">
        <f t="shared" si="126"/>
        <v/>
      </c>
      <c r="BC84" s="108" t="str">
        <f t="shared" si="126"/>
        <v/>
      </c>
      <c r="BD84" s="108" t="str">
        <f t="shared" si="126"/>
        <v/>
      </c>
      <c r="BE84" s="108" t="str">
        <f t="shared" si="126"/>
        <v/>
      </c>
      <c r="BF84" s="108" t="str">
        <f t="shared" si="126"/>
        <v/>
      </c>
      <c r="BG84" s="108" t="str">
        <f t="shared" si="126"/>
        <v/>
      </c>
      <c r="BH84" s="108" t="str">
        <f t="shared" si="126"/>
        <v/>
      </c>
      <c r="BI84" s="108" t="str">
        <f t="shared" si="127"/>
        <v/>
      </c>
      <c r="BJ84" s="108" t="str">
        <f t="shared" si="127"/>
        <v/>
      </c>
      <c r="BK84" s="108" t="str">
        <f t="shared" si="127"/>
        <v/>
      </c>
      <c r="BL84" s="108" t="str">
        <f t="shared" si="127"/>
        <v/>
      </c>
      <c r="BM84" s="108" t="str">
        <f t="shared" si="127"/>
        <v/>
      </c>
      <c r="BN84" s="108" t="str">
        <f t="shared" si="127"/>
        <v/>
      </c>
      <c r="BO84" s="108" t="str">
        <f t="shared" si="127"/>
        <v/>
      </c>
      <c r="BP84" s="108" t="str">
        <f t="shared" si="127"/>
        <v/>
      </c>
      <c r="BQ84" s="108" t="str">
        <f t="shared" si="127"/>
        <v/>
      </c>
      <c r="BR84" s="108" t="str">
        <f t="shared" si="127"/>
        <v/>
      </c>
      <c r="BS84" s="108" t="str">
        <f t="shared" si="128"/>
        <v/>
      </c>
      <c r="BT84" s="108" t="str">
        <f t="shared" si="128"/>
        <v/>
      </c>
      <c r="BU84" s="108" t="str">
        <f t="shared" si="128"/>
        <v/>
      </c>
      <c r="BV84" s="108" t="str">
        <f t="shared" si="128"/>
        <v/>
      </c>
      <c r="BW84" s="108" t="str">
        <f t="shared" si="128"/>
        <v/>
      </c>
      <c r="BX84" s="108" t="str">
        <f t="shared" si="128"/>
        <v/>
      </c>
      <c r="BY84" s="108" t="str">
        <f t="shared" si="128"/>
        <v/>
      </c>
      <c r="BZ84" s="108" t="str">
        <f t="shared" si="128"/>
        <v/>
      </c>
      <c r="CA84" s="108" t="str">
        <f t="shared" si="128"/>
        <v/>
      </c>
      <c r="CB84" s="108" t="str">
        <f t="shared" si="128"/>
        <v/>
      </c>
      <c r="CC84" s="108" t="str">
        <f t="shared" si="129"/>
        <v/>
      </c>
      <c r="CD84" s="108" t="str">
        <f t="shared" si="129"/>
        <v/>
      </c>
      <c r="CE84" s="108" t="str">
        <f t="shared" si="129"/>
        <v/>
      </c>
      <c r="CF84" s="108" t="str">
        <f t="shared" si="129"/>
        <v/>
      </c>
      <c r="CG84" s="108" t="str">
        <f t="shared" si="129"/>
        <v/>
      </c>
      <c r="CH84" s="108" t="str">
        <f t="shared" si="129"/>
        <v/>
      </c>
      <c r="CI84" s="108" t="str">
        <f t="shared" si="129"/>
        <v/>
      </c>
      <c r="CJ84" s="108" t="str">
        <f t="shared" si="129"/>
        <v/>
      </c>
      <c r="CK84" s="108" t="str">
        <f t="shared" si="129"/>
        <v/>
      </c>
      <c r="CL84" s="108" t="str">
        <f t="shared" si="129"/>
        <v/>
      </c>
      <c r="CM84" s="108" t="str">
        <f t="shared" si="130"/>
        <v/>
      </c>
      <c r="CN84" s="108" t="str">
        <f t="shared" si="130"/>
        <v/>
      </c>
      <c r="CO84" s="108" t="str">
        <f t="shared" si="130"/>
        <v/>
      </c>
      <c r="CP84" s="108" t="str">
        <f t="shared" si="130"/>
        <v/>
      </c>
      <c r="CQ84" s="108" t="str">
        <f t="shared" si="130"/>
        <v/>
      </c>
      <c r="CR84" s="109" t="str">
        <f t="shared" si="130"/>
        <v/>
      </c>
      <c r="CS84" s="108" t="str">
        <f t="shared" si="130"/>
        <v/>
      </c>
      <c r="CT84" s="108" t="str">
        <f t="shared" si="130"/>
        <v/>
      </c>
      <c r="CU84" s="108" t="str">
        <f t="shared" si="130"/>
        <v/>
      </c>
      <c r="CV84" s="108" t="str">
        <f t="shared" si="130"/>
        <v/>
      </c>
      <c r="CW84" s="108" t="str">
        <f t="shared" si="131"/>
        <v/>
      </c>
      <c r="CX84" s="108" t="str">
        <f t="shared" si="131"/>
        <v/>
      </c>
      <c r="CY84" s="108" t="str">
        <f t="shared" si="131"/>
        <v/>
      </c>
      <c r="CZ84" s="109" t="str">
        <f t="shared" si="131"/>
        <v/>
      </c>
      <c r="DA84" s="108" t="str">
        <f t="shared" si="131"/>
        <v/>
      </c>
      <c r="DB84" s="108" t="str">
        <f t="shared" si="131"/>
        <v/>
      </c>
      <c r="DC84" s="108" t="str">
        <f t="shared" si="131"/>
        <v/>
      </c>
      <c r="DD84" s="108" t="str">
        <f t="shared" si="131"/>
        <v/>
      </c>
      <c r="DE84" s="108" t="str">
        <f t="shared" si="131"/>
        <v/>
      </c>
      <c r="DF84" s="108" t="str">
        <f t="shared" si="131"/>
        <v/>
      </c>
      <c r="DG84" s="108" t="str">
        <f t="shared" si="132"/>
        <v/>
      </c>
      <c r="DH84" s="109" t="str">
        <f t="shared" si="132"/>
        <v/>
      </c>
      <c r="DI84" s="108" t="str">
        <f t="shared" si="132"/>
        <v/>
      </c>
      <c r="DJ84" s="108" t="str">
        <f t="shared" si="132"/>
        <v/>
      </c>
      <c r="DK84" s="108" t="str">
        <f t="shared" si="132"/>
        <v/>
      </c>
      <c r="DL84" s="108" t="str">
        <f t="shared" si="132"/>
        <v/>
      </c>
      <c r="DM84" s="108" t="str">
        <f t="shared" si="132"/>
        <v/>
      </c>
      <c r="DN84" s="108" t="str">
        <f t="shared" si="132"/>
        <v/>
      </c>
      <c r="DO84" s="109" t="str">
        <f t="shared" si="132"/>
        <v/>
      </c>
      <c r="DP84" s="108" t="str">
        <f t="shared" si="132"/>
        <v/>
      </c>
      <c r="DQ84" s="108" t="str">
        <f t="shared" si="133"/>
        <v/>
      </c>
      <c r="DR84" s="108" t="str">
        <f t="shared" si="133"/>
        <v/>
      </c>
      <c r="DS84" s="108" t="str">
        <f t="shared" si="133"/>
        <v/>
      </c>
      <c r="DT84" s="108" t="str">
        <f t="shared" si="133"/>
        <v/>
      </c>
      <c r="DU84" s="108" t="str">
        <f t="shared" si="133"/>
        <v/>
      </c>
      <c r="DV84" s="108" t="str">
        <f t="shared" si="133"/>
        <v/>
      </c>
      <c r="DW84" s="109" t="str">
        <f t="shared" si="133"/>
        <v/>
      </c>
      <c r="DX84" s="108" t="str">
        <f t="shared" si="133"/>
        <v/>
      </c>
      <c r="DY84" s="108" t="str">
        <f t="shared" si="133"/>
        <v/>
      </c>
      <c r="DZ84" s="108" t="str">
        <f t="shared" si="133"/>
        <v/>
      </c>
      <c r="EA84" s="108" t="str">
        <f t="shared" si="134"/>
        <v/>
      </c>
      <c r="EB84" s="108" t="str">
        <f t="shared" si="134"/>
        <v/>
      </c>
      <c r="EC84" s="108" t="str">
        <f t="shared" si="134"/>
        <v/>
      </c>
      <c r="ED84" s="109" t="str">
        <f t="shared" si="134"/>
        <v/>
      </c>
      <c r="EE84" s="108" t="str">
        <f t="shared" si="134"/>
        <v/>
      </c>
      <c r="EF84" s="108" t="str">
        <f t="shared" si="134"/>
        <v/>
      </c>
      <c r="EG84" s="108" t="str">
        <f t="shared" si="134"/>
        <v/>
      </c>
      <c r="EH84" s="108" t="str">
        <f t="shared" si="134"/>
        <v/>
      </c>
      <c r="EI84" s="108" t="str">
        <f t="shared" si="134"/>
        <v/>
      </c>
      <c r="EJ84" s="108" t="str">
        <f t="shared" si="134"/>
        <v/>
      </c>
      <c r="EK84" s="108" t="str">
        <f t="shared" si="135"/>
        <v/>
      </c>
      <c r="EL84" s="108" t="str">
        <f t="shared" si="135"/>
        <v/>
      </c>
      <c r="EM84" s="108" t="str">
        <f t="shared" si="135"/>
        <v/>
      </c>
      <c r="EN84" s="108" t="str">
        <f t="shared" si="135"/>
        <v/>
      </c>
      <c r="EO84" s="108" t="str">
        <f t="shared" si="135"/>
        <v/>
      </c>
      <c r="EP84" s="108" t="str">
        <f t="shared" si="135"/>
        <v/>
      </c>
      <c r="EQ84" s="108" t="str">
        <f t="shared" si="135"/>
        <v/>
      </c>
      <c r="ER84" s="108" t="str">
        <f t="shared" si="135"/>
        <v/>
      </c>
      <c r="ES84" s="109" t="str">
        <f t="shared" si="135"/>
        <v/>
      </c>
      <c r="ET84" s="108" t="str">
        <f t="shared" si="135"/>
        <v/>
      </c>
      <c r="EU84" s="108" t="str">
        <f t="shared" si="136"/>
        <v/>
      </c>
      <c r="EV84" s="108" t="str">
        <f t="shared" si="136"/>
        <v/>
      </c>
      <c r="EW84" s="108" t="str">
        <f t="shared" si="136"/>
        <v/>
      </c>
      <c r="EX84" s="108" t="str">
        <f t="shared" si="136"/>
        <v/>
      </c>
      <c r="EY84" s="108" t="str">
        <f t="shared" si="136"/>
        <v/>
      </c>
      <c r="EZ84" s="108" t="str">
        <f t="shared" si="136"/>
        <v/>
      </c>
      <c r="FA84" s="108" t="str">
        <f t="shared" si="136"/>
        <v/>
      </c>
      <c r="FB84" s="108" t="str">
        <f t="shared" si="136"/>
        <v/>
      </c>
      <c r="FC84" s="108" t="str">
        <f t="shared" si="136"/>
        <v/>
      </c>
      <c r="FD84" s="108" t="str">
        <f t="shared" si="136"/>
        <v/>
      </c>
      <c r="FE84" s="108" t="str">
        <f t="shared" si="137"/>
        <v/>
      </c>
      <c r="FF84" s="109" t="str">
        <f t="shared" si="137"/>
        <v/>
      </c>
      <c r="FG84" s="108" t="str">
        <f t="shared" si="137"/>
        <v/>
      </c>
      <c r="FH84" s="108" t="str">
        <f t="shared" si="137"/>
        <v/>
      </c>
      <c r="FI84" s="108" t="str">
        <f t="shared" si="137"/>
        <v/>
      </c>
      <c r="FJ84" s="108" t="str">
        <f t="shared" si="137"/>
        <v/>
      </c>
      <c r="FK84" s="108" t="str">
        <f t="shared" si="137"/>
        <v/>
      </c>
      <c r="FL84" s="108" t="str">
        <f t="shared" si="137"/>
        <v/>
      </c>
      <c r="FM84" s="108" t="str">
        <f t="shared" si="137"/>
        <v/>
      </c>
      <c r="FN84" s="108" t="str">
        <f t="shared" si="137"/>
        <v/>
      </c>
      <c r="FO84" s="108" t="str">
        <f t="shared" si="138"/>
        <v/>
      </c>
      <c r="FP84" s="108" t="str">
        <f t="shared" si="138"/>
        <v/>
      </c>
      <c r="FQ84" s="108" t="str">
        <f t="shared" si="138"/>
        <v/>
      </c>
      <c r="FR84" s="108" t="str">
        <f t="shared" si="138"/>
        <v/>
      </c>
      <c r="FS84" s="108" t="str">
        <f t="shared" si="138"/>
        <v/>
      </c>
      <c r="FT84" s="108" t="str">
        <f t="shared" si="138"/>
        <v/>
      </c>
      <c r="FU84" s="108" t="str">
        <f t="shared" si="138"/>
        <v/>
      </c>
      <c r="FV84" s="108" t="str">
        <f t="shared" si="138"/>
        <v/>
      </c>
      <c r="FW84" s="110" t="str">
        <f t="shared" si="138"/>
        <v/>
      </c>
    </row>
    <row r="85" spans="2:179" s="101" customFormat="1" ht="21" customHeight="1" x14ac:dyDescent="0.35">
      <c r="B85" s="27" t="e">
        <f>Portfolio_Daten!#REF!</f>
        <v>#REF!</v>
      </c>
      <c r="C85" s="27">
        <f>Portfolio_Daten!B86</f>
        <v>0</v>
      </c>
      <c r="D85" s="28">
        <f>Portfolio_Daten!E86</f>
        <v>0</v>
      </c>
      <c r="E85" s="31">
        <f>Portfolio_Daten!T86</f>
        <v>0</v>
      </c>
      <c r="F85" s="31">
        <f>Portfolio_Daten!U86</f>
        <v>0</v>
      </c>
      <c r="G85" s="107">
        <f>IF(F85="","",NETWORKDAYS(E85,F85,Parameter!$C$4:$C$51))</f>
        <v>0</v>
      </c>
      <c r="H85" s="29">
        <f>Portfolio_Daten!AG86</f>
        <v>0</v>
      </c>
      <c r="I85" s="33">
        <f>Portfolio_Daten!AI86</f>
        <v>0</v>
      </c>
      <c r="J85" s="106"/>
      <c r="K85" s="108" t="str">
        <f t="shared" si="122"/>
        <v/>
      </c>
      <c r="L85" s="108" t="str">
        <f t="shared" si="122"/>
        <v/>
      </c>
      <c r="M85" s="108" t="str">
        <f t="shared" si="122"/>
        <v/>
      </c>
      <c r="N85" s="108" t="str">
        <f t="shared" si="122"/>
        <v/>
      </c>
      <c r="O85" s="108" t="str">
        <f t="shared" si="122"/>
        <v/>
      </c>
      <c r="P85" s="108" t="str">
        <f t="shared" si="122"/>
        <v/>
      </c>
      <c r="Q85" s="108" t="str">
        <f t="shared" si="122"/>
        <v/>
      </c>
      <c r="R85" s="108" t="str">
        <f t="shared" si="122"/>
        <v/>
      </c>
      <c r="S85" s="108" t="str">
        <f t="shared" si="122"/>
        <v/>
      </c>
      <c r="T85" s="108" t="str">
        <f t="shared" si="122"/>
        <v/>
      </c>
      <c r="U85" s="108" t="str">
        <f t="shared" si="123"/>
        <v/>
      </c>
      <c r="V85" s="108" t="str">
        <f t="shared" si="123"/>
        <v/>
      </c>
      <c r="W85" s="108" t="str">
        <f t="shared" si="123"/>
        <v/>
      </c>
      <c r="X85" s="108" t="str">
        <f t="shared" si="123"/>
        <v/>
      </c>
      <c r="Y85" s="108" t="str">
        <f t="shared" si="123"/>
        <v/>
      </c>
      <c r="Z85" s="108" t="str">
        <f t="shared" si="123"/>
        <v/>
      </c>
      <c r="AA85" s="108" t="str">
        <f t="shared" si="123"/>
        <v/>
      </c>
      <c r="AB85" s="108" t="str">
        <f t="shared" si="123"/>
        <v/>
      </c>
      <c r="AC85" s="108" t="str">
        <f t="shared" si="123"/>
        <v/>
      </c>
      <c r="AD85" s="108" t="str">
        <f t="shared" si="123"/>
        <v/>
      </c>
      <c r="AE85" s="108" t="str">
        <f t="shared" si="124"/>
        <v/>
      </c>
      <c r="AF85" s="108" t="str">
        <f t="shared" si="124"/>
        <v/>
      </c>
      <c r="AG85" s="108" t="str">
        <f t="shared" si="124"/>
        <v/>
      </c>
      <c r="AH85" s="108" t="str">
        <f t="shared" si="124"/>
        <v/>
      </c>
      <c r="AI85" s="108" t="str">
        <f t="shared" si="124"/>
        <v/>
      </c>
      <c r="AJ85" s="108" t="str">
        <f t="shared" si="124"/>
        <v/>
      </c>
      <c r="AK85" s="108" t="str">
        <f t="shared" si="124"/>
        <v/>
      </c>
      <c r="AL85" s="108" t="str">
        <f t="shared" si="124"/>
        <v/>
      </c>
      <c r="AM85" s="108" t="str">
        <f t="shared" si="124"/>
        <v/>
      </c>
      <c r="AN85" s="108" t="str">
        <f t="shared" si="124"/>
        <v/>
      </c>
      <c r="AO85" s="108" t="str">
        <f t="shared" si="125"/>
        <v/>
      </c>
      <c r="AP85" s="108" t="str">
        <f t="shared" si="125"/>
        <v/>
      </c>
      <c r="AQ85" s="108" t="str">
        <f t="shared" si="125"/>
        <v/>
      </c>
      <c r="AR85" s="108" t="str">
        <f t="shared" si="125"/>
        <v/>
      </c>
      <c r="AS85" s="108" t="str">
        <f t="shared" si="125"/>
        <v/>
      </c>
      <c r="AT85" s="108" t="str">
        <f t="shared" si="125"/>
        <v/>
      </c>
      <c r="AU85" s="108" t="str">
        <f t="shared" si="125"/>
        <v/>
      </c>
      <c r="AV85" s="108" t="str">
        <f t="shared" si="125"/>
        <v/>
      </c>
      <c r="AW85" s="108" t="str">
        <f t="shared" si="125"/>
        <v/>
      </c>
      <c r="AX85" s="108" t="str">
        <f t="shared" si="125"/>
        <v/>
      </c>
      <c r="AY85" s="108" t="str">
        <f t="shared" si="126"/>
        <v/>
      </c>
      <c r="AZ85" s="108" t="str">
        <f t="shared" si="126"/>
        <v/>
      </c>
      <c r="BA85" s="108" t="str">
        <f t="shared" si="126"/>
        <v/>
      </c>
      <c r="BB85" s="108" t="str">
        <f t="shared" si="126"/>
        <v/>
      </c>
      <c r="BC85" s="108" t="str">
        <f t="shared" si="126"/>
        <v/>
      </c>
      <c r="BD85" s="108" t="str">
        <f t="shared" si="126"/>
        <v/>
      </c>
      <c r="BE85" s="108" t="str">
        <f t="shared" si="126"/>
        <v/>
      </c>
      <c r="BF85" s="108" t="str">
        <f t="shared" si="126"/>
        <v/>
      </c>
      <c r="BG85" s="108" t="str">
        <f t="shared" si="126"/>
        <v/>
      </c>
      <c r="BH85" s="108" t="str">
        <f t="shared" si="126"/>
        <v/>
      </c>
      <c r="BI85" s="108" t="str">
        <f t="shared" si="127"/>
        <v/>
      </c>
      <c r="BJ85" s="108" t="str">
        <f t="shared" si="127"/>
        <v/>
      </c>
      <c r="BK85" s="108" t="str">
        <f t="shared" si="127"/>
        <v/>
      </c>
      <c r="BL85" s="108" t="str">
        <f t="shared" si="127"/>
        <v/>
      </c>
      <c r="BM85" s="108" t="str">
        <f t="shared" si="127"/>
        <v/>
      </c>
      <c r="BN85" s="108" t="str">
        <f t="shared" si="127"/>
        <v/>
      </c>
      <c r="BO85" s="108" t="str">
        <f t="shared" si="127"/>
        <v/>
      </c>
      <c r="BP85" s="108" t="str">
        <f t="shared" si="127"/>
        <v/>
      </c>
      <c r="BQ85" s="108" t="str">
        <f t="shared" si="127"/>
        <v/>
      </c>
      <c r="BR85" s="108" t="str">
        <f t="shared" si="127"/>
        <v/>
      </c>
      <c r="BS85" s="108" t="str">
        <f t="shared" si="128"/>
        <v/>
      </c>
      <c r="BT85" s="108" t="str">
        <f t="shared" si="128"/>
        <v/>
      </c>
      <c r="BU85" s="108" t="str">
        <f t="shared" si="128"/>
        <v/>
      </c>
      <c r="BV85" s="108" t="str">
        <f t="shared" si="128"/>
        <v/>
      </c>
      <c r="BW85" s="108" t="str">
        <f t="shared" si="128"/>
        <v/>
      </c>
      <c r="BX85" s="108" t="str">
        <f t="shared" si="128"/>
        <v/>
      </c>
      <c r="BY85" s="108" t="str">
        <f t="shared" si="128"/>
        <v/>
      </c>
      <c r="BZ85" s="108" t="str">
        <f t="shared" si="128"/>
        <v/>
      </c>
      <c r="CA85" s="108" t="str">
        <f t="shared" si="128"/>
        <v/>
      </c>
      <c r="CB85" s="108" t="str">
        <f t="shared" si="128"/>
        <v/>
      </c>
      <c r="CC85" s="108" t="str">
        <f t="shared" si="129"/>
        <v/>
      </c>
      <c r="CD85" s="108" t="str">
        <f t="shared" si="129"/>
        <v/>
      </c>
      <c r="CE85" s="108" t="str">
        <f t="shared" si="129"/>
        <v/>
      </c>
      <c r="CF85" s="108" t="str">
        <f t="shared" si="129"/>
        <v/>
      </c>
      <c r="CG85" s="108" t="str">
        <f t="shared" si="129"/>
        <v/>
      </c>
      <c r="CH85" s="108" t="str">
        <f t="shared" si="129"/>
        <v/>
      </c>
      <c r="CI85" s="108" t="str">
        <f t="shared" si="129"/>
        <v/>
      </c>
      <c r="CJ85" s="108" t="str">
        <f t="shared" si="129"/>
        <v/>
      </c>
      <c r="CK85" s="108" t="str">
        <f t="shared" si="129"/>
        <v/>
      </c>
      <c r="CL85" s="108" t="str">
        <f t="shared" si="129"/>
        <v/>
      </c>
      <c r="CM85" s="108" t="str">
        <f t="shared" si="130"/>
        <v/>
      </c>
      <c r="CN85" s="108" t="str">
        <f t="shared" si="130"/>
        <v/>
      </c>
      <c r="CO85" s="108" t="str">
        <f t="shared" si="130"/>
        <v/>
      </c>
      <c r="CP85" s="108" t="str">
        <f t="shared" si="130"/>
        <v/>
      </c>
      <c r="CQ85" s="108" t="str">
        <f t="shared" si="130"/>
        <v/>
      </c>
      <c r="CR85" s="109" t="str">
        <f t="shared" si="130"/>
        <v/>
      </c>
      <c r="CS85" s="108" t="str">
        <f t="shared" si="130"/>
        <v/>
      </c>
      <c r="CT85" s="108" t="str">
        <f t="shared" si="130"/>
        <v/>
      </c>
      <c r="CU85" s="108" t="str">
        <f t="shared" si="130"/>
        <v/>
      </c>
      <c r="CV85" s="108" t="str">
        <f t="shared" si="130"/>
        <v/>
      </c>
      <c r="CW85" s="108" t="str">
        <f t="shared" si="131"/>
        <v/>
      </c>
      <c r="CX85" s="108" t="str">
        <f t="shared" si="131"/>
        <v/>
      </c>
      <c r="CY85" s="108" t="str">
        <f t="shared" si="131"/>
        <v/>
      </c>
      <c r="CZ85" s="109" t="str">
        <f t="shared" si="131"/>
        <v/>
      </c>
      <c r="DA85" s="108" t="str">
        <f t="shared" si="131"/>
        <v/>
      </c>
      <c r="DB85" s="108" t="str">
        <f t="shared" si="131"/>
        <v/>
      </c>
      <c r="DC85" s="108" t="str">
        <f t="shared" si="131"/>
        <v/>
      </c>
      <c r="DD85" s="108" t="str">
        <f t="shared" si="131"/>
        <v/>
      </c>
      <c r="DE85" s="108" t="str">
        <f t="shared" si="131"/>
        <v/>
      </c>
      <c r="DF85" s="108" t="str">
        <f t="shared" si="131"/>
        <v/>
      </c>
      <c r="DG85" s="108" t="str">
        <f t="shared" si="132"/>
        <v/>
      </c>
      <c r="DH85" s="109" t="str">
        <f t="shared" si="132"/>
        <v/>
      </c>
      <c r="DI85" s="108" t="str">
        <f t="shared" si="132"/>
        <v/>
      </c>
      <c r="DJ85" s="108" t="str">
        <f t="shared" si="132"/>
        <v/>
      </c>
      <c r="DK85" s="108" t="str">
        <f t="shared" si="132"/>
        <v/>
      </c>
      <c r="DL85" s="108" t="str">
        <f t="shared" si="132"/>
        <v/>
      </c>
      <c r="DM85" s="108" t="str">
        <f t="shared" si="132"/>
        <v/>
      </c>
      <c r="DN85" s="108" t="str">
        <f t="shared" si="132"/>
        <v/>
      </c>
      <c r="DO85" s="109" t="str">
        <f t="shared" si="132"/>
        <v/>
      </c>
      <c r="DP85" s="108" t="str">
        <f t="shared" si="132"/>
        <v/>
      </c>
      <c r="DQ85" s="108" t="str">
        <f t="shared" si="133"/>
        <v/>
      </c>
      <c r="DR85" s="108" t="str">
        <f t="shared" si="133"/>
        <v/>
      </c>
      <c r="DS85" s="108" t="str">
        <f t="shared" si="133"/>
        <v/>
      </c>
      <c r="DT85" s="108" t="str">
        <f t="shared" si="133"/>
        <v/>
      </c>
      <c r="DU85" s="108" t="str">
        <f t="shared" si="133"/>
        <v/>
      </c>
      <c r="DV85" s="108" t="str">
        <f t="shared" si="133"/>
        <v/>
      </c>
      <c r="DW85" s="109" t="str">
        <f t="shared" si="133"/>
        <v/>
      </c>
      <c r="DX85" s="108" t="str">
        <f t="shared" si="133"/>
        <v/>
      </c>
      <c r="DY85" s="108" t="str">
        <f t="shared" si="133"/>
        <v/>
      </c>
      <c r="DZ85" s="108" t="str">
        <f t="shared" si="133"/>
        <v/>
      </c>
      <c r="EA85" s="108" t="str">
        <f t="shared" si="134"/>
        <v/>
      </c>
      <c r="EB85" s="108" t="str">
        <f t="shared" si="134"/>
        <v/>
      </c>
      <c r="EC85" s="108" t="str">
        <f t="shared" si="134"/>
        <v/>
      </c>
      <c r="ED85" s="109" t="str">
        <f t="shared" si="134"/>
        <v/>
      </c>
      <c r="EE85" s="108" t="str">
        <f t="shared" si="134"/>
        <v/>
      </c>
      <c r="EF85" s="108" t="str">
        <f t="shared" si="134"/>
        <v/>
      </c>
      <c r="EG85" s="108" t="str">
        <f t="shared" si="134"/>
        <v/>
      </c>
      <c r="EH85" s="108" t="str">
        <f t="shared" si="134"/>
        <v/>
      </c>
      <c r="EI85" s="108" t="str">
        <f t="shared" si="134"/>
        <v/>
      </c>
      <c r="EJ85" s="108" t="str">
        <f t="shared" si="134"/>
        <v/>
      </c>
      <c r="EK85" s="108" t="str">
        <f t="shared" si="135"/>
        <v/>
      </c>
      <c r="EL85" s="108" t="str">
        <f t="shared" si="135"/>
        <v/>
      </c>
      <c r="EM85" s="108" t="str">
        <f t="shared" si="135"/>
        <v/>
      </c>
      <c r="EN85" s="108" t="str">
        <f t="shared" si="135"/>
        <v/>
      </c>
      <c r="EO85" s="108" t="str">
        <f t="shared" si="135"/>
        <v/>
      </c>
      <c r="EP85" s="108" t="str">
        <f t="shared" si="135"/>
        <v/>
      </c>
      <c r="EQ85" s="108" t="str">
        <f t="shared" si="135"/>
        <v/>
      </c>
      <c r="ER85" s="108" t="str">
        <f t="shared" si="135"/>
        <v/>
      </c>
      <c r="ES85" s="109" t="str">
        <f t="shared" si="135"/>
        <v/>
      </c>
      <c r="ET85" s="108" t="str">
        <f t="shared" si="135"/>
        <v/>
      </c>
      <c r="EU85" s="108" t="str">
        <f t="shared" si="136"/>
        <v/>
      </c>
      <c r="EV85" s="108" t="str">
        <f t="shared" si="136"/>
        <v/>
      </c>
      <c r="EW85" s="108" t="str">
        <f t="shared" si="136"/>
        <v/>
      </c>
      <c r="EX85" s="108" t="str">
        <f t="shared" si="136"/>
        <v/>
      </c>
      <c r="EY85" s="108" t="str">
        <f t="shared" si="136"/>
        <v/>
      </c>
      <c r="EZ85" s="108" t="str">
        <f t="shared" si="136"/>
        <v/>
      </c>
      <c r="FA85" s="108" t="str">
        <f t="shared" si="136"/>
        <v/>
      </c>
      <c r="FB85" s="108" t="str">
        <f t="shared" si="136"/>
        <v/>
      </c>
      <c r="FC85" s="108" t="str">
        <f t="shared" si="136"/>
        <v/>
      </c>
      <c r="FD85" s="108" t="str">
        <f t="shared" si="136"/>
        <v/>
      </c>
      <c r="FE85" s="108" t="str">
        <f t="shared" si="137"/>
        <v/>
      </c>
      <c r="FF85" s="109" t="str">
        <f t="shared" si="137"/>
        <v/>
      </c>
      <c r="FG85" s="108" t="str">
        <f t="shared" si="137"/>
        <v/>
      </c>
      <c r="FH85" s="108" t="str">
        <f t="shared" si="137"/>
        <v/>
      </c>
      <c r="FI85" s="108" t="str">
        <f t="shared" si="137"/>
        <v/>
      </c>
      <c r="FJ85" s="108" t="str">
        <f t="shared" si="137"/>
        <v/>
      </c>
      <c r="FK85" s="108" t="str">
        <f t="shared" si="137"/>
        <v/>
      </c>
      <c r="FL85" s="108" t="str">
        <f t="shared" si="137"/>
        <v/>
      </c>
      <c r="FM85" s="108" t="str">
        <f t="shared" si="137"/>
        <v/>
      </c>
      <c r="FN85" s="108" t="str">
        <f t="shared" si="137"/>
        <v/>
      </c>
      <c r="FO85" s="108" t="str">
        <f t="shared" si="138"/>
        <v/>
      </c>
      <c r="FP85" s="108" t="str">
        <f t="shared" si="138"/>
        <v/>
      </c>
      <c r="FQ85" s="108" t="str">
        <f t="shared" si="138"/>
        <v/>
      </c>
      <c r="FR85" s="108" t="str">
        <f t="shared" si="138"/>
        <v/>
      </c>
      <c r="FS85" s="108" t="str">
        <f t="shared" si="138"/>
        <v/>
      </c>
      <c r="FT85" s="108" t="str">
        <f t="shared" si="138"/>
        <v/>
      </c>
      <c r="FU85" s="108" t="str">
        <f t="shared" si="138"/>
        <v/>
      </c>
      <c r="FV85" s="108" t="str">
        <f t="shared" si="138"/>
        <v/>
      </c>
      <c r="FW85" s="110" t="str">
        <f t="shared" si="138"/>
        <v/>
      </c>
    </row>
    <row r="86" spans="2:179" s="101" customFormat="1" ht="21" customHeight="1" x14ac:dyDescent="0.35">
      <c r="B86" s="27" t="e">
        <f>Portfolio_Daten!#REF!</f>
        <v>#REF!</v>
      </c>
      <c r="C86" s="27">
        <f>Portfolio_Daten!B87</f>
        <v>0</v>
      </c>
      <c r="D86" s="28">
        <f>Portfolio_Daten!E87</f>
        <v>0</v>
      </c>
      <c r="E86" s="31">
        <f>Portfolio_Daten!T87</f>
        <v>0</v>
      </c>
      <c r="F86" s="31">
        <f>Portfolio_Daten!U87</f>
        <v>0</v>
      </c>
      <c r="G86" s="107">
        <f>IF(F86="","",NETWORKDAYS(E86,F86,Parameter!$C$4:$C$51))</f>
        <v>0</v>
      </c>
      <c r="H86" s="29">
        <f>Portfolio_Daten!AG87</f>
        <v>0</v>
      </c>
      <c r="I86" s="33">
        <f>Portfolio_Daten!AI87</f>
        <v>0</v>
      </c>
      <c r="J86" s="106"/>
      <c r="K86" s="108" t="str">
        <f t="shared" si="122"/>
        <v/>
      </c>
      <c r="L86" s="108" t="str">
        <f t="shared" si="122"/>
        <v/>
      </c>
      <c r="M86" s="108" t="str">
        <f t="shared" si="122"/>
        <v/>
      </c>
      <c r="N86" s="108" t="str">
        <f t="shared" si="122"/>
        <v/>
      </c>
      <c r="O86" s="108" t="str">
        <f t="shared" si="122"/>
        <v/>
      </c>
      <c r="P86" s="108" t="str">
        <f t="shared" si="122"/>
        <v/>
      </c>
      <c r="Q86" s="108" t="str">
        <f t="shared" si="122"/>
        <v/>
      </c>
      <c r="R86" s="108" t="str">
        <f t="shared" si="122"/>
        <v/>
      </c>
      <c r="S86" s="108" t="str">
        <f t="shared" si="122"/>
        <v/>
      </c>
      <c r="T86" s="108" t="str">
        <f t="shared" si="122"/>
        <v/>
      </c>
      <c r="U86" s="108" t="str">
        <f t="shared" si="123"/>
        <v/>
      </c>
      <c r="V86" s="108" t="str">
        <f t="shared" si="123"/>
        <v/>
      </c>
      <c r="W86" s="108" t="str">
        <f t="shared" si="123"/>
        <v/>
      </c>
      <c r="X86" s="108" t="str">
        <f t="shared" si="123"/>
        <v/>
      </c>
      <c r="Y86" s="108" t="str">
        <f t="shared" si="123"/>
        <v/>
      </c>
      <c r="Z86" s="108" t="str">
        <f t="shared" si="123"/>
        <v/>
      </c>
      <c r="AA86" s="108" t="str">
        <f t="shared" si="123"/>
        <v/>
      </c>
      <c r="AB86" s="108" t="str">
        <f t="shared" si="123"/>
        <v/>
      </c>
      <c r="AC86" s="108" t="str">
        <f t="shared" si="123"/>
        <v/>
      </c>
      <c r="AD86" s="108" t="str">
        <f t="shared" si="123"/>
        <v/>
      </c>
      <c r="AE86" s="108" t="str">
        <f t="shared" si="124"/>
        <v/>
      </c>
      <c r="AF86" s="108" t="str">
        <f t="shared" si="124"/>
        <v/>
      </c>
      <c r="AG86" s="108" t="str">
        <f t="shared" si="124"/>
        <v/>
      </c>
      <c r="AH86" s="108" t="str">
        <f t="shared" si="124"/>
        <v/>
      </c>
      <c r="AI86" s="108" t="str">
        <f t="shared" si="124"/>
        <v/>
      </c>
      <c r="AJ86" s="108" t="str">
        <f t="shared" si="124"/>
        <v/>
      </c>
      <c r="AK86" s="108" t="str">
        <f t="shared" si="124"/>
        <v/>
      </c>
      <c r="AL86" s="108" t="str">
        <f t="shared" si="124"/>
        <v/>
      </c>
      <c r="AM86" s="108" t="str">
        <f t="shared" si="124"/>
        <v/>
      </c>
      <c r="AN86" s="108" t="str">
        <f t="shared" si="124"/>
        <v/>
      </c>
      <c r="AO86" s="108" t="str">
        <f t="shared" si="125"/>
        <v/>
      </c>
      <c r="AP86" s="108" t="str">
        <f t="shared" si="125"/>
        <v/>
      </c>
      <c r="AQ86" s="108" t="str">
        <f t="shared" si="125"/>
        <v/>
      </c>
      <c r="AR86" s="108" t="str">
        <f t="shared" si="125"/>
        <v/>
      </c>
      <c r="AS86" s="108" t="str">
        <f t="shared" si="125"/>
        <v/>
      </c>
      <c r="AT86" s="108" t="str">
        <f t="shared" si="125"/>
        <v/>
      </c>
      <c r="AU86" s="108" t="str">
        <f t="shared" si="125"/>
        <v/>
      </c>
      <c r="AV86" s="108" t="str">
        <f t="shared" si="125"/>
        <v/>
      </c>
      <c r="AW86" s="108" t="str">
        <f t="shared" si="125"/>
        <v/>
      </c>
      <c r="AX86" s="108" t="str">
        <f t="shared" si="125"/>
        <v/>
      </c>
      <c r="AY86" s="108" t="str">
        <f t="shared" si="126"/>
        <v/>
      </c>
      <c r="AZ86" s="108" t="str">
        <f t="shared" si="126"/>
        <v/>
      </c>
      <c r="BA86" s="108" t="str">
        <f t="shared" si="126"/>
        <v/>
      </c>
      <c r="BB86" s="108" t="str">
        <f t="shared" si="126"/>
        <v/>
      </c>
      <c r="BC86" s="108" t="str">
        <f t="shared" si="126"/>
        <v/>
      </c>
      <c r="BD86" s="108" t="str">
        <f t="shared" si="126"/>
        <v/>
      </c>
      <c r="BE86" s="108" t="str">
        <f t="shared" si="126"/>
        <v/>
      </c>
      <c r="BF86" s="108" t="str">
        <f t="shared" si="126"/>
        <v/>
      </c>
      <c r="BG86" s="108" t="str">
        <f t="shared" si="126"/>
        <v/>
      </c>
      <c r="BH86" s="108" t="str">
        <f t="shared" si="126"/>
        <v/>
      </c>
      <c r="BI86" s="108" t="str">
        <f t="shared" si="127"/>
        <v/>
      </c>
      <c r="BJ86" s="108" t="str">
        <f t="shared" si="127"/>
        <v/>
      </c>
      <c r="BK86" s="108" t="str">
        <f t="shared" si="127"/>
        <v/>
      </c>
      <c r="BL86" s="108" t="str">
        <f t="shared" si="127"/>
        <v/>
      </c>
      <c r="BM86" s="108" t="str">
        <f t="shared" si="127"/>
        <v/>
      </c>
      <c r="BN86" s="108" t="str">
        <f t="shared" si="127"/>
        <v/>
      </c>
      <c r="BO86" s="108" t="str">
        <f t="shared" si="127"/>
        <v/>
      </c>
      <c r="BP86" s="108" t="str">
        <f t="shared" si="127"/>
        <v/>
      </c>
      <c r="BQ86" s="108" t="str">
        <f t="shared" si="127"/>
        <v/>
      </c>
      <c r="BR86" s="108" t="str">
        <f t="shared" si="127"/>
        <v/>
      </c>
      <c r="BS86" s="108" t="str">
        <f t="shared" si="128"/>
        <v/>
      </c>
      <c r="BT86" s="108" t="str">
        <f t="shared" si="128"/>
        <v/>
      </c>
      <c r="BU86" s="108" t="str">
        <f t="shared" si="128"/>
        <v/>
      </c>
      <c r="BV86" s="108" t="str">
        <f t="shared" si="128"/>
        <v/>
      </c>
      <c r="BW86" s="108" t="str">
        <f t="shared" si="128"/>
        <v/>
      </c>
      <c r="BX86" s="108" t="str">
        <f t="shared" si="128"/>
        <v/>
      </c>
      <c r="BY86" s="108" t="str">
        <f t="shared" si="128"/>
        <v/>
      </c>
      <c r="BZ86" s="108" t="str">
        <f t="shared" si="128"/>
        <v/>
      </c>
      <c r="CA86" s="108" t="str">
        <f t="shared" si="128"/>
        <v/>
      </c>
      <c r="CB86" s="108" t="str">
        <f t="shared" si="128"/>
        <v/>
      </c>
      <c r="CC86" s="108" t="str">
        <f t="shared" si="129"/>
        <v/>
      </c>
      <c r="CD86" s="108" t="str">
        <f t="shared" si="129"/>
        <v/>
      </c>
      <c r="CE86" s="108" t="str">
        <f t="shared" si="129"/>
        <v/>
      </c>
      <c r="CF86" s="108" t="str">
        <f t="shared" si="129"/>
        <v/>
      </c>
      <c r="CG86" s="108" t="str">
        <f t="shared" si="129"/>
        <v/>
      </c>
      <c r="CH86" s="108" t="str">
        <f t="shared" si="129"/>
        <v/>
      </c>
      <c r="CI86" s="108" t="str">
        <f t="shared" si="129"/>
        <v/>
      </c>
      <c r="CJ86" s="108" t="str">
        <f t="shared" si="129"/>
        <v/>
      </c>
      <c r="CK86" s="108" t="str">
        <f t="shared" si="129"/>
        <v/>
      </c>
      <c r="CL86" s="108" t="str">
        <f t="shared" si="129"/>
        <v/>
      </c>
      <c r="CM86" s="108" t="str">
        <f t="shared" si="130"/>
        <v/>
      </c>
      <c r="CN86" s="108" t="str">
        <f t="shared" si="130"/>
        <v/>
      </c>
      <c r="CO86" s="108" t="str">
        <f t="shared" si="130"/>
        <v/>
      </c>
      <c r="CP86" s="108" t="str">
        <f t="shared" si="130"/>
        <v/>
      </c>
      <c r="CQ86" s="108" t="str">
        <f t="shared" si="130"/>
        <v/>
      </c>
      <c r="CR86" s="109" t="str">
        <f t="shared" si="130"/>
        <v/>
      </c>
      <c r="CS86" s="108" t="str">
        <f t="shared" si="130"/>
        <v/>
      </c>
      <c r="CT86" s="108" t="str">
        <f t="shared" si="130"/>
        <v/>
      </c>
      <c r="CU86" s="108" t="str">
        <f t="shared" si="130"/>
        <v/>
      </c>
      <c r="CV86" s="108" t="str">
        <f t="shared" si="130"/>
        <v/>
      </c>
      <c r="CW86" s="108" t="str">
        <f t="shared" si="131"/>
        <v/>
      </c>
      <c r="CX86" s="108" t="str">
        <f t="shared" si="131"/>
        <v/>
      </c>
      <c r="CY86" s="108" t="str">
        <f t="shared" si="131"/>
        <v/>
      </c>
      <c r="CZ86" s="109" t="str">
        <f t="shared" si="131"/>
        <v/>
      </c>
      <c r="DA86" s="108" t="str">
        <f t="shared" si="131"/>
        <v/>
      </c>
      <c r="DB86" s="108" t="str">
        <f t="shared" si="131"/>
        <v/>
      </c>
      <c r="DC86" s="108" t="str">
        <f t="shared" si="131"/>
        <v/>
      </c>
      <c r="DD86" s="108" t="str">
        <f t="shared" si="131"/>
        <v/>
      </c>
      <c r="DE86" s="108" t="str">
        <f t="shared" si="131"/>
        <v/>
      </c>
      <c r="DF86" s="108" t="str">
        <f t="shared" si="131"/>
        <v/>
      </c>
      <c r="DG86" s="108" t="str">
        <f t="shared" si="132"/>
        <v/>
      </c>
      <c r="DH86" s="109" t="str">
        <f t="shared" si="132"/>
        <v/>
      </c>
      <c r="DI86" s="108" t="str">
        <f t="shared" si="132"/>
        <v/>
      </c>
      <c r="DJ86" s="108" t="str">
        <f t="shared" si="132"/>
        <v/>
      </c>
      <c r="DK86" s="108" t="str">
        <f t="shared" si="132"/>
        <v/>
      </c>
      <c r="DL86" s="108" t="str">
        <f t="shared" si="132"/>
        <v/>
      </c>
      <c r="DM86" s="108" t="str">
        <f t="shared" si="132"/>
        <v/>
      </c>
      <c r="DN86" s="108" t="str">
        <f t="shared" si="132"/>
        <v/>
      </c>
      <c r="DO86" s="109" t="str">
        <f t="shared" si="132"/>
        <v/>
      </c>
      <c r="DP86" s="108" t="str">
        <f t="shared" si="132"/>
        <v/>
      </c>
      <c r="DQ86" s="108" t="str">
        <f t="shared" si="133"/>
        <v/>
      </c>
      <c r="DR86" s="108" t="str">
        <f t="shared" si="133"/>
        <v/>
      </c>
      <c r="DS86" s="108" t="str">
        <f t="shared" si="133"/>
        <v/>
      </c>
      <c r="DT86" s="108" t="str">
        <f t="shared" si="133"/>
        <v/>
      </c>
      <c r="DU86" s="108" t="str">
        <f t="shared" si="133"/>
        <v/>
      </c>
      <c r="DV86" s="108" t="str">
        <f t="shared" si="133"/>
        <v/>
      </c>
      <c r="DW86" s="109" t="str">
        <f t="shared" si="133"/>
        <v/>
      </c>
      <c r="DX86" s="108" t="str">
        <f t="shared" si="133"/>
        <v/>
      </c>
      <c r="DY86" s="108" t="str">
        <f t="shared" si="133"/>
        <v/>
      </c>
      <c r="DZ86" s="108" t="str">
        <f t="shared" si="133"/>
        <v/>
      </c>
      <c r="EA86" s="108" t="str">
        <f t="shared" si="134"/>
        <v/>
      </c>
      <c r="EB86" s="108" t="str">
        <f t="shared" si="134"/>
        <v/>
      </c>
      <c r="EC86" s="108" t="str">
        <f t="shared" si="134"/>
        <v/>
      </c>
      <c r="ED86" s="109" t="str">
        <f t="shared" si="134"/>
        <v/>
      </c>
      <c r="EE86" s="108" t="str">
        <f t="shared" si="134"/>
        <v/>
      </c>
      <c r="EF86" s="108" t="str">
        <f t="shared" si="134"/>
        <v/>
      </c>
      <c r="EG86" s="108" t="str">
        <f t="shared" si="134"/>
        <v/>
      </c>
      <c r="EH86" s="108" t="str">
        <f t="shared" si="134"/>
        <v/>
      </c>
      <c r="EI86" s="108" t="str">
        <f t="shared" si="134"/>
        <v/>
      </c>
      <c r="EJ86" s="108" t="str">
        <f t="shared" si="134"/>
        <v/>
      </c>
      <c r="EK86" s="108" t="str">
        <f t="shared" si="135"/>
        <v/>
      </c>
      <c r="EL86" s="108" t="str">
        <f t="shared" si="135"/>
        <v/>
      </c>
      <c r="EM86" s="108" t="str">
        <f t="shared" si="135"/>
        <v/>
      </c>
      <c r="EN86" s="108" t="str">
        <f t="shared" si="135"/>
        <v/>
      </c>
      <c r="EO86" s="108" t="str">
        <f t="shared" si="135"/>
        <v/>
      </c>
      <c r="EP86" s="108" t="str">
        <f t="shared" si="135"/>
        <v/>
      </c>
      <c r="EQ86" s="108" t="str">
        <f t="shared" si="135"/>
        <v/>
      </c>
      <c r="ER86" s="108" t="str">
        <f t="shared" si="135"/>
        <v/>
      </c>
      <c r="ES86" s="109" t="str">
        <f t="shared" si="135"/>
        <v/>
      </c>
      <c r="ET86" s="108" t="str">
        <f t="shared" si="135"/>
        <v/>
      </c>
      <c r="EU86" s="108" t="str">
        <f t="shared" si="136"/>
        <v/>
      </c>
      <c r="EV86" s="108" t="str">
        <f t="shared" si="136"/>
        <v/>
      </c>
      <c r="EW86" s="108" t="str">
        <f t="shared" si="136"/>
        <v/>
      </c>
      <c r="EX86" s="108" t="str">
        <f t="shared" si="136"/>
        <v/>
      </c>
      <c r="EY86" s="108" t="str">
        <f t="shared" si="136"/>
        <v/>
      </c>
      <c r="EZ86" s="108" t="str">
        <f t="shared" si="136"/>
        <v/>
      </c>
      <c r="FA86" s="108" t="str">
        <f t="shared" si="136"/>
        <v/>
      </c>
      <c r="FB86" s="108" t="str">
        <f t="shared" si="136"/>
        <v/>
      </c>
      <c r="FC86" s="108" t="str">
        <f t="shared" si="136"/>
        <v/>
      </c>
      <c r="FD86" s="108" t="str">
        <f t="shared" si="136"/>
        <v/>
      </c>
      <c r="FE86" s="108" t="str">
        <f t="shared" si="137"/>
        <v/>
      </c>
      <c r="FF86" s="109" t="str">
        <f t="shared" si="137"/>
        <v/>
      </c>
      <c r="FG86" s="108" t="str">
        <f t="shared" si="137"/>
        <v/>
      </c>
      <c r="FH86" s="108" t="str">
        <f t="shared" si="137"/>
        <v/>
      </c>
      <c r="FI86" s="108" t="str">
        <f t="shared" si="137"/>
        <v/>
      </c>
      <c r="FJ86" s="108" t="str">
        <f t="shared" si="137"/>
        <v/>
      </c>
      <c r="FK86" s="108" t="str">
        <f t="shared" si="137"/>
        <v/>
      </c>
      <c r="FL86" s="108" t="str">
        <f t="shared" si="137"/>
        <v/>
      </c>
      <c r="FM86" s="108" t="str">
        <f t="shared" si="137"/>
        <v/>
      </c>
      <c r="FN86" s="108" t="str">
        <f t="shared" si="137"/>
        <v/>
      </c>
      <c r="FO86" s="108" t="str">
        <f t="shared" si="138"/>
        <v/>
      </c>
      <c r="FP86" s="108" t="str">
        <f t="shared" si="138"/>
        <v/>
      </c>
      <c r="FQ86" s="108" t="str">
        <f t="shared" si="138"/>
        <v/>
      </c>
      <c r="FR86" s="108" t="str">
        <f t="shared" si="138"/>
        <v/>
      </c>
      <c r="FS86" s="108" t="str">
        <f t="shared" si="138"/>
        <v/>
      </c>
      <c r="FT86" s="108" t="str">
        <f t="shared" si="138"/>
        <v/>
      </c>
      <c r="FU86" s="108" t="str">
        <f t="shared" si="138"/>
        <v/>
      </c>
      <c r="FV86" s="108" t="str">
        <f t="shared" si="138"/>
        <v/>
      </c>
      <c r="FW86" s="110" t="str">
        <f t="shared" si="138"/>
        <v/>
      </c>
    </row>
    <row r="87" spans="2:179" s="101" customFormat="1" ht="21" customHeight="1" x14ac:dyDescent="0.35">
      <c r="B87" s="27" t="e">
        <f>Portfolio_Daten!#REF!</f>
        <v>#REF!</v>
      </c>
      <c r="C87" s="27">
        <f>Portfolio_Daten!B88</f>
        <v>0</v>
      </c>
      <c r="D87" s="28">
        <f>Portfolio_Daten!E88</f>
        <v>0</v>
      </c>
      <c r="E87" s="31">
        <f>Portfolio_Daten!T88</f>
        <v>0</v>
      </c>
      <c r="F87" s="31">
        <f>Portfolio_Daten!U88</f>
        <v>0</v>
      </c>
      <c r="G87" s="107">
        <f>IF(F87="","",NETWORKDAYS(E87,F87,Parameter!$C$4:$C$51))</f>
        <v>0</v>
      </c>
      <c r="H87" s="29">
        <f>Portfolio_Daten!AG88</f>
        <v>0</v>
      </c>
      <c r="I87" s="33">
        <f>Portfolio_Daten!AI88</f>
        <v>0</v>
      </c>
      <c r="J87" s="106"/>
      <c r="K87" s="108" t="str">
        <f t="shared" ref="K87:T96" si="139">IF(K$5=($F87-WEEKDAY($F87,2)+1),"u","")</f>
        <v/>
      </c>
      <c r="L87" s="108" t="str">
        <f t="shared" si="139"/>
        <v/>
      </c>
      <c r="M87" s="108" t="str">
        <f t="shared" si="139"/>
        <v/>
      </c>
      <c r="N87" s="108" t="str">
        <f t="shared" si="139"/>
        <v/>
      </c>
      <c r="O87" s="108" t="str">
        <f t="shared" si="139"/>
        <v/>
      </c>
      <c r="P87" s="108" t="str">
        <f t="shared" si="139"/>
        <v/>
      </c>
      <c r="Q87" s="108" t="str">
        <f t="shared" si="139"/>
        <v/>
      </c>
      <c r="R87" s="108" t="str">
        <f t="shared" si="139"/>
        <v/>
      </c>
      <c r="S87" s="108" t="str">
        <f t="shared" si="139"/>
        <v/>
      </c>
      <c r="T87" s="108" t="str">
        <f t="shared" si="139"/>
        <v/>
      </c>
      <c r="U87" s="108" t="str">
        <f t="shared" ref="U87:AD96" si="140">IF(U$5=($F87-WEEKDAY($F87,2)+1),"u","")</f>
        <v/>
      </c>
      <c r="V87" s="108" t="str">
        <f t="shared" si="140"/>
        <v/>
      </c>
      <c r="W87" s="108" t="str">
        <f t="shared" si="140"/>
        <v/>
      </c>
      <c r="X87" s="108" t="str">
        <f t="shared" si="140"/>
        <v/>
      </c>
      <c r="Y87" s="108" t="str">
        <f t="shared" si="140"/>
        <v/>
      </c>
      <c r="Z87" s="108" t="str">
        <f t="shared" si="140"/>
        <v/>
      </c>
      <c r="AA87" s="108" t="str">
        <f t="shared" si="140"/>
        <v/>
      </c>
      <c r="AB87" s="108" t="str">
        <f t="shared" si="140"/>
        <v/>
      </c>
      <c r="AC87" s="108" t="str">
        <f t="shared" si="140"/>
        <v/>
      </c>
      <c r="AD87" s="108" t="str">
        <f t="shared" si="140"/>
        <v/>
      </c>
      <c r="AE87" s="108" t="str">
        <f t="shared" ref="AE87:AN96" si="141">IF(AE$5=($F87-WEEKDAY($F87,2)+1),"u","")</f>
        <v/>
      </c>
      <c r="AF87" s="108" t="str">
        <f t="shared" si="141"/>
        <v/>
      </c>
      <c r="AG87" s="108" t="str">
        <f t="shared" si="141"/>
        <v/>
      </c>
      <c r="AH87" s="108" t="str">
        <f t="shared" si="141"/>
        <v/>
      </c>
      <c r="AI87" s="108" t="str">
        <f t="shared" si="141"/>
        <v/>
      </c>
      <c r="AJ87" s="108" t="str">
        <f t="shared" si="141"/>
        <v/>
      </c>
      <c r="AK87" s="108" t="str">
        <f t="shared" si="141"/>
        <v/>
      </c>
      <c r="AL87" s="108" t="str">
        <f t="shared" si="141"/>
        <v/>
      </c>
      <c r="AM87" s="108" t="str">
        <f t="shared" si="141"/>
        <v/>
      </c>
      <c r="AN87" s="108" t="str">
        <f t="shared" si="141"/>
        <v/>
      </c>
      <c r="AO87" s="108" t="str">
        <f t="shared" ref="AO87:AX96" si="142">IF(AO$5=($F87-WEEKDAY($F87,2)+1),"u","")</f>
        <v/>
      </c>
      <c r="AP87" s="108" t="str">
        <f t="shared" si="142"/>
        <v/>
      </c>
      <c r="AQ87" s="108" t="str">
        <f t="shared" si="142"/>
        <v/>
      </c>
      <c r="AR87" s="108" t="str">
        <f t="shared" si="142"/>
        <v/>
      </c>
      <c r="AS87" s="108" t="str">
        <f t="shared" si="142"/>
        <v/>
      </c>
      <c r="AT87" s="108" t="str">
        <f t="shared" si="142"/>
        <v/>
      </c>
      <c r="AU87" s="108" t="str">
        <f t="shared" si="142"/>
        <v/>
      </c>
      <c r="AV87" s="108" t="str">
        <f t="shared" si="142"/>
        <v/>
      </c>
      <c r="AW87" s="108" t="str">
        <f t="shared" si="142"/>
        <v/>
      </c>
      <c r="AX87" s="108" t="str">
        <f t="shared" si="142"/>
        <v/>
      </c>
      <c r="AY87" s="108" t="str">
        <f t="shared" ref="AY87:BH96" si="143">IF(AY$5=($F87-WEEKDAY($F87,2)+1),"u","")</f>
        <v/>
      </c>
      <c r="AZ87" s="108" t="str">
        <f t="shared" si="143"/>
        <v/>
      </c>
      <c r="BA87" s="108" t="str">
        <f t="shared" si="143"/>
        <v/>
      </c>
      <c r="BB87" s="108" t="str">
        <f t="shared" si="143"/>
        <v/>
      </c>
      <c r="BC87" s="108" t="str">
        <f t="shared" si="143"/>
        <v/>
      </c>
      <c r="BD87" s="108" t="str">
        <f t="shared" si="143"/>
        <v/>
      </c>
      <c r="BE87" s="108" t="str">
        <f t="shared" si="143"/>
        <v/>
      </c>
      <c r="BF87" s="108" t="str">
        <f t="shared" si="143"/>
        <v/>
      </c>
      <c r="BG87" s="108" t="str">
        <f t="shared" si="143"/>
        <v/>
      </c>
      <c r="BH87" s="108" t="str">
        <f t="shared" si="143"/>
        <v/>
      </c>
      <c r="BI87" s="108" t="str">
        <f t="shared" ref="BI87:BR96" si="144">IF(BI$5=($F87-WEEKDAY($F87,2)+1),"u","")</f>
        <v/>
      </c>
      <c r="BJ87" s="108" t="str">
        <f t="shared" si="144"/>
        <v/>
      </c>
      <c r="BK87" s="108" t="str">
        <f t="shared" si="144"/>
        <v/>
      </c>
      <c r="BL87" s="108" t="str">
        <f t="shared" si="144"/>
        <v/>
      </c>
      <c r="BM87" s="108" t="str">
        <f t="shared" si="144"/>
        <v/>
      </c>
      <c r="BN87" s="108" t="str">
        <f t="shared" si="144"/>
        <v/>
      </c>
      <c r="BO87" s="108" t="str">
        <f t="shared" si="144"/>
        <v/>
      </c>
      <c r="BP87" s="108" t="str">
        <f t="shared" si="144"/>
        <v/>
      </c>
      <c r="BQ87" s="108" t="str">
        <f t="shared" si="144"/>
        <v/>
      </c>
      <c r="BR87" s="108" t="str">
        <f t="shared" si="144"/>
        <v/>
      </c>
      <c r="BS87" s="108" t="str">
        <f t="shared" ref="BS87:CB96" si="145">IF(BS$5=($F87-WEEKDAY($F87,2)+1),"u","")</f>
        <v/>
      </c>
      <c r="BT87" s="108" t="str">
        <f t="shared" si="145"/>
        <v/>
      </c>
      <c r="BU87" s="108" t="str">
        <f t="shared" si="145"/>
        <v/>
      </c>
      <c r="BV87" s="108" t="str">
        <f t="shared" si="145"/>
        <v/>
      </c>
      <c r="BW87" s="108" t="str">
        <f t="shared" si="145"/>
        <v/>
      </c>
      <c r="BX87" s="108" t="str">
        <f t="shared" si="145"/>
        <v/>
      </c>
      <c r="BY87" s="108" t="str">
        <f t="shared" si="145"/>
        <v/>
      </c>
      <c r="BZ87" s="108" t="str">
        <f t="shared" si="145"/>
        <v/>
      </c>
      <c r="CA87" s="108" t="str">
        <f t="shared" si="145"/>
        <v/>
      </c>
      <c r="CB87" s="108" t="str">
        <f t="shared" si="145"/>
        <v/>
      </c>
      <c r="CC87" s="108" t="str">
        <f t="shared" ref="CC87:CL96" si="146">IF(CC$5=($F87-WEEKDAY($F87,2)+1),"u","")</f>
        <v/>
      </c>
      <c r="CD87" s="108" t="str">
        <f t="shared" si="146"/>
        <v/>
      </c>
      <c r="CE87" s="108" t="str">
        <f t="shared" si="146"/>
        <v/>
      </c>
      <c r="CF87" s="108" t="str">
        <f t="shared" si="146"/>
        <v/>
      </c>
      <c r="CG87" s="108" t="str">
        <f t="shared" si="146"/>
        <v/>
      </c>
      <c r="CH87" s="108" t="str">
        <f t="shared" si="146"/>
        <v/>
      </c>
      <c r="CI87" s="108" t="str">
        <f t="shared" si="146"/>
        <v/>
      </c>
      <c r="CJ87" s="108" t="str">
        <f t="shared" si="146"/>
        <v/>
      </c>
      <c r="CK87" s="108" t="str">
        <f t="shared" si="146"/>
        <v/>
      </c>
      <c r="CL87" s="108" t="str">
        <f t="shared" si="146"/>
        <v/>
      </c>
      <c r="CM87" s="108" t="str">
        <f t="shared" ref="CM87:CV96" si="147">IF(CM$5=($F87-WEEKDAY($F87,2)+1),"u","")</f>
        <v/>
      </c>
      <c r="CN87" s="108" t="str">
        <f t="shared" si="147"/>
        <v/>
      </c>
      <c r="CO87" s="108" t="str">
        <f t="shared" si="147"/>
        <v/>
      </c>
      <c r="CP87" s="108" t="str">
        <f t="shared" si="147"/>
        <v/>
      </c>
      <c r="CQ87" s="108" t="str">
        <f t="shared" si="147"/>
        <v/>
      </c>
      <c r="CR87" s="109" t="str">
        <f t="shared" si="147"/>
        <v/>
      </c>
      <c r="CS87" s="108" t="str">
        <f t="shared" si="147"/>
        <v/>
      </c>
      <c r="CT87" s="108" t="str">
        <f t="shared" si="147"/>
        <v/>
      </c>
      <c r="CU87" s="108" t="str">
        <f t="shared" si="147"/>
        <v/>
      </c>
      <c r="CV87" s="108" t="str">
        <f t="shared" si="147"/>
        <v/>
      </c>
      <c r="CW87" s="108" t="str">
        <f t="shared" ref="CW87:DF96" si="148">IF(CW$5=($F87-WEEKDAY($F87,2)+1),"u","")</f>
        <v/>
      </c>
      <c r="CX87" s="108" t="str">
        <f t="shared" si="148"/>
        <v/>
      </c>
      <c r="CY87" s="108" t="str">
        <f t="shared" si="148"/>
        <v/>
      </c>
      <c r="CZ87" s="109" t="str">
        <f t="shared" si="148"/>
        <v/>
      </c>
      <c r="DA87" s="108" t="str">
        <f t="shared" si="148"/>
        <v/>
      </c>
      <c r="DB87" s="108" t="str">
        <f t="shared" si="148"/>
        <v/>
      </c>
      <c r="DC87" s="108" t="str">
        <f t="shared" si="148"/>
        <v/>
      </c>
      <c r="DD87" s="108" t="str">
        <f t="shared" si="148"/>
        <v/>
      </c>
      <c r="DE87" s="108" t="str">
        <f t="shared" si="148"/>
        <v/>
      </c>
      <c r="DF87" s="108" t="str">
        <f t="shared" si="148"/>
        <v/>
      </c>
      <c r="DG87" s="108" t="str">
        <f t="shared" ref="DG87:DP96" si="149">IF(DG$5=($F87-WEEKDAY($F87,2)+1),"u","")</f>
        <v/>
      </c>
      <c r="DH87" s="109" t="str">
        <f t="shared" si="149"/>
        <v/>
      </c>
      <c r="DI87" s="108" t="str">
        <f t="shared" si="149"/>
        <v/>
      </c>
      <c r="DJ87" s="108" t="str">
        <f t="shared" si="149"/>
        <v/>
      </c>
      <c r="DK87" s="108" t="str">
        <f t="shared" si="149"/>
        <v/>
      </c>
      <c r="DL87" s="108" t="str">
        <f t="shared" si="149"/>
        <v/>
      </c>
      <c r="DM87" s="108" t="str">
        <f t="shared" si="149"/>
        <v/>
      </c>
      <c r="DN87" s="108" t="str">
        <f t="shared" si="149"/>
        <v/>
      </c>
      <c r="DO87" s="109" t="str">
        <f t="shared" si="149"/>
        <v/>
      </c>
      <c r="DP87" s="108" t="str">
        <f t="shared" si="149"/>
        <v/>
      </c>
      <c r="DQ87" s="108" t="str">
        <f t="shared" ref="DQ87:DZ96" si="150">IF(DQ$5=($F87-WEEKDAY($F87,2)+1),"u","")</f>
        <v/>
      </c>
      <c r="DR87" s="108" t="str">
        <f t="shared" si="150"/>
        <v/>
      </c>
      <c r="DS87" s="108" t="str">
        <f t="shared" si="150"/>
        <v/>
      </c>
      <c r="DT87" s="108" t="str">
        <f t="shared" si="150"/>
        <v/>
      </c>
      <c r="DU87" s="108" t="str">
        <f t="shared" si="150"/>
        <v/>
      </c>
      <c r="DV87" s="108" t="str">
        <f t="shared" si="150"/>
        <v/>
      </c>
      <c r="DW87" s="109" t="str">
        <f t="shared" si="150"/>
        <v/>
      </c>
      <c r="DX87" s="108" t="str">
        <f t="shared" si="150"/>
        <v/>
      </c>
      <c r="DY87" s="108" t="str">
        <f t="shared" si="150"/>
        <v/>
      </c>
      <c r="DZ87" s="108" t="str">
        <f t="shared" si="150"/>
        <v/>
      </c>
      <c r="EA87" s="108" t="str">
        <f t="shared" ref="EA87:EJ96" si="151">IF(EA$5=($F87-WEEKDAY($F87,2)+1),"u","")</f>
        <v/>
      </c>
      <c r="EB87" s="108" t="str">
        <f t="shared" si="151"/>
        <v/>
      </c>
      <c r="EC87" s="108" t="str">
        <f t="shared" si="151"/>
        <v/>
      </c>
      <c r="ED87" s="109" t="str">
        <f t="shared" si="151"/>
        <v/>
      </c>
      <c r="EE87" s="108" t="str">
        <f t="shared" si="151"/>
        <v/>
      </c>
      <c r="EF87" s="108" t="str">
        <f t="shared" si="151"/>
        <v/>
      </c>
      <c r="EG87" s="108" t="str">
        <f t="shared" si="151"/>
        <v/>
      </c>
      <c r="EH87" s="108" t="str">
        <f t="shared" si="151"/>
        <v/>
      </c>
      <c r="EI87" s="108" t="str">
        <f t="shared" si="151"/>
        <v/>
      </c>
      <c r="EJ87" s="108" t="str">
        <f t="shared" si="151"/>
        <v/>
      </c>
      <c r="EK87" s="108" t="str">
        <f t="shared" ref="EK87:ET96" si="152">IF(EK$5=($F87-WEEKDAY($F87,2)+1),"u","")</f>
        <v/>
      </c>
      <c r="EL87" s="108" t="str">
        <f t="shared" si="152"/>
        <v/>
      </c>
      <c r="EM87" s="108" t="str">
        <f t="shared" si="152"/>
        <v/>
      </c>
      <c r="EN87" s="108" t="str">
        <f t="shared" si="152"/>
        <v/>
      </c>
      <c r="EO87" s="108" t="str">
        <f t="shared" si="152"/>
        <v/>
      </c>
      <c r="EP87" s="108" t="str">
        <f t="shared" si="152"/>
        <v/>
      </c>
      <c r="EQ87" s="108" t="str">
        <f t="shared" si="152"/>
        <v/>
      </c>
      <c r="ER87" s="108" t="str">
        <f t="shared" si="152"/>
        <v/>
      </c>
      <c r="ES87" s="109" t="str">
        <f t="shared" si="152"/>
        <v/>
      </c>
      <c r="ET87" s="108" t="str">
        <f t="shared" si="152"/>
        <v/>
      </c>
      <c r="EU87" s="108" t="str">
        <f t="shared" ref="EU87:FD96" si="153">IF(EU$5=($F87-WEEKDAY($F87,2)+1),"u","")</f>
        <v/>
      </c>
      <c r="EV87" s="108" t="str">
        <f t="shared" si="153"/>
        <v/>
      </c>
      <c r="EW87" s="108" t="str">
        <f t="shared" si="153"/>
        <v/>
      </c>
      <c r="EX87" s="108" t="str">
        <f t="shared" si="153"/>
        <v/>
      </c>
      <c r="EY87" s="108" t="str">
        <f t="shared" si="153"/>
        <v/>
      </c>
      <c r="EZ87" s="108" t="str">
        <f t="shared" si="153"/>
        <v/>
      </c>
      <c r="FA87" s="108" t="str">
        <f t="shared" si="153"/>
        <v/>
      </c>
      <c r="FB87" s="108" t="str">
        <f t="shared" si="153"/>
        <v/>
      </c>
      <c r="FC87" s="108" t="str">
        <f t="shared" si="153"/>
        <v/>
      </c>
      <c r="FD87" s="108" t="str">
        <f t="shared" si="153"/>
        <v/>
      </c>
      <c r="FE87" s="108" t="str">
        <f t="shared" ref="FE87:FN96" si="154">IF(FE$5=($F87-WEEKDAY($F87,2)+1),"u","")</f>
        <v/>
      </c>
      <c r="FF87" s="109" t="str">
        <f t="shared" si="154"/>
        <v/>
      </c>
      <c r="FG87" s="108" t="str">
        <f t="shared" si="154"/>
        <v/>
      </c>
      <c r="FH87" s="108" t="str">
        <f t="shared" si="154"/>
        <v/>
      </c>
      <c r="FI87" s="108" t="str">
        <f t="shared" si="154"/>
        <v/>
      </c>
      <c r="FJ87" s="108" t="str">
        <f t="shared" si="154"/>
        <v/>
      </c>
      <c r="FK87" s="108" t="str">
        <f t="shared" si="154"/>
        <v/>
      </c>
      <c r="FL87" s="108" t="str">
        <f t="shared" si="154"/>
        <v/>
      </c>
      <c r="FM87" s="108" t="str">
        <f t="shared" si="154"/>
        <v/>
      </c>
      <c r="FN87" s="108" t="str">
        <f t="shared" si="154"/>
        <v/>
      </c>
      <c r="FO87" s="108" t="str">
        <f t="shared" ref="FO87:FW96" si="155">IF(FO$5=($F87-WEEKDAY($F87,2)+1),"u","")</f>
        <v/>
      </c>
      <c r="FP87" s="108" t="str">
        <f t="shared" si="155"/>
        <v/>
      </c>
      <c r="FQ87" s="108" t="str">
        <f t="shared" si="155"/>
        <v/>
      </c>
      <c r="FR87" s="108" t="str">
        <f t="shared" si="155"/>
        <v/>
      </c>
      <c r="FS87" s="108" t="str">
        <f t="shared" si="155"/>
        <v/>
      </c>
      <c r="FT87" s="108" t="str">
        <f t="shared" si="155"/>
        <v/>
      </c>
      <c r="FU87" s="108" t="str">
        <f t="shared" si="155"/>
        <v/>
      </c>
      <c r="FV87" s="108" t="str">
        <f t="shared" si="155"/>
        <v/>
      </c>
      <c r="FW87" s="110" t="str">
        <f t="shared" si="155"/>
        <v/>
      </c>
    </row>
    <row r="88" spans="2:179" s="101" customFormat="1" ht="21" customHeight="1" x14ac:dyDescent="0.35">
      <c r="B88" s="27" t="e">
        <f>Portfolio_Daten!#REF!</f>
        <v>#REF!</v>
      </c>
      <c r="C88" s="27">
        <f>Portfolio_Daten!B89</f>
        <v>0</v>
      </c>
      <c r="D88" s="28">
        <f>Portfolio_Daten!E89</f>
        <v>0</v>
      </c>
      <c r="E88" s="31">
        <f>Portfolio_Daten!T89</f>
        <v>0</v>
      </c>
      <c r="F88" s="31">
        <f>Portfolio_Daten!U89</f>
        <v>0</v>
      </c>
      <c r="G88" s="107">
        <f>IF(F88="","",NETWORKDAYS(E88,F88,Parameter!$C$4:$C$51))</f>
        <v>0</v>
      </c>
      <c r="H88" s="29">
        <f>Portfolio_Daten!AG89</f>
        <v>0</v>
      </c>
      <c r="I88" s="33">
        <f>Portfolio_Daten!AI89</f>
        <v>0</v>
      </c>
      <c r="J88" s="106"/>
      <c r="K88" s="108" t="str">
        <f t="shared" si="139"/>
        <v/>
      </c>
      <c r="L88" s="108" t="str">
        <f t="shared" si="139"/>
        <v/>
      </c>
      <c r="M88" s="108" t="str">
        <f t="shared" si="139"/>
        <v/>
      </c>
      <c r="N88" s="108" t="str">
        <f t="shared" si="139"/>
        <v/>
      </c>
      <c r="O88" s="108" t="str">
        <f t="shared" si="139"/>
        <v/>
      </c>
      <c r="P88" s="108" t="str">
        <f t="shared" si="139"/>
        <v/>
      </c>
      <c r="Q88" s="108" t="str">
        <f t="shared" si="139"/>
        <v/>
      </c>
      <c r="R88" s="108" t="str">
        <f t="shared" si="139"/>
        <v/>
      </c>
      <c r="S88" s="108" t="str">
        <f t="shared" si="139"/>
        <v/>
      </c>
      <c r="T88" s="108" t="str">
        <f t="shared" si="139"/>
        <v/>
      </c>
      <c r="U88" s="108" t="str">
        <f t="shared" si="140"/>
        <v/>
      </c>
      <c r="V88" s="108" t="str">
        <f t="shared" si="140"/>
        <v/>
      </c>
      <c r="W88" s="108" t="str">
        <f t="shared" si="140"/>
        <v/>
      </c>
      <c r="X88" s="108" t="str">
        <f t="shared" si="140"/>
        <v/>
      </c>
      <c r="Y88" s="108" t="str">
        <f t="shared" si="140"/>
        <v/>
      </c>
      <c r="Z88" s="108" t="str">
        <f t="shared" si="140"/>
        <v/>
      </c>
      <c r="AA88" s="108" t="str">
        <f t="shared" si="140"/>
        <v/>
      </c>
      <c r="AB88" s="108" t="str">
        <f t="shared" si="140"/>
        <v/>
      </c>
      <c r="AC88" s="108" t="str">
        <f t="shared" si="140"/>
        <v/>
      </c>
      <c r="AD88" s="108" t="str">
        <f t="shared" si="140"/>
        <v/>
      </c>
      <c r="AE88" s="108" t="str">
        <f t="shared" si="141"/>
        <v/>
      </c>
      <c r="AF88" s="108" t="str">
        <f t="shared" si="141"/>
        <v/>
      </c>
      <c r="AG88" s="108" t="str">
        <f t="shared" si="141"/>
        <v/>
      </c>
      <c r="AH88" s="108" t="str">
        <f t="shared" si="141"/>
        <v/>
      </c>
      <c r="AI88" s="108" t="str">
        <f t="shared" si="141"/>
        <v/>
      </c>
      <c r="AJ88" s="108" t="str">
        <f t="shared" si="141"/>
        <v/>
      </c>
      <c r="AK88" s="108" t="str">
        <f t="shared" si="141"/>
        <v/>
      </c>
      <c r="AL88" s="108" t="str">
        <f t="shared" si="141"/>
        <v/>
      </c>
      <c r="AM88" s="108" t="str">
        <f t="shared" si="141"/>
        <v/>
      </c>
      <c r="AN88" s="108" t="str">
        <f t="shared" si="141"/>
        <v/>
      </c>
      <c r="AO88" s="108" t="str">
        <f t="shared" si="142"/>
        <v/>
      </c>
      <c r="AP88" s="108" t="str">
        <f t="shared" si="142"/>
        <v/>
      </c>
      <c r="AQ88" s="108" t="str">
        <f t="shared" si="142"/>
        <v/>
      </c>
      <c r="AR88" s="108" t="str">
        <f t="shared" si="142"/>
        <v/>
      </c>
      <c r="AS88" s="108" t="str">
        <f t="shared" si="142"/>
        <v/>
      </c>
      <c r="AT88" s="108" t="str">
        <f t="shared" si="142"/>
        <v/>
      </c>
      <c r="AU88" s="108" t="str">
        <f t="shared" si="142"/>
        <v/>
      </c>
      <c r="AV88" s="108" t="str">
        <f t="shared" si="142"/>
        <v/>
      </c>
      <c r="AW88" s="108" t="str">
        <f t="shared" si="142"/>
        <v/>
      </c>
      <c r="AX88" s="108" t="str">
        <f t="shared" si="142"/>
        <v/>
      </c>
      <c r="AY88" s="108" t="str">
        <f t="shared" si="143"/>
        <v/>
      </c>
      <c r="AZ88" s="108" t="str">
        <f t="shared" si="143"/>
        <v/>
      </c>
      <c r="BA88" s="108" t="str">
        <f t="shared" si="143"/>
        <v/>
      </c>
      <c r="BB88" s="108" t="str">
        <f t="shared" si="143"/>
        <v/>
      </c>
      <c r="BC88" s="108" t="str">
        <f t="shared" si="143"/>
        <v/>
      </c>
      <c r="BD88" s="108" t="str">
        <f t="shared" si="143"/>
        <v/>
      </c>
      <c r="BE88" s="108" t="str">
        <f t="shared" si="143"/>
        <v/>
      </c>
      <c r="BF88" s="108" t="str">
        <f t="shared" si="143"/>
        <v/>
      </c>
      <c r="BG88" s="108" t="str">
        <f t="shared" si="143"/>
        <v/>
      </c>
      <c r="BH88" s="108" t="str">
        <f t="shared" si="143"/>
        <v/>
      </c>
      <c r="BI88" s="108" t="str">
        <f t="shared" si="144"/>
        <v/>
      </c>
      <c r="BJ88" s="108" t="str">
        <f t="shared" si="144"/>
        <v/>
      </c>
      <c r="BK88" s="108" t="str">
        <f t="shared" si="144"/>
        <v/>
      </c>
      <c r="BL88" s="108" t="str">
        <f t="shared" si="144"/>
        <v/>
      </c>
      <c r="BM88" s="108" t="str">
        <f t="shared" si="144"/>
        <v/>
      </c>
      <c r="BN88" s="108" t="str">
        <f t="shared" si="144"/>
        <v/>
      </c>
      <c r="BO88" s="108" t="str">
        <f t="shared" si="144"/>
        <v/>
      </c>
      <c r="BP88" s="108" t="str">
        <f t="shared" si="144"/>
        <v/>
      </c>
      <c r="BQ88" s="108" t="str">
        <f t="shared" si="144"/>
        <v/>
      </c>
      <c r="BR88" s="108" t="str">
        <f t="shared" si="144"/>
        <v/>
      </c>
      <c r="BS88" s="108" t="str">
        <f t="shared" si="145"/>
        <v/>
      </c>
      <c r="BT88" s="108" t="str">
        <f t="shared" si="145"/>
        <v/>
      </c>
      <c r="BU88" s="108" t="str">
        <f t="shared" si="145"/>
        <v/>
      </c>
      <c r="BV88" s="108" t="str">
        <f t="shared" si="145"/>
        <v/>
      </c>
      <c r="BW88" s="108" t="str">
        <f t="shared" si="145"/>
        <v/>
      </c>
      <c r="BX88" s="108" t="str">
        <f t="shared" si="145"/>
        <v/>
      </c>
      <c r="BY88" s="108" t="str">
        <f t="shared" si="145"/>
        <v/>
      </c>
      <c r="BZ88" s="108" t="str">
        <f t="shared" si="145"/>
        <v/>
      </c>
      <c r="CA88" s="108" t="str">
        <f t="shared" si="145"/>
        <v/>
      </c>
      <c r="CB88" s="108" t="str">
        <f t="shared" si="145"/>
        <v/>
      </c>
      <c r="CC88" s="108" t="str">
        <f t="shared" si="146"/>
        <v/>
      </c>
      <c r="CD88" s="108" t="str">
        <f t="shared" si="146"/>
        <v/>
      </c>
      <c r="CE88" s="108" t="str">
        <f t="shared" si="146"/>
        <v/>
      </c>
      <c r="CF88" s="108" t="str">
        <f t="shared" si="146"/>
        <v/>
      </c>
      <c r="CG88" s="108" t="str">
        <f t="shared" si="146"/>
        <v/>
      </c>
      <c r="CH88" s="108" t="str">
        <f t="shared" si="146"/>
        <v/>
      </c>
      <c r="CI88" s="108" t="str">
        <f t="shared" si="146"/>
        <v/>
      </c>
      <c r="CJ88" s="108" t="str">
        <f t="shared" si="146"/>
        <v/>
      </c>
      <c r="CK88" s="108" t="str">
        <f t="shared" si="146"/>
        <v/>
      </c>
      <c r="CL88" s="108" t="str">
        <f t="shared" si="146"/>
        <v/>
      </c>
      <c r="CM88" s="108" t="str">
        <f t="shared" si="147"/>
        <v/>
      </c>
      <c r="CN88" s="108" t="str">
        <f t="shared" si="147"/>
        <v/>
      </c>
      <c r="CO88" s="108" t="str">
        <f t="shared" si="147"/>
        <v/>
      </c>
      <c r="CP88" s="108" t="str">
        <f t="shared" si="147"/>
        <v/>
      </c>
      <c r="CQ88" s="108" t="str">
        <f t="shared" si="147"/>
        <v/>
      </c>
      <c r="CR88" s="109" t="str">
        <f t="shared" si="147"/>
        <v/>
      </c>
      <c r="CS88" s="108" t="str">
        <f t="shared" si="147"/>
        <v/>
      </c>
      <c r="CT88" s="108" t="str">
        <f t="shared" si="147"/>
        <v/>
      </c>
      <c r="CU88" s="108" t="str">
        <f t="shared" si="147"/>
        <v/>
      </c>
      <c r="CV88" s="108" t="str">
        <f t="shared" si="147"/>
        <v/>
      </c>
      <c r="CW88" s="108" t="str">
        <f t="shared" si="148"/>
        <v/>
      </c>
      <c r="CX88" s="108" t="str">
        <f t="shared" si="148"/>
        <v/>
      </c>
      <c r="CY88" s="108" t="str">
        <f t="shared" si="148"/>
        <v/>
      </c>
      <c r="CZ88" s="109" t="str">
        <f t="shared" si="148"/>
        <v/>
      </c>
      <c r="DA88" s="108" t="str">
        <f t="shared" si="148"/>
        <v/>
      </c>
      <c r="DB88" s="108" t="str">
        <f t="shared" si="148"/>
        <v/>
      </c>
      <c r="DC88" s="108" t="str">
        <f t="shared" si="148"/>
        <v/>
      </c>
      <c r="DD88" s="108" t="str">
        <f t="shared" si="148"/>
        <v/>
      </c>
      <c r="DE88" s="108" t="str">
        <f t="shared" si="148"/>
        <v/>
      </c>
      <c r="DF88" s="108" t="str">
        <f t="shared" si="148"/>
        <v/>
      </c>
      <c r="DG88" s="108" t="str">
        <f t="shared" si="149"/>
        <v/>
      </c>
      <c r="DH88" s="109" t="str">
        <f t="shared" si="149"/>
        <v/>
      </c>
      <c r="DI88" s="108" t="str">
        <f t="shared" si="149"/>
        <v/>
      </c>
      <c r="DJ88" s="108" t="str">
        <f t="shared" si="149"/>
        <v/>
      </c>
      <c r="DK88" s="108" t="str">
        <f t="shared" si="149"/>
        <v/>
      </c>
      <c r="DL88" s="108" t="str">
        <f t="shared" si="149"/>
        <v/>
      </c>
      <c r="DM88" s="108" t="str">
        <f t="shared" si="149"/>
        <v/>
      </c>
      <c r="DN88" s="108" t="str">
        <f t="shared" si="149"/>
        <v/>
      </c>
      <c r="DO88" s="109" t="str">
        <f t="shared" si="149"/>
        <v/>
      </c>
      <c r="DP88" s="108" t="str">
        <f t="shared" si="149"/>
        <v/>
      </c>
      <c r="DQ88" s="108" t="str">
        <f t="shared" si="150"/>
        <v/>
      </c>
      <c r="DR88" s="108" t="str">
        <f t="shared" si="150"/>
        <v/>
      </c>
      <c r="DS88" s="108" t="str">
        <f t="shared" si="150"/>
        <v/>
      </c>
      <c r="DT88" s="108" t="str">
        <f t="shared" si="150"/>
        <v/>
      </c>
      <c r="DU88" s="108" t="str">
        <f t="shared" si="150"/>
        <v/>
      </c>
      <c r="DV88" s="108" t="str">
        <f t="shared" si="150"/>
        <v/>
      </c>
      <c r="DW88" s="109" t="str">
        <f t="shared" si="150"/>
        <v/>
      </c>
      <c r="DX88" s="108" t="str">
        <f t="shared" si="150"/>
        <v/>
      </c>
      <c r="DY88" s="108" t="str">
        <f t="shared" si="150"/>
        <v/>
      </c>
      <c r="DZ88" s="108" t="str">
        <f t="shared" si="150"/>
        <v/>
      </c>
      <c r="EA88" s="108" t="str">
        <f t="shared" si="151"/>
        <v/>
      </c>
      <c r="EB88" s="108" t="str">
        <f t="shared" si="151"/>
        <v/>
      </c>
      <c r="EC88" s="108" t="str">
        <f t="shared" si="151"/>
        <v/>
      </c>
      <c r="ED88" s="109" t="str">
        <f t="shared" si="151"/>
        <v/>
      </c>
      <c r="EE88" s="108" t="str">
        <f t="shared" si="151"/>
        <v/>
      </c>
      <c r="EF88" s="108" t="str">
        <f t="shared" si="151"/>
        <v/>
      </c>
      <c r="EG88" s="108" t="str">
        <f t="shared" si="151"/>
        <v/>
      </c>
      <c r="EH88" s="108" t="str">
        <f t="shared" si="151"/>
        <v/>
      </c>
      <c r="EI88" s="108" t="str">
        <f t="shared" si="151"/>
        <v/>
      </c>
      <c r="EJ88" s="108" t="str">
        <f t="shared" si="151"/>
        <v/>
      </c>
      <c r="EK88" s="108" t="str">
        <f t="shared" si="152"/>
        <v/>
      </c>
      <c r="EL88" s="108" t="str">
        <f t="shared" si="152"/>
        <v/>
      </c>
      <c r="EM88" s="108" t="str">
        <f t="shared" si="152"/>
        <v/>
      </c>
      <c r="EN88" s="108" t="str">
        <f t="shared" si="152"/>
        <v/>
      </c>
      <c r="EO88" s="108" t="str">
        <f t="shared" si="152"/>
        <v/>
      </c>
      <c r="EP88" s="108" t="str">
        <f t="shared" si="152"/>
        <v/>
      </c>
      <c r="EQ88" s="108" t="str">
        <f t="shared" si="152"/>
        <v/>
      </c>
      <c r="ER88" s="108" t="str">
        <f t="shared" si="152"/>
        <v/>
      </c>
      <c r="ES88" s="109" t="str">
        <f t="shared" si="152"/>
        <v/>
      </c>
      <c r="ET88" s="108" t="str">
        <f t="shared" si="152"/>
        <v/>
      </c>
      <c r="EU88" s="108" t="str">
        <f t="shared" si="153"/>
        <v/>
      </c>
      <c r="EV88" s="108" t="str">
        <f t="shared" si="153"/>
        <v/>
      </c>
      <c r="EW88" s="108" t="str">
        <f t="shared" si="153"/>
        <v/>
      </c>
      <c r="EX88" s="108" t="str">
        <f t="shared" si="153"/>
        <v/>
      </c>
      <c r="EY88" s="108" t="str">
        <f t="shared" si="153"/>
        <v/>
      </c>
      <c r="EZ88" s="108" t="str">
        <f t="shared" si="153"/>
        <v/>
      </c>
      <c r="FA88" s="108" t="str">
        <f t="shared" si="153"/>
        <v/>
      </c>
      <c r="FB88" s="108" t="str">
        <f t="shared" si="153"/>
        <v/>
      </c>
      <c r="FC88" s="108" t="str">
        <f t="shared" si="153"/>
        <v/>
      </c>
      <c r="FD88" s="108" t="str">
        <f t="shared" si="153"/>
        <v/>
      </c>
      <c r="FE88" s="108" t="str">
        <f t="shared" si="154"/>
        <v/>
      </c>
      <c r="FF88" s="109" t="str">
        <f t="shared" si="154"/>
        <v/>
      </c>
      <c r="FG88" s="108" t="str">
        <f t="shared" si="154"/>
        <v/>
      </c>
      <c r="FH88" s="108" t="str">
        <f t="shared" si="154"/>
        <v/>
      </c>
      <c r="FI88" s="108" t="str">
        <f t="shared" si="154"/>
        <v/>
      </c>
      <c r="FJ88" s="108" t="str">
        <f t="shared" si="154"/>
        <v/>
      </c>
      <c r="FK88" s="108" t="str">
        <f t="shared" si="154"/>
        <v/>
      </c>
      <c r="FL88" s="108" t="str">
        <f t="shared" si="154"/>
        <v/>
      </c>
      <c r="FM88" s="108" t="str">
        <f t="shared" si="154"/>
        <v/>
      </c>
      <c r="FN88" s="108" t="str">
        <f t="shared" si="154"/>
        <v/>
      </c>
      <c r="FO88" s="108" t="str">
        <f t="shared" si="155"/>
        <v/>
      </c>
      <c r="FP88" s="108" t="str">
        <f t="shared" si="155"/>
        <v/>
      </c>
      <c r="FQ88" s="108" t="str">
        <f t="shared" si="155"/>
        <v/>
      </c>
      <c r="FR88" s="108" t="str">
        <f t="shared" si="155"/>
        <v/>
      </c>
      <c r="FS88" s="108" t="str">
        <f t="shared" si="155"/>
        <v/>
      </c>
      <c r="FT88" s="108" t="str">
        <f t="shared" si="155"/>
        <v/>
      </c>
      <c r="FU88" s="108" t="str">
        <f t="shared" si="155"/>
        <v/>
      </c>
      <c r="FV88" s="108" t="str">
        <f t="shared" si="155"/>
        <v/>
      </c>
      <c r="FW88" s="110" t="str">
        <f t="shared" si="155"/>
        <v/>
      </c>
    </row>
    <row r="89" spans="2:179" s="101" customFormat="1" ht="21" customHeight="1" x14ac:dyDescent="0.35">
      <c r="B89" s="27" t="e">
        <f>Portfolio_Daten!#REF!</f>
        <v>#REF!</v>
      </c>
      <c r="C89" s="27">
        <f>Portfolio_Daten!B90</f>
        <v>0</v>
      </c>
      <c r="D89" s="28">
        <f>Portfolio_Daten!E90</f>
        <v>0</v>
      </c>
      <c r="E89" s="31">
        <f>Portfolio_Daten!T90</f>
        <v>0</v>
      </c>
      <c r="F89" s="31">
        <f>Portfolio_Daten!U90</f>
        <v>0</v>
      </c>
      <c r="G89" s="107">
        <f>IF(F89="","",NETWORKDAYS(E89,F89,Parameter!$C$4:$C$51))</f>
        <v>0</v>
      </c>
      <c r="H89" s="29">
        <f>Portfolio_Daten!AG90</f>
        <v>0</v>
      </c>
      <c r="I89" s="33">
        <f>Portfolio_Daten!AI90</f>
        <v>0</v>
      </c>
      <c r="J89" s="106"/>
      <c r="K89" s="108" t="str">
        <f t="shared" si="139"/>
        <v/>
      </c>
      <c r="L89" s="108" t="str">
        <f t="shared" si="139"/>
        <v/>
      </c>
      <c r="M89" s="108" t="str">
        <f t="shared" si="139"/>
        <v/>
      </c>
      <c r="N89" s="108" t="str">
        <f t="shared" si="139"/>
        <v/>
      </c>
      <c r="O89" s="108" t="str">
        <f t="shared" si="139"/>
        <v/>
      </c>
      <c r="P89" s="108" t="str">
        <f t="shared" si="139"/>
        <v/>
      </c>
      <c r="Q89" s="108" t="str">
        <f t="shared" si="139"/>
        <v/>
      </c>
      <c r="R89" s="108" t="str">
        <f t="shared" si="139"/>
        <v/>
      </c>
      <c r="S89" s="108" t="str">
        <f t="shared" si="139"/>
        <v/>
      </c>
      <c r="T89" s="108" t="str">
        <f t="shared" si="139"/>
        <v/>
      </c>
      <c r="U89" s="108" t="str">
        <f t="shared" si="140"/>
        <v/>
      </c>
      <c r="V89" s="108" t="str">
        <f t="shared" si="140"/>
        <v/>
      </c>
      <c r="W89" s="108" t="str">
        <f t="shared" si="140"/>
        <v/>
      </c>
      <c r="X89" s="108" t="str">
        <f t="shared" si="140"/>
        <v/>
      </c>
      <c r="Y89" s="108" t="str">
        <f t="shared" si="140"/>
        <v/>
      </c>
      <c r="Z89" s="108" t="str">
        <f t="shared" si="140"/>
        <v/>
      </c>
      <c r="AA89" s="108" t="str">
        <f t="shared" si="140"/>
        <v/>
      </c>
      <c r="AB89" s="108" t="str">
        <f t="shared" si="140"/>
        <v/>
      </c>
      <c r="AC89" s="108" t="str">
        <f t="shared" si="140"/>
        <v/>
      </c>
      <c r="AD89" s="108" t="str">
        <f t="shared" si="140"/>
        <v/>
      </c>
      <c r="AE89" s="108" t="str">
        <f t="shared" si="141"/>
        <v/>
      </c>
      <c r="AF89" s="108" t="str">
        <f t="shared" si="141"/>
        <v/>
      </c>
      <c r="AG89" s="108" t="str">
        <f t="shared" si="141"/>
        <v/>
      </c>
      <c r="AH89" s="108" t="str">
        <f t="shared" si="141"/>
        <v/>
      </c>
      <c r="AI89" s="108" t="str">
        <f t="shared" si="141"/>
        <v/>
      </c>
      <c r="AJ89" s="108" t="str">
        <f t="shared" si="141"/>
        <v/>
      </c>
      <c r="AK89" s="108" t="str">
        <f t="shared" si="141"/>
        <v/>
      </c>
      <c r="AL89" s="108" t="str">
        <f t="shared" si="141"/>
        <v/>
      </c>
      <c r="AM89" s="108" t="str">
        <f t="shared" si="141"/>
        <v/>
      </c>
      <c r="AN89" s="108" t="str">
        <f t="shared" si="141"/>
        <v/>
      </c>
      <c r="AO89" s="108" t="str">
        <f t="shared" si="142"/>
        <v/>
      </c>
      <c r="AP89" s="108" t="str">
        <f t="shared" si="142"/>
        <v/>
      </c>
      <c r="AQ89" s="108" t="str">
        <f t="shared" si="142"/>
        <v/>
      </c>
      <c r="AR89" s="108" t="str">
        <f t="shared" si="142"/>
        <v/>
      </c>
      <c r="AS89" s="108" t="str">
        <f t="shared" si="142"/>
        <v/>
      </c>
      <c r="AT89" s="108" t="str">
        <f t="shared" si="142"/>
        <v/>
      </c>
      <c r="AU89" s="108" t="str">
        <f t="shared" si="142"/>
        <v/>
      </c>
      <c r="AV89" s="108" t="str">
        <f t="shared" si="142"/>
        <v/>
      </c>
      <c r="AW89" s="108" t="str">
        <f t="shared" si="142"/>
        <v/>
      </c>
      <c r="AX89" s="108" t="str">
        <f t="shared" si="142"/>
        <v/>
      </c>
      <c r="AY89" s="108" t="str">
        <f t="shared" si="143"/>
        <v/>
      </c>
      <c r="AZ89" s="108" t="str">
        <f t="shared" si="143"/>
        <v/>
      </c>
      <c r="BA89" s="108" t="str">
        <f t="shared" si="143"/>
        <v/>
      </c>
      <c r="BB89" s="108" t="str">
        <f t="shared" si="143"/>
        <v/>
      </c>
      <c r="BC89" s="108" t="str">
        <f t="shared" si="143"/>
        <v/>
      </c>
      <c r="BD89" s="108" t="str">
        <f t="shared" si="143"/>
        <v/>
      </c>
      <c r="BE89" s="108" t="str">
        <f t="shared" si="143"/>
        <v/>
      </c>
      <c r="BF89" s="108" t="str">
        <f t="shared" si="143"/>
        <v/>
      </c>
      <c r="BG89" s="108" t="str">
        <f t="shared" si="143"/>
        <v/>
      </c>
      <c r="BH89" s="108" t="str">
        <f t="shared" si="143"/>
        <v/>
      </c>
      <c r="BI89" s="108" t="str">
        <f t="shared" si="144"/>
        <v/>
      </c>
      <c r="BJ89" s="108" t="str">
        <f t="shared" si="144"/>
        <v/>
      </c>
      <c r="BK89" s="108" t="str">
        <f t="shared" si="144"/>
        <v/>
      </c>
      <c r="BL89" s="108" t="str">
        <f t="shared" si="144"/>
        <v/>
      </c>
      <c r="BM89" s="108" t="str">
        <f t="shared" si="144"/>
        <v/>
      </c>
      <c r="BN89" s="108" t="str">
        <f t="shared" si="144"/>
        <v/>
      </c>
      <c r="BO89" s="108" t="str">
        <f t="shared" si="144"/>
        <v/>
      </c>
      <c r="BP89" s="108" t="str">
        <f t="shared" si="144"/>
        <v/>
      </c>
      <c r="BQ89" s="108" t="str">
        <f t="shared" si="144"/>
        <v/>
      </c>
      <c r="BR89" s="108" t="str">
        <f t="shared" si="144"/>
        <v/>
      </c>
      <c r="BS89" s="108" t="str">
        <f t="shared" si="145"/>
        <v/>
      </c>
      <c r="BT89" s="108" t="str">
        <f t="shared" si="145"/>
        <v/>
      </c>
      <c r="BU89" s="108" t="str">
        <f t="shared" si="145"/>
        <v/>
      </c>
      <c r="BV89" s="108" t="str">
        <f t="shared" si="145"/>
        <v/>
      </c>
      <c r="BW89" s="108" t="str">
        <f t="shared" si="145"/>
        <v/>
      </c>
      <c r="BX89" s="108" t="str">
        <f t="shared" si="145"/>
        <v/>
      </c>
      <c r="BY89" s="108" t="str">
        <f t="shared" si="145"/>
        <v/>
      </c>
      <c r="BZ89" s="108" t="str">
        <f t="shared" si="145"/>
        <v/>
      </c>
      <c r="CA89" s="108" t="str">
        <f t="shared" si="145"/>
        <v/>
      </c>
      <c r="CB89" s="108" t="str">
        <f t="shared" si="145"/>
        <v/>
      </c>
      <c r="CC89" s="108" t="str">
        <f t="shared" si="146"/>
        <v/>
      </c>
      <c r="CD89" s="108" t="str">
        <f t="shared" si="146"/>
        <v/>
      </c>
      <c r="CE89" s="108" t="str">
        <f t="shared" si="146"/>
        <v/>
      </c>
      <c r="CF89" s="108" t="str">
        <f t="shared" si="146"/>
        <v/>
      </c>
      <c r="CG89" s="108" t="str">
        <f t="shared" si="146"/>
        <v/>
      </c>
      <c r="CH89" s="108" t="str">
        <f t="shared" si="146"/>
        <v/>
      </c>
      <c r="CI89" s="108" t="str">
        <f t="shared" si="146"/>
        <v/>
      </c>
      <c r="CJ89" s="108" t="str">
        <f t="shared" si="146"/>
        <v/>
      </c>
      <c r="CK89" s="108" t="str">
        <f t="shared" si="146"/>
        <v/>
      </c>
      <c r="CL89" s="108" t="str">
        <f t="shared" si="146"/>
        <v/>
      </c>
      <c r="CM89" s="108" t="str">
        <f t="shared" si="147"/>
        <v/>
      </c>
      <c r="CN89" s="108" t="str">
        <f t="shared" si="147"/>
        <v/>
      </c>
      <c r="CO89" s="108" t="str">
        <f t="shared" si="147"/>
        <v/>
      </c>
      <c r="CP89" s="108" t="str">
        <f t="shared" si="147"/>
        <v/>
      </c>
      <c r="CQ89" s="108" t="str">
        <f t="shared" si="147"/>
        <v/>
      </c>
      <c r="CR89" s="109" t="str">
        <f t="shared" si="147"/>
        <v/>
      </c>
      <c r="CS89" s="108" t="str">
        <f t="shared" si="147"/>
        <v/>
      </c>
      <c r="CT89" s="108" t="str">
        <f t="shared" si="147"/>
        <v/>
      </c>
      <c r="CU89" s="108" t="str">
        <f t="shared" si="147"/>
        <v/>
      </c>
      <c r="CV89" s="108" t="str">
        <f t="shared" si="147"/>
        <v/>
      </c>
      <c r="CW89" s="108" t="str">
        <f t="shared" si="148"/>
        <v/>
      </c>
      <c r="CX89" s="108" t="str">
        <f t="shared" si="148"/>
        <v/>
      </c>
      <c r="CY89" s="108" t="str">
        <f t="shared" si="148"/>
        <v/>
      </c>
      <c r="CZ89" s="109" t="str">
        <f t="shared" si="148"/>
        <v/>
      </c>
      <c r="DA89" s="108" t="str">
        <f t="shared" si="148"/>
        <v/>
      </c>
      <c r="DB89" s="108" t="str">
        <f t="shared" si="148"/>
        <v/>
      </c>
      <c r="DC89" s="108" t="str">
        <f t="shared" si="148"/>
        <v/>
      </c>
      <c r="DD89" s="108" t="str">
        <f t="shared" si="148"/>
        <v/>
      </c>
      <c r="DE89" s="108" t="str">
        <f t="shared" si="148"/>
        <v/>
      </c>
      <c r="DF89" s="108" t="str">
        <f t="shared" si="148"/>
        <v/>
      </c>
      <c r="DG89" s="108" t="str">
        <f t="shared" si="149"/>
        <v/>
      </c>
      <c r="DH89" s="109" t="str">
        <f t="shared" si="149"/>
        <v/>
      </c>
      <c r="DI89" s="108" t="str">
        <f t="shared" si="149"/>
        <v/>
      </c>
      <c r="DJ89" s="108" t="str">
        <f t="shared" si="149"/>
        <v/>
      </c>
      <c r="DK89" s="108" t="str">
        <f t="shared" si="149"/>
        <v/>
      </c>
      <c r="DL89" s="108" t="str">
        <f t="shared" si="149"/>
        <v/>
      </c>
      <c r="DM89" s="108" t="str">
        <f t="shared" si="149"/>
        <v/>
      </c>
      <c r="DN89" s="108" t="str">
        <f t="shared" si="149"/>
        <v/>
      </c>
      <c r="DO89" s="109" t="str">
        <f t="shared" si="149"/>
        <v/>
      </c>
      <c r="DP89" s="108" t="str">
        <f t="shared" si="149"/>
        <v/>
      </c>
      <c r="DQ89" s="108" t="str">
        <f t="shared" si="150"/>
        <v/>
      </c>
      <c r="DR89" s="108" t="str">
        <f t="shared" si="150"/>
        <v/>
      </c>
      <c r="DS89" s="108" t="str">
        <f t="shared" si="150"/>
        <v/>
      </c>
      <c r="DT89" s="108" t="str">
        <f t="shared" si="150"/>
        <v/>
      </c>
      <c r="DU89" s="108" t="str">
        <f t="shared" si="150"/>
        <v/>
      </c>
      <c r="DV89" s="108" t="str">
        <f t="shared" si="150"/>
        <v/>
      </c>
      <c r="DW89" s="109" t="str">
        <f t="shared" si="150"/>
        <v/>
      </c>
      <c r="DX89" s="108" t="str">
        <f t="shared" si="150"/>
        <v/>
      </c>
      <c r="DY89" s="108" t="str">
        <f t="shared" si="150"/>
        <v/>
      </c>
      <c r="DZ89" s="108" t="str">
        <f t="shared" si="150"/>
        <v/>
      </c>
      <c r="EA89" s="108" t="str">
        <f t="shared" si="151"/>
        <v/>
      </c>
      <c r="EB89" s="108" t="str">
        <f t="shared" si="151"/>
        <v/>
      </c>
      <c r="EC89" s="108" t="str">
        <f t="shared" si="151"/>
        <v/>
      </c>
      <c r="ED89" s="109" t="str">
        <f t="shared" si="151"/>
        <v/>
      </c>
      <c r="EE89" s="108" t="str">
        <f t="shared" si="151"/>
        <v/>
      </c>
      <c r="EF89" s="108" t="str">
        <f t="shared" si="151"/>
        <v/>
      </c>
      <c r="EG89" s="108" t="str">
        <f t="shared" si="151"/>
        <v/>
      </c>
      <c r="EH89" s="108" t="str">
        <f t="shared" si="151"/>
        <v/>
      </c>
      <c r="EI89" s="108" t="str">
        <f t="shared" si="151"/>
        <v/>
      </c>
      <c r="EJ89" s="108" t="str">
        <f t="shared" si="151"/>
        <v/>
      </c>
      <c r="EK89" s="108" t="str">
        <f t="shared" si="152"/>
        <v/>
      </c>
      <c r="EL89" s="108" t="str">
        <f t="shared" si="152"/>
        <v/>
      </c>
      <c r="EM89" s="108" t="str">
        <f t="shared" si="152"/>
        <v/>
      </c>
      <c r="EN89" s="108" t="str">
        <f t="shared" si="152"/>
        <v/>
      </c>
      <c r="EO89" s="108" t="str">
        <f t="shared" si="152"/>
        <v/>
      </c>
      <c r="EP89" s="108" t="str">
        <f t="shared" si="152"/>
        <v/>
      </c>
      <c r="EQ89" s="108" t="str">
        <f t="shared" si="152"/>
        <v/>
      </c>
      <c r="ER89" s="108" t="str">
        <f t="shared" si="152"/>
        <v/>
      </c>
      <c r="ES89" s="109" t="str">
        <f t="shared" si="152"/>
        <v/>
      </c>
      <c r="ET89" s="108" t="str">
        <f t="shared" si="152"/>
        <v/>
      </c>
      <c r="EU89" s="108" t="str">
        <f t="shared" si="153"/>
        <v/>
      </c>
      <c r="EV89" s="108" t="str">
        <f t="shared" si="153"/>
        <v/>
      </c>
      <c r="EW89" s="108" t="str">
        <f t="shared" si="153"/>
        <v/>
      </c>
      <c r="EX89" s="108" t="str">
        <f t="shared" si="153"/>
        <v/>
      </c>
      <c r="EY89" s="108" t="str">
        <f t="shared" si="153"/>
        <v/>
      </c>
      <c r="EZ89" s="108" t="str">
        <f t="shared" si="153"/>
        <v/>
      </c>
      <c r="FA89" s="108" t="str">
        <f t="shared" si="153"/>
        <v/>
      </c>
      <c r="FB89" s="108" t="str">
        <f t="shared" si="153"/>
        <v/>
      </c>
      <c r="FC89" s="108" t="str">
        <f t="shared" si="153"/>
        <v/>
      </c>
      <c r="FD89" s="108" t="str">
        <f t="shared" si="153"/>
        <v/>
      </c>
      <c r="FE89" s="108" t="str">
        <f t="shared" si="154"/>
        <v/>
      </c>
      <c r="FF89" s="109" t="str">
        <f t="shared" si="154"/>
        <v/>
      </c>
      <c r="FG89" s="108" t="str">
        <f t="shared" si="154"/>
        <v/>
      </c>
      <c r="FH89" s="108" t="str">
        <f t="shared" si="154"/>
        <v/>
      </c>
      <c r="FI89" s="108" t="str">
        <f t="shared" si="154"/>
        <v/>
      </c>
      <c r="FJ89" s="108" t="str">
        <f t="shared" si="154"/>
        <v/>
      </c>
      <c r="FK89" s="108" t="str">
        <f t="shared" si="154"/>
        <v/>
      </c>
      <c r="FL89" s="108" t="str">
        <f t="shared" si="154"/>
        <v/>
      </c>
      <c r="FM89" s="108" t="str">
        <f t="shared" si="154"/>
        <v/>
      </c>
      <c r="FN89" s="108" t="str">
        <f t="shared" si="154"/>
        <v/>
      </c>
      <c r="FO89" s="108" t="str">
        <f t="shared" si="155"/>
        <v/>
      </c>
      <c r="FP89" s="108" t="str">
        <f t="shared" si="155"/>
        <v/>
      </c>
      <c r="FQ89" s="108" t="str">
        <f t="shared" si="155"/>
        <v/>
      </c>
      <c r="FR89" s="108" t="str">
        <f t="shared" si="155"/>
        <v/>
      </c>
      <c r="FS89" s="108" t="str">
        <f t="shared" si="155"/>
        <v/>
      </c>
      <c r="FT89" s="108" t="str">
        <f t="shared" si="155"/>
        <v/>
      </c>
      <c r="FU89" s="108" t="str">
        <f t="shared" si="155"/>
        <v/>
      </c>
      <c r="FV89" s="108" t="str">
        <f t="shared" si="155"/>
        <v/>
      </c>
      <c r="FW89" s="110" t="str">
        <f t="shared" si="155"/>
        <v/>
      </c>
    </row>
    <row r="90" spans="2:179" s="101" customFormat="1" ht="21" customHeight="1" x14ac:dyDescent="0.35">
      <c r="B90" s="27" t="e">
        <f>Portfolio_Daten!#REF!</f>
        <v>#REF!</v>
      </c>
      <c r="C90" s="27">
        <f>Portfolio_Daten!B91</f>
        <v>0</v>
      </c>
      <c r="D90" s="28">
        <f>Portfolio_Daten!E91</f>
        <v>0</v>
      </c>
      <c r="E90" s="31">
        <f>Portfolio_Daten!T91</f>
        <v>0</v>
      </c>
      <c r="F90" s="31">
        <f>Portfolio_Daten!U91</f>
        <v>0</v>
      </c>
      <c r="G90" s="107">
        <f>IF(F90="","",NETWORKDAYS(E90,F90,Parameter!$C$4:$C$51))</f>
        <v>0</v>
      </c>
      <c r="H90" s="29">
        <f>Portfolio_Daten!AG91</f>
        <v>0</v>
      </c>
      <c r="I90" s="33">
        <f>Portfolio_Daten!AI91</f>
        <v>0</v>
      </c>
      <c r="J90" s="106"/>
      <c r="K90" s="108" t="str">
        <f t="shared" si="139"/>
        <v/>
      </c>
      <c r="L90" s="108" t="str">
        <f t="shared" si="139"/>
        <v/>
      </c>
      <c r="M90" s="108" t="str">
        <f t="shared" si="139"/>
        <v/>
      </c>
      <c r="N90" s="108" t="str">
        <f t="shared" si="139"/>
        <v/>
      </c>
      <c r="O90" s="108" t="str">
        <f t="shared" si="139"/>
        <v/>
      </c>
      <c r="P90" s="108" t="str">
        <f t="shared" si="139"/>
        <v/>
      </c>
      <c r="Q90" s="108" t="str">
        <f t="shared" si="139"/>
        <v/>
      </c>
      <c r="R90" s="108" t="str">
        <f t="shared" si="139"/>
        <v/>
      </c>
      <c r="S90" s="108" t="str">
        <f t="shared" si="139"/>
        <v/>
      </c>
      <c r="T90" s="108" t="str">
        <f t="shared" si="139"/>
        <v/>
      </c>
      <c r="U90" s="108" t="str">
        <f t="shared" si="140"/>
        <v/>
      </c>
      <c r="V90" s="108" t="str">
        <f t="shared" si="140"/>
        <v/>
      </c>
      <c r="W90" s="108" t="str">
        <f t="shared" si="140"/>
        <v/>
      </c>
      <c r="X90" s="108" t="str">
        <f t="shared" si="140"/>
        <v/>
      </c>
      <c r="Y90" s="108" t="str">
        <f t="shared" si="140"/>
        <v/>
      </c>
      <c r="Z90" s="108" t="str">
        <f t="shared" si="140"/>
        <v/>
      </c>
      <c r="AA90" s="108" t="str">
        <f t="shared" si="140"/>
        <v/>
      </c>
      <c r="AB90" s="108" t="str">
        <f t="shared" si="140"/>
        <v/>
      </c>
      <c r="AC90" s="108" t="str">
        <f t="shared" si="140"/>
        <v/>
      </c>
      <c r="AD90" s="108" t="str">
        <f t="shared" si="140"/>
        <v/>
      </c>
      <c r="AE90" s="108" t="str">
        <f t="shared" si="141"/>
        <v/>
      </c>
      <c r="AF90" s="108" t="str">
        <f t="shared" si="141"/>
        <v/>
      </c>
      <c r="AG90" s="108" t="str">
        <f t="shared" si="141"/>
        <v/>
      </c>
      <c r="AH90" s="108" t="str">
        <f t="shared" si="141"/>
        <v/>
      </c>
      <c r="AI90" s="108" t="str">
        <f t="shared" si="141"/>
        <v/>
      </c>
      <c r="AJ90" s="108" t="str">
        <f t="shared" si="141"/>
        <v/>
      </c>
      <c r="AK90" s="108" t="str">
        <f t="shared" si="141"/>
        <v/>
      </c>
      <c r="AL90" s="108" t="str">
        <f t="shared" si="141"/>
        <v/>
      </c>
      <c r="AM90" s="108" t="str">
        <f t="shared" si="141"/>
        <v/>
      </c>
      <c r="AN90" s="108" t="str">
        <f t="shared" si="141"/>
        <v/>
      </c>
      <c r="AO90" s="108" t="str">
        <f t="shared" si="142"/>
        <v/>
      </c>
      <c r="AP90" s="108" t="str">
        <f t="shared" si="142"/>
        <v/>
      </c>
      <c r="AQ90" s="108" t="str">
        <f t="shared" si="142"/>
        <v/>
      </c>
      <c r="AR90" s="108" t="str">
        <f t="shared" si="142"/>
        <v/>
      </c>
      <c r="AS90" s="108" t="str">
        <f t="shared" si="142"/>
        <v/>
      </c>
      <c r="AT90" s="108" t="str">
        <f t="shared" si="142"/>
        <v/>
      </c>
      <c r="AU90" s="108" t="str">
        <f t="shared" si="142"/>
        <v/>
      </c>
      <c r="AV90" s="108" t="str">
        <f t="shared" si="142"/>
        <v/>
      </c>
      <c r="AW90" s="108" t="str">
        <f t="shared" si="142"/>
        <v/>
      </c>
      <c r="AX90" s="108" t="str">
        <f t="shared" si="142"/>
        <v/>
      </c>
      <c r="AY90" s="108" t="str">
        <f t="shared" si="143"/>
        <v/>
      </c>
      <c r="AZ90" s="108" t="str">
        <f t="shared" si="143"/>
        <v/>
      </c>
      <c r="BA90" s="108" t="str">
        <f t="shared" si="143"/>
        <v/>
      </c>
      <c r="BB90" s="108" t="str">
        <f t="shared" si="143"/>
        <v/>
      </c>
      <c r="BC90" s="108" t="str">
        <f t="shared" si="143"/>
        <v/>
      </c>
      <c r="BD90" s="108" t="str">
        <f t="shared" si="143"/>
        <v/>
      </c>
      <c r="BE90" s="108" t="str">
        <f t="shared" si="143"/>
        <v/>
      </c>
      <c r="BF90" s="108" t="str">
        <f t="shared" si="143"/>
        <v/>
      </c>
      <c r="BG90" s="108" t="str">
        <f t="shared" si="143"/>
        <v/>
      </c>
      <c r="BH90" s="108" t="str">
        <f t="shared" si="143"/>
        <v/>
      </c>
      <c r="BI90" s="108" t="str">
        <f t="shared" si="144"/>
        <v/>
      </c>
      <c r="BJ90" s="108" t="str">
        <f t="shared" si="144"/>
        <v/>
      </c>
      <c r="BK90" s="108" t="str">
        <f t="shared" si="144"/>
        <v/>
      </c>
      <c r="BL90" s="108" t="str">
        <f t="shared" si="144"/>
        <v/>
      </c>
      <c r="BM90" s="108" t="str">
        <f t="shared" si="144"/>
        <v/>
      </c>
      <c r="BN90" s="108" t="str">
        <f t="shared" si="144"/>
        <v/>
      </c>
      <c r="BO90" s="108" t="str">
        <f t="shared" si="144"/>
        <v/>
      </c>
      <c r="BP90" s="108" t="str">
        <f t="shared" si="144"/>
        <v/>
      </c>
      <c r="BQ90" s="108" t="str">
        <f t="shared" si="144"/>
        <v/>
      </c>
      <c r="BR90" s="108" t="str">
        <f t="shared" si="144"/>
        <v/>
      </c>
      <c r="BS90" s="108" t="str">
        <f t="shared" si="145"/>
        <v/>
      </c>
      <c r="BT90" s="108" t="str">
        <f t="shared" si="145"/>
        <v/>
      </c>
      <c r="BU90" s="108" t="str">
        <f t="shared" si="145"/>
        <v/>
      </c>
      <c r="BV90" s="108" t="str">
        <f t="shared" si="145"/>
        <v/>
      </c>
      <c r="BW90" s="108" t="str">
        <f t="shared" si="145"/>
        <v/>
      </c>
      <c r="BX90" s="108" t="str">
        <f t="shared" si="145"/>
        <v/>
      </c>
      <c r="BY90" s="108" t="str">
        <f t="shared" si="145"/>
        <v/>
      </c>
      <c r="BZ90" s="108" t="str">
        <f t="shared" si="145"/>
        <v/>
      </c>
      <c r="CA90" s="108" t="str">
        <f t="shared" si="145"/>
        <v/>
      </c>
      <c r="CB90" s="108" t="str">
        <f t="shared" si="145"/>
        <v/>
      </c>
      <c r="CC90" s="108" t="str">
        <f t="shared" si="146"/>
        <v/>
      </c>
      <c r="CD90" s="108" t="str">
        <f t="shared" si="146"/>
        <v/>
      </c>
      <c r="CE90" s="108" t="str">
        <f t="shared" si="146"/>
        <v/>
      </c>
      <c r="CF90" s="108" t="str">
        <f t="shared" si="146"/>
        <v/>
      </c>
      <c r="CG90" s="108" t="str">
        <f t="shared" si="146"/>
        <v/>
      </c>
      <c r="CH90" s="108" t="str">
        <f t="shared" si="146"/>
        <v/>
      </c>
      <c r="CI90" s="108" t="str">
        <f t="shared" si="146"/>
        <v/>
      </c>
      <c r="CJ90" s="108" t="str">
        <f t="shared" si="146"/>
        <v/>
      </c>
      <c r="CK90" s="108" t="str">
        <f t="shared" si="146"/>
        <v/>
      </c>
      <c r="CL90" s="108" t="str">
        <f t="shared" si="146"/>
        <v/>
      </c>
      <c r="CM90" s="108" t="str">
        <f t="shared" si="147"/>
        <v/>
      </c>
      <c r="CN90" s="108" t="str">
        <f t="shared" si="147"/>
        <v/>
      </c>
      <c r="CO90" s="108" t="str">
        <f t="shared" si="147"/>
        <v/>
      </c>
      <c r="CP90" s="108" t="str">
        <f t="shared" si="147"/>
        <v/>
      </c>
      <c r="CQ90" s="108" t="str">
        <f t="shared" si="147"/>
        <v/>
      </c>
      <c r="CR90" s="109" t="str">
        <f t="shared" si="147"/>
        <v/>
      </c>
      <c r="CS90" s="108" t="str">
        <f t="shared" si="147"/>
        <v/>
      </c>
      <c r="CT90" s="108" t="str">
        <f t="shared" si="147"/>
        <v/>
      </c>
      <c r="CU90" s="108" t="str">
        <f t="shared" si="147"/>
        <v/>
      </c>
      <c r="CV90" s="108" t="str">
        <f t="shared" si="147"/>
        <v/>
      </c>
      <c r="CW90" s="108" t="str">
        <f t="shared" si="148"/>
        <v/>
      </c>
      <c r="CX90" s="108" t="str">
        <f t="shared" si="148"/>
        <v/>
      </c>
      <c r="CY90" s="108" t="str">
        <f t="shared" si="148"/>
        <v/>
      </c>
      <c r="CZ90" s="109" t="str">
        <f t="shared" si="148"/>
        <v/>
      </c>
      <c r="DA90" s="108" t="str">
        <f t="shared" si="148"/>
        <v/>
      </c>
      <c r="DB90" s="108" t="str">
        <f t="shared" si="148"/>
        <v/>
      </c>
      <c r="DC90" s="108" t="str">
        <f t="shared" si="148"/>
        <v/>
      </c>
      <c r="DD90" s="108" t="str">
        <f t="shared" si="148"/>
        <v/>
      </c>
      <c r="DE90" s="108" t="str">
        <f t="shared" si="148"/>
        <v/>
      </c>
      <c r="DF90" s="108" t="str">
        <f t="shared" si="148"/>
        <v/>
      </c>
      <c r="DG90" s="108" t="str">
        <f t="shared" si="149"/>
        <v/>
      </c>
      <c r="DH90" s="109" t="str">
        <f t="shared" si="149"/>
        <v/>
      </c>
      <c r="DI90" s="108" t="str">
        <f t="shared" si="149"/>
        <v/>
      </c>
      <c r="DJ90" s="108" t="str">
        <f t="shared" si="149"/>
        <v/>
      </c>
      <c r="DK90" s="108" t="str">
        <f t="shared" si="149"/>
        <v/>
      </c>
      <c r="DL90" s="108" t="str">
        <f t="shared" si="149"/>
        <v/>
      </c>
      <c r="DM90" s="108" t="str">
        <f t="shared" si="149"/>
        <v/>
      </c>
      <c r="DN90" s="108" t="str">
        <f t="shared" si="149"/>
        <v/>
      </c>
      <c r="DO90" s="109" t="str">
        <f t="shared" si="149"/>
        <v/>
      </c>
      <c r="DP90" s="108" t="str">
        <f t="shared" si="149"/>
        <v/>
      </c>
      <c r="DQ90" s="108" t="str">
        <f t="shared" si="150"/>
        <v/>
      </c>
      <c r="DR90" s="108" t="str">
        <f t="shared" si="150"/>
        <v/>
      </c>
      <c r="DS90" s="108" t="str">
        <f t="shared" si="150"/>
        <v/>
      </c>
      <c r="DT90" s="108" t="str">
        <f t="shared" si="150"/>
        <v/>
      </c>
      <c r="DU90" s="108" t="str">
        <f t="shared" si="150"/>
        <v/>
      </c>
      <c r="DV90" s="108" t="str">
        <f t="shared" si="150"/>
        <v/>
      </c>
      <c r="DW90" s="109" t="str">
        <f t="shared" si="150"/>
        <v/>
      </c>
      <c r="DX90" s="108" t="str">
        <f t="shared" si="150"/>
        <v/>
      </c>
      <c r="DY90" s="108" t="str">
        <f t="shared" si="150"/>
        <v/>
      </c>
      <c r="DZ90" s="108" t="str">
        <f t="shared" si="150"/>
        <v/>
      </c>
      <c r="EA90" s="108" t="str">
        <f t="shared" si="151"/>
        <v/>
      </c>
      <c r="EB90" s="108" t="str">
        <f t="shared" si="151"/>
        <v/>
      </c>
      <c r="EC90" s="108" t="str">
        <f t="shared" si="151"/>
        <v/>
      </c>
      <c r="ED90" s="109" t="str">
        <f t="shared" si="151"/>
        <v/>
      </c>
      <c r="EE90" s="108" t="str">
        <f t="shared" si="151"/>
        <v/>
      </c>
      <c r="EF90" s="108" t="str">
        <f t="shared" si="151"/>
        <v/>
      </c>
      <c r="EG90" s="108" t="str">
        <f t="shared" si="151"/>
        <v/>
      </c>
      <c r="EH90" s="108" t="str">
        <f t="shared" si="151"/>
        <v/>
      </c>
      <c r="EI90" s="108" t="str">
        <f t="shared" si="151"/>
        <v/>
      </c>
      <c r="EJ90" s="108" t="str">
        <f t="shared" si="151"/>
        <v/>
      </c>
      <c r="EK90" s="108" t="str">
        <f t="shared" si="152"/>
        <v/>
      </c>
      <c r="EL90" s="108" t="str">
        <f t="shared" si="152"/>
        <v/>
      </c>
      <c r="EM90" s="108" t="str">
        <f t="shared" si="152"/>
        <v/>
      </c>
      <c r="EN90" s="108" t="str">
        <f t="shared" si="152"/>
        <v/>
      </c>
      <c r="EO90" s="108" t="str">
        <f t="shared" si="152"/>
        <v/>
      </c>
      <c r="EP90" s="108" t="str">
        <f t="shared" si="152"/>
        <v/>
      </c>
      <c r="EQ90" s="108" t="str">
        <f t="shared" si="152"/>
        <v/>
      </c>
      <c r="ER90" s="108" t="str">
        <f t="shared" si="152"/>
        <v/>
      </c>
      <c r="ES90" s="109" t="str">
        <f t="shared" si="152"/>
        <v/>
      </c>
      <c r="ET90" s="108" t="str">
        <f t="shared" si="152"/>
        <v/>
      </c>
      <c r="EU90" s="108" t="str">
        <f t="shared" si="153"/>
        <v/>
      </c>
      <c r="EV90" s="108" t="str">
        <f t="shared" si="153"/>
        <v/>
      </c>
      <c r="EW90" s="108" t="str">
        <f t="shared" si="153"/>
        <v/>
      </c>
      <c r="EX90" s="108" t="str">
        <f t="shared" si="153"/>
        <v/>
      </c>
      <c r="EY90" s="108" t="str">
        <f t="shared" si="153"/>
        <v/>
      </c>
      <c r="EZ90" s="108" t="str">
        <f t="shared" si="153"/>
        <v/>
      </c>
      <c r="FA90" s="108" t="str">
        <f t="shared" si="153"/>
        <v/>
      </c>
      <c r="FB90" s="108" t="str">
        <f t="shared" si="153"/>
        <v/>
      </c>
      <c r="FC90" s="108" t="str">
        <f t="shared" si="153"/>
        <v/>
      </c>
      <c r="FD90" s="108" t="str">
        <f t="shared" si="153"/>
        <v/>
      </c>
      <c r="FE90" s="108" t="str">
        <f t="shared" si="154"/>
        <v/>
      </c>
      <c r="FF90" s="109" t="str">
        <f t="shared" si="154"/>
        <v/>
      </c>
      <c r="FG90" s="108" t="str">
        <f t="shared" si="154"/>
        <v/>
      </c>
      <c r="FH90" s="108" t="str">
        <f t="shared" si="154"/>
        <v/>
      </c>
      <c r="FI90" s="108" t="str">
        <f t="shared" si="154"/>
        <v/>
      </c>
      <c r="FJ90" s="108" t="str">
        <f t="shared" si="154"/>
        <v/>
      </c>
      <c r="FK90" s="108" t="str">
        <f t="shared" si="154"/>
        <v/>
      </c>
      <c r="FL90" s="108" t="str">
        <f t="shared" si="154"/>
        <v/>
      </c>
      <c r="FM90" s="108" t="str">
        <f t="shared" si="154"/>
        <v/>
      </c>
      <c r="FN90" s="108" t="str">
        <f t="shared" si="154"/>
        <v/>
      </c>
      <c r="FO90" s="108" t="str">
        <f t="shared" si="155"/>
        <v/>
      </c>
      <c r="FP90" s="108" t="str">
        <f t="shared" si="155"/>
        <v/>
      </c>
      <c r="FQ90" s="108" t="str">
        <f t="shared" si="155"/>
        <v/>
      </c>
      <c r="FR90" s="108" t="str">
        <f t="shared" si="155"/>
        <v/>
      </c>
      <c r="FS90" s="108" t="str">
        <f t="shared" si="155"/>
        <v/>
      </c>
      <c r="FT90" s="108" t="str">
        <f t="shared" si="155"/>
        <v/>
      </c>
      <c r="FU90" s="108" t="str">
        <f t="shared" si="155"/>
        <v/>
      </c>
      <c r="FV90" s="108" t="str">
        <f t="shared" si="155"/>
        <v/>
      </c>
      <c r="FW90" s="110" t="str">
        <f t="shared" si="155"/>
        <v/>
      </c>
    </row>
    <row r="91" spans="2:179" s="101" customFormat="1" ht="21" customHeight="1" x14ac:dyDescent="0.35">
      <c r="B91" s="27" t="e">
        <f>Portfolio_Daten!#REF!</f>
        <v>#REF!</v>
      </c>
      <c r="C91" s="27">
        <f>Portfolio_Daten!B92</f>
        <v>0</v>
      </c>
      <c r="D91" s="28">
        <f>Portfolio_Daten!E92</f>
        <v>0</v>
      </c>
      <c r="E91" s="31">
        <f>Portfolio_Daten!T92</f>
        <v>0</v>
      </c>
      <c r="F91" s="31">
        <f>Portfolio_Daten!U92</f>
        <v>0</v>
      </c>
      <c r="G91" s="107">
        <f>IF(F91="","",NETWORKDAYS(E91,F91,Parameter!$C$4:$C$51))</f>
        <v>0</v>
      </c>
      <c r="H91" s="29">
        <f>Portfolio_Daten!AG92</f>
        <v>0</v>
      </c>
      <c r="I91" s="33">
        <f>Portfolio_Daten!AI92</f>
        <v>0</v>
      </c>
      <c r="J91" s="106"/>
      <c r="K91" s="108" t="str">
        <f t="shared" si="139"/>
        <v/>
      </c>
      <c r="L91" s="108" t="str">
        <f t="shared" si="139"/>
        <v/>
      </c>
      <c r="M91" s="108" t="str">
        <f t="shared" si="139"/>
        <v/>
      </c>
      <c r="N91" s="108" t="str">
        <f t="shared" si="139"/>
        <v/>
      </c>
      <c r="O91" s="108" t="str">
        <f t="shared" si="139"/>
        <v/>
      </c>
      <c r="P91" s="108" t="str">
        <f t="shared" si="139"/>
        <v/>
      </c>
      <c r="Q91" s="108" t="str">
        <f t="shared" si="139"/>
        <v/>
      </c>
      <c r="R91" s="108" t="str">
        <f t="shared" si="139"/>
        <v/>
      </c>
      <c r="S91" s="108" t="str">
        <f t="shared" si="139"/>
        <v/>
      </c>
      <c r="T91" s="108" t="str">
        <f t="shared" si="139"/>
        <v/>
      </c>
      <c r="U91" s="108" t="str">
        <f t="shared" si="140"/>
        <v/>
      </c>
      <c r="V91" s="108" t="str">
        <f t="shared" si="140"/>
        <v/>
      </c>
      <c r="W91" s="108" t="str">
        <f t="shared" si="140"/>
        <v/>
      </c>
      <c r="X91" s="108" t="str">
        <f t="shared" si="140"/>
        <v/>
      </c>
      <c r="Y91" s="108" t="str">
        <f t="shared" si="140"/>
        <v/>
      </c>
      <c r="Z91" s="108" t="str">
        <f t="shared" si="140"/>
        <v/>
      </c>
      <c r="AA91" s="108" t="str">
        <f t="shared" si="140"/>
        <v/>
      </c>
      <c r="AB91" s="108" t="str">
        <f t="shared" si="140"/>
        <v/>
      </c>
      <c r="AC91" s="108" t="str">
        <f t="shared" si="140"/>
        <v/>
      </c>
      <c r="AD91" s="108" t="str">
        <f t="shared" si="140"/>
        <v/>
      </c>
      <c r="AE91" s="108" t="str">
        <f t="shared" si="141"/>
        <v/>
      </c>
      <c r="AF91" s="108" t="str">
        <f t="shared" si="141"/>
        <v/>
      </c>
      <c r="AG91" s="108" t="str">
        <f t="shared" si="141"/>
        <v/>
      </c>
      <c r="AH91" s="108" t="str">
        <f t="shared" si="141"/>
        <v/>
      </c>
      <c r="AI91" s="108" t="str">
        <f t="shared" si="141"/>
        <v/>
      </c>
      <c r="AJ91" s="108" t="str">
        <f t="shared" si="141"/>
        <v/>
      </c>
      <c r="AK91" s="108" t="str">
        <f t="shared" si="141"/>
        <v/>
      </c>
      <c r="AL91" s="108" t="str">
        <f t="shared" si="141"/>
        <v/>
      </c>
      <c r="AM91" s="108" t="str">
        <f t="shared" si="141"/>
        <v/>
      </c>
      <c r="AN91" s="108" t="str">
        <f t="shared" si="141"/>
        <v/>
      </c>
      <c r="AO91" s="108" t="str">
        <f t="shared" si="142"/>
        <v/>
      </c>
      <c r="AP91" s="108" t="str">
        <f t="shared" si="142"/>
        <v/>
      </c>
      <c r="AQ91" s="108" t="str">
        <f t="shared" si="142"/>
        <v/>
      </c>
      <c r="AR91" s="108" t="str">
        <f t="shared" si="142"/>
        <v/>
      </c>
      <c r="AS91" s="108" t="str">
        <f t="shared" si="142"/>
        <v/>
      </c>
      <c r="AT91" s="108" t="str">
        <f t="shared" si="142"/>
        <v/>
      </c>
      <c r="AU91" s="108" t="str">
        <f t="shared" si="142"/>
        <v/>
      </c>
      <c r="AV91" s="108" t="str">
        <f t="shared" si="142"/>
        <v/>
      </c>
      <c r="AW91" s="108" t="str">
        <f t="shared" si="142"/>
        <v/>
      </c>
      <c r="AX91" s="108" t="str">
        <f t="shared" si="142"/>
        <v/>
      </c>
      <c r="AY91" s="108" t="str">
        <f t="shared" si="143"/>
        <v/>
      </c>
      <c r="AZ91" s="108" t="str">
        <f t="shared" si="143"/>
        <v/>
      </c>
      <c r="BA91" s="108" t="str">
        <f t="shared" si="143"/>
        <v/>
      </c>
      <c r="BB91" s="108" t="str">
        <f t="shared" si="143"/>
        <v/>
      </c>
      <c r="BC91" s="108" t="str">
        <f t="shared" si="143"/>
        <v/>
      </c>
      <c r="BD91" s="108" t="str">
        <f t="shared" si="143"/>
        <v/>
      </c>
      <c r="BE91" s="108" t="str">
        <f t="shared" si="143"/>
        <v/>
      </c>
      <c r="BF91" s="108" t="str">
        <f t="shared" si="143"/>
        <v/>
      </c>
      <c r="BG91" s="108" t="str">
        <f t="shared" si="143"/>
        <v/>
      </c>
      <c r="BH91" s="108" t="str">
        <f t="shared" si="143"/>
        <v/>
      </c>
      <c r="BI91" s="108" t="str">
        <f t="shared" si="144"/>
        <v/>
      </c>
      <c r="BJ91" s="108" t="str">
        <f t="shared" si="144"/>
        <v/>
      </c>
      <c r="BK91" s="108" t="str">
        <f t="shared" si="144"/>
        <v/>
      </c>
      <c r="BL91" s="108" t="str">
        <f t="shared" si="144"/>
        <v/>
      </c>
      <c r="BM91" s="108" t="str">
        <f t="shared" si="144"/>
        <v/>
      </c>
      <c r="BN91" s="108" t="str">
        <f t="shared" si="144"/>
        <v/>
      </c>
      <c r="BO91" s="108" t="str">
        <f t="shared" si="144"/>
        <v/>
      </c>
      <c r="BP91" s="108" t="str">
        <f t="shared" si="144"/>
        <v/>
      </c>
      <c r="BQ91" s="108" t="str">
        <f t="shared" si="144"/>
        <v/>
      </c>
      <c r="BR91" s="108" t="str">
        <f t="shared" si="144"/>
        <v/>
      </c>
      <c r="BS91" s="108" t="str">
        <f t="shared" si="145"/>
        <v/>
      </c>
      <c r="BT91" s="108" t="str">
        <f t="shared" si="145"/>
        <v/>
      </c>
      <c r="BU91" s="108" t="str">
        <f t="shared" si="145"/>
        <v/>
      </c>
      <c r="BV91" s="108" t="str">
        <f t="shared" si="145"/>
        <v/>
      </c>
      <c r="BW91" s="108" t="str">
        <f t="shared" si="145"/>
        <v/>
      </c>
      <c r="BX91" s="108" t="str">
        <f t="shared" si="145"/>
        <v/>
      </c>
      <c r="BY91" s="108" t="str">
        <f t="shared" si="145"/>
        <v/>
      </c>
      <c r="BZ91" s="108" t="str">
        <f t="shared" si="145"/>
        <v/>
      </c>
      <c r="CA91" s="108" t="str">
        <f t="shared" si="145"/>
        <v/>
      </c>
      <c r="CB91" s="108" t="str">
        <f t="shared" si="145"/>
        <v/>
      </c>
      <c r="CC91" s="108" t="str">
        <f t="shared" si="146"/>
        <v/>
      </c>
      <c r="CD91" s="108" t="str">
        <f t="shared" si="146"/>
        <v/>
      </c>
      <c r="CE91" s="108" t="str">
        <f t="shared" si="146"/>
        <v/>
      </c>
      <c r="CF91" s="108" t="str">
        <f t="shared" si="146"/>
        <v/>
      </c>
      <c r="CG91" s="108" t="str">
        <f t="shared" si="146"/>
        <v/>
      </c>
      <c r="CH91" s="108" t="str">
        <f t="shared" si="146"/>
        <v/>
      </c>
      <c r="CI91" s="108" t="str">
        <f t="shared" si="146"/>
        <v/>
      </c>
      <c r="CJ91" s="108" t="str">
        <f t="shared" si="146"/>
        <v/>
      </c>
      <c r="CK91" s="108" t="str">
        <f t="shared" si="146"/>
        <v/>
      </c>
      <c r="CL91" s="108" t="str">
        <f t="shared" si="146"/>
        <v/>
      </c>
      <c r="CM91" s="108" t="str">
        <f t="shared" si="147"/>
        <v/>
      </c>
      <c r="CN91" s="108" t="str">
        <f t="shared" si="147"/>
        <v/>
      </c>
      <c r="CO91" s="108" t="str">
        <f t="shared" si="147"/>
        <v/>
      </c>
      <c r="CP91" s="108" t="str">
        <f t="shared" si="147"/>
        <v/>
      </c>
      <c r="CQ91" s="108" t="str">
        <f t="shared" si="147"/>
        <v/>
      </c>
      <c r="CR91" s="109" t="str">
        <f t="shared" si="147"/>
        <v/>
      </c>
      <c r="CS91" s="108" t="str">
        <f t="shared" si="147"/>
        <v/>
      </c>
      <c r="CT91" s="108" t="str">
        <f t="shared" si="147"/>
        <v/>
      </c>
      <c r="CU91" s="108" t="str">
        <f t="shared" si="147"/>
        <v/>
      </c>
      <c r="CV91" s="108" t="str">
        <f t="shared" si="147"/>
        <v/>
      </c>
      <c r="CW91" s="108" t="str">
        <f t="shared" si="148"/>
        <v/>
      </c>
      <c r="CX91" s="108" t="str">
        <f t="shared" si="148"/>
        <v/>
      </c>
      <c r="CY91" s="108" t="str">
        <f t="shared" si="148"/>
        <v/>
      </c>
      <c r="CZ91" s="109" t="str">
        <f t="shared" si="148"/>
        <v/>
      </c>
      <c r="DA91" s="108" t="str">
        <f t="shared" si="148"/>
        <v/>
      </c>
      <c r="DB91" s="108" t="str">
        <f t="shared" si="148"/>
        <v/>
      </c>
      <c r="DC91" s="108" t="str">
        <f t="shared" si="148"/>
        <v/>
      </c>
      <c r="DD91" s="108" t="str">
        <f t="shared" si="148"/>
        <v/>
      </c>
      <c r="DE91" s="108" t="str">
        <f t="shared" si="148"/>
        <v/>
      </c>
      <c r="DF91" s="108" t="str">
        <f t="shared" si="148"/>
        <v/>
      </c>
      <c r="DG91" s="108" t="str">
        <f t="shared" si="149"/>
        <v/>
      </c>
      <c r="DH91" s="109" t="str">
        <f t="shared" si="149"/>
        <v/>
      </c>
      <c r="DI91" s="108" t="str">
        <f t="shared" si="149"/>
        <v/>
      </c>
      <c r="DJ91" s="108" t="str">
        <f t="shared" si="149"/>
        <v/>
      </c>
      <c r="DK91" s="108" t="str">
        <f t="shared" si="149"/>
        <v/>
      </c>
      <c r="DL91" s="108" t="str">
        <f t="shared" si="149"/>
        <v/>
      </c>
      <c r="DM91" s="108" t="str">
        <f t="shared" si="149"/>
        <v/>
      </c>
      <c r="DN91" s="108" t="str">
        <f t="shared" si="149"/>
        <v/>
      </c>
      <c r="DO91" s="109" t="str">
        <f t="shared" si="149"/>
        <v/>
      </c>
      <c r="DP91" s="108" t="str">
        <f t="shared" si="149"/>
        <v/>
      </c>
      <c r="DQ91" s="108" t="str">
        <f t="shared" si="150"/>
        <v/>
      </c>
      <c r="DR91" s="108" t="str">
        <f t="shared" si="150"/>
        <v/>
      </c>
      <c r="DS91" s="108" t="str">
        <f t="shared" si="150"/>
        <v/>
      </c>
      <c r="DT91" s="108" t="str">
        <f t="shared" si="150"/>
        <v/>
      </c>
      <c r="DU91" s="108" t="str">
        <f t="shared" si="150"/>
        <v/>
      </c>
      <c r="DV91" s="108" t="str">
        <f t="shared" si="150"/>
        <v/>
      </c>
      <c r="DW91" s="109" t="str">
        <f t="shared" si="150"/>
        <v/>
      </c>
      <c r="DX91" s="108" t="str">
        <f t="shared" si="150"/>
        <v/>
      </c>
      <c r="DY91" s="108" t="str">
        <f t="shared" si="150"/>
        <v/>
      </c>
      <c r="DZ91" s="108" t="str">
        <f t="shared" si="150"/>
        <v/>
      </c>
      <c r="EA91" s="108" t="str">
        <f t="shared" si="151"/>
        <v/>
      </c>
      <c r="EB91" s="108" t="str">
        <f t="shared" si="151"/>
        <v/>
      </c>
      <c r="EC91" s="108" t="str">
        <f t="shared" si="151"/>
        <v/>
      </c>
      <c r="ED91" s="109" t="str">
        <f t="shared" si="151"/>
        <v/>
      </c>
      <c r="EE91" s="108" t="str">
        <f t="shared" si="151"/>
        <v/>
      </c>
      <c r="EF91" s="108" t="str">
        <f t="shared" si="151"/>
        <v/>
      </c>
      <c r="EG91" s="108" t="str">
        <f t="shared" si="151"/>
        <v/>
      </c>
      <c r="EH91" s="108" t="str">
        <f t="shared" si="151"/>
        <v/>
      </c>
      <c r="EI91" s="108" t="str">
        <f t="shared" si="151"/>
        <v/>
      </c>
      <c r="EJ91" s="108" t="str">
        <f t="shared" si="151"/>
        <v/>
      </c>
      <c r="EK91" s="108" t="str">
        <f t="shared" si="152"/>
        <v/>
      </c>
      <c r="EL91" s="108" t="str">
        <f t="shared" si="152"/>
        <v/>
      </c>
      <c r="EM91" s="108" t="str">
        <f t="shared" si="152"/>
        <v/>
      </c>
      <c r="EN91" s="108" t="str">
        <f t="shared" si="152"/>
        <v/>
      </c>
      <c r="EO91" s="108" t="str">
        <f t="shared" si="152"/>
        <v/>
      </c>
      <c r="EP91" s="108" t="str">
        <f t="shared" si="152"/>
        <v/>
      </c>
      <c r="EQ91" s="108" t="str">
        <f t="shared" si="152"/>
        <v/>
      </c>
      <c r="ER91" s="108" t="str">
        <f t="shared" si="152"/>
        <v/>
      </c>
      <c r="ES91" s="109" t="str">
        <f t="shared" si="152"/>
        <v/>
      </c>
      <c r="ET91" s="108" t="str">
        <f t="shared" si="152"/>
        <v/>
      </c>
      <c r="EU91" s="108" t="str">
        <f t="shared" si="153"/>
        <v/>
      </c>
      <c r="EV91" s="108" t="str">
        <f t="shared" si="153"/>
        <v/>
      </c>
      <c r="EW91" s="108" t="str">
        <f t="shared" si="153"/>
        <v/>
      </c>
      <c r="EX91" s="108" t="str">
        <f t="shared" si="153"/>
        <v/>
      </c>
      <c r="EY91" s="108" t="str">
        <f t="shared" si="153"/>
        <v/>
      </c>
      <c r="EZ91" s="108" t="str">
        <f t="shared" si="153"/>
        <v/>
      </c>
      <c r="FA91" s="108" t="str">
        <f t="shared" si="153"/>
        <v/>
      </c>
      <c r="FB91" s="108" t="str">
        <f t="shared" si="153"/>
        <v/>
      </c>
      <c r="FC91" s="108" t="str">
        <f t="shared" si="153"/>
        <v/>
      </c>
      <c r="FD91" s="108" t="str">
        <f t="shared" si="153"/>
        <v/>
      </c>
      <c r="FE91" s="108" t="str">
        <f t="shared" si="154"/>
        <v/>
      </c>
      <c r="FF91" s="109" t="str">
        <f t="shared" si="154"/>
        <v/>
      </c>
      <c r="FG91" s="108" t="str">
        <f t="shared" si="154"/>
        <v/>
      </c>
      <c r="FH91" s="108" t="str">
        <f t="shared" si="154"/>
        <v/>
      </c>
      <c r="FI91" s="108" t="str">
        <f t="shared" si="154"/>
        <v/>
      </c>
      <c r="FJ91" s="108" t="str">
        <f t="shared" si="154"/>
        <v/>
      </c>
      <c r="FK91" s="108" t="str">
        <f t="shared" si="154"/>
        <v/>
      </c>
      <c r="FL91" s="108" t="str">
        <f t="shared" si="154"/>
        <v/>
      </c>
      <c r="FM91" s="108" t="str">
        <f t="shared" si="154"/>
        <v/>
      </c>
      <c r="FN91" s="108" t="str">
        <f t="shared" si="154"/>
        <v/>
      </c>
      <c r="FO91" s="108" t="str">
        <f t="shared" si="155"/>
        <v/>
      </c>
      <c r="FP91" s="108" t="str">
        <f t="shared" si="155"/>
        <v/>
      </c>
      <c r="FQ91" s="108" t="str">
        <f t="shared" si="155"/>
        <v/>
      </c>
      <c r="FR91" s="108" t="str">
        <f t="shared" si="155"/>
        <v/>
      </c>
      <c r="FS91" s="108" t="str">
        <f t="shared" si="155"/>
        <v/>
      </c>
      <c r="FT91" s="108" t="str">
        <f t="shared" si="155"/>
        <v/>
      </c>
      <c r="FU91" s="108" t="str">
        <f t="shared" si="155"/>
        <v/>
      </c>
      <c r="FV91" s="108" t="str">
        <f t="shared" si="155"/>
        <v/>
      </c>
      <c r="FW91" s="110" t="str">
        <f t="shared" si="155"/>
        <v/>
      </c>
    </row>
    <row r="92" spans="2:179" s="101" customFormat="1" ht="21" customHeight="1" x14ac:dyDescent="0.35">
      <c r="B92" s="27" t="e">
        <f>Portfolio_Daten!#REF!</f>
        <v>#REF!</v>
      </c>
      <c r="C92" s="27">
        <f>Portfolio_Daten!B93</f>
        <v>0</v>
      </c>
      <c r="D92" s="28">
        <f>Portfolio_Daten!E93</f>
        <v>0</v>
      </c>
      <c r="E92" s="31">
        <f>Portfolio_Daten!T93</f>
        <v>0</v>
      </c>
      <c r="F92" s="31">
        <f>Portfolio_Daten!U93</f>
        <v>0</v>
      </c>
      <c r="G92" s="107">
        <f>IF(F92="","",NETWORKDAYS(E92,F92,Parameter!$C$4:$C$51))</f>
        <v>0</v>
      </c>
      <c r="H92" s="29">
        <f>Portfolio_Daten!AG93</f>
        <v>0</v>
      </c>
      <c r="I92" s="33">
        <f>Portfolio_Daten!AI93</f>
        <v>0</v>
      </c>
      <c r="J92" s="106"/>
      <c r="K92" s="108" t="str">
        <f t="shared" si="139"/>
        <v/>
      </c>
      <c r="L92" s="108" t="str">
        <f t="shared" si="139"/>
        <v/>
      </c>
      <c r="M92" s="108" t="str">
        <f t="shared" si="139"/>
        <v/>
      </c>
      <c r="N92" s="108" t="str">
        <f t="shared" si="139"/>
        <v/>
      </c>
      <c r="O92" s="108" t="str">
        <f t="shared" si="139"/>
        <v/>
      </c>
      <c r="P92" s="108" t="str">
        <f t="shared" si="139"/>
        <v/>
      </c>
      <c r="Q92" s="108" t="str">
        <f t="shared" si="139"/>
        <v/>
      </c>
      <c r="R92" s="108" t="str">
        <f t="shared" si="139"/>
        <v/>
      </c>
      <c r="S92" s="108" t="str">
        <f t="shared" si="139"/>
        <v/>
      </c>
      <c r="T92" s="108" t="str">
        <f t="shared" si="139"/>
        <v/>
      </c>
      <c r="U92" s="108" t="str">
        <f t="shared" si="140"/>
        <v/>
      </c>
      <c r="V92" s="108" t="str">
        <f t="shared" si="140"/>
        <v/>
      </c>
      <c r="W92" s="108" t="str">
        <f t="shared" si="140"/>
        <v/>
      </c>
      <c r="X92" s="108" t="str">
        <f t="shared" si="140"/>
        <v/>
      </c>
      <c r="Y92" s="108" t="str">
        <f t="shared" si="140"/>
        <v/>
      </c>
      <c r="Z92" s="108" t="str">
        <f t="shared" si="140"/>
        <v/>
      </c>
      <c r="AA92" s="108" t="str">
        <f t="shared" si="140"/>
        <v/>
      </c>
      <c r="AB92" s="108" t="str">
        <f t="shared" si="140"/>
        <v/>
      </c>
      <c r="AC92" s="108" t="str">
        <f t="shared" si="140"/>
        <v/>
      </c>
      <c r="AD92" s="108" t="str">
        <f t="shared" si="140"/>
        <v/>
      </c>
      <c r="AE92" s="108" t="str">
        <f t="shared" si="141"/>
        <v/>
      </c>
      <c r="AF92" s="108" t="str">
        <f t="shared" si="141"/>
        <v/>
      </c>
      <c r="AG92" s="108" t="str">
        <f t="shared" si="141"/>
        <v/>
      </c>
      <c r="AH92" s="108" t="str">
        <f t="shared" si="141"/>
        <v/>
      </c>
      <c r="AI92" s="108" t="str">
        <f t="shared" si="141"/>
        <v/>
      </c>
      <c r="AJ92" s="108" t="str">
        <f t="shared" si="141"/>
        <v/>
      </c>
      <c r="AK92" s="108" t="str">
        <f t="shared" si="141"/>
        <v/>
      </c>
      <c r="AL92" s="108" t="str">
        <f t="shared" si="141"/>
        <v/>
      </c>
      <c r="AM92" s="108" t="str">
        <f t="shared" si="141"/>
        <v/>
      </c>
      <c r="AN92" s="108" t="str">
        <f t="shared" si="141"/>
        <v/>
      </c>
      <c r="AO92" s="108" t="str">
        <f t="shared" si="142"/>
        <v/>
      </c>
      <c r="AP92" s="108" t="str">
        <f t="shared" si="142"/>
        <v/>
      </c>
      <c r="AQ92" s="108" t="str">
        <f t="shared" si="142"/>
        <v/>
      </c>
      <c r="AR92" s="108" t="str">
        <f t="shared" si="142"/>
        <v/>
      </c>
      <c r="AS92" s="108" t="str">
        <f t="shared" si="142"/>
        <v/>
      </c>
      <c r="AT92" s="108" t="str">
        <f t="shared" si="142"/>
        <v/>
      </c>
      <c r="AU92" s="108" t="str">
        <f t="shared" si="142"/>
        <v/>
      </c>
      <c r="AV92" s="108" t="str">
        <f t="shared" si="142"/>
        <v/>
      </c>
      <c r="AW92" s="108" t="str">
        <f t="shared" si="142"/>
        <v/>
      </c>
      <c r="AX92" s="108" t="str">
        <f t="shared" si="142"/>
        <v/>
      </c>
      <c r="AY92" s="108" t="str">
        <f t="shared" si="143"/>
        <v/>
      </c>
      <c r="AZ92" s="108" t="str">
        <f t="shared" si="143"/>
        <v/>
      </c>
      <c r="BA92" s="108" t="str">
        <f t="shared" si="143"/>
        <v/>
      </c>
      <c r="BB92" s="108" t="str">
        <f t="shared" si="143"/>
        <v/>
      </c>
      <c r="BC92" s="108" t="str">
        <f t="shared" si="143"/>
        <v/>
      </c>
      <c r="BD92" s="108" t="str">
        <f t="shared" si="143"/>
        <v/>
      </c>
      <c r="BE92" s="108" t="str">
        <f t="shared" si="143"/>
        <v/>
      </c>
      <c r="BF92" s="108" t="str">
        <f t="shared" si="143"/>
        <v/>
      </c>
      <c r="BG92" s="108" t="str">
        <f t="shared" si="143"/>
        <v/>
      </c>
      <c r="BH92" s="108" t="str">
        <f t="shared" si="143"/>
        <v/>
      </c>
      <c r="BI92" s="108" t="str">
        <f t="shared" si="144"/>
        <v/>
      </c>
      <c r="BJ92" s="108" t="str">
        <f t="shared" si="144"/>
        <v/>
      </c>
      <c r="BK92" s="108" t="str">
        <f t="shared" si="144"/>
        <v/>
      </c>
      <c r="BL92" s="108" t="str">
        <f t="shared" si="144"/>
        <v/>
      </c>
      <c r="BM92" s="108" t="str">
        <f t="shared" si="144"/>
        <v/>
      </c>
      <c r="BN92" s="108" t="str">
        <f t="shared" si="144"/>
        <v/>
      </c>
      <c r="BO92" s="108" t="str">
        <f t="shared" si="144"/>
        <v/>
      </c>
      <c r="BP92" s="108" t="str">
        <f t="shared" si="144"/>
        <v/>
      </c>
      <c r="BQ92" s="108" t="str">
        <f t="shared" si="144"/>
        <v/>
      </c>
      <c r="BR92" s="108" t="str">
        <f t="shared" si="144"/>
        <v/>
      </c>
      <c r="BS92" s="108" t="str">
        <f t="shared" si="145"/>
        <v/>
      </c>
      <c r="BT92" s="108" t="str">
        <f t="shared" si="145"/>
        <v/>
      </c>
      <c r="BU92" s="108" t="str">
        <f t="shared" si="145"/>
        <v/>
      </c>
      <c r="BV92" s="108" t="str">
        <f t="shared" si="145"/>
        <v/>
      </c>
      <c r="BW92" s="108" t="str">
        <f t="shared" si="145"/>
        <v/>
      </c>
      <c r="BX92" s="108" t="str">
        <f t="shared" si="145"/>
        <v/>
      </c>
      <c r="BY92" s="108" t="str">
        <f t="shared" si="145"/>
        <v/>
      </c>
      <c r="BZ92" s="108" t="str">
        <f t="shared" si="145"/>
        <v/>
      </c>
      <c r="CA92" s="108" t="str">
        <f t="shared" si="145"/>
        <v/>
      </c>
      <c r="CB92" s="108" t="str">
        <f t="shared" si="145"/>
        <v/>
      </c>
      <c r="CC92" s="108" t="str">
        <f t="shared" si="146"/>
        <v/>
      </c>
      <c r="CD92" s="108" t="str">
        <f t="shared" si="146"/>
        <v/>
      </c>
      <c r="CE92" s="108" t="str">
        <f t="shared" si="146"/>
        <v/>
      </c>
      <c r="CF92" s="108" t="str">
        <f t="shared" si="146"/>
        <v/>
      </c>
      <c r="CG92" s="108" t="str">
        <f t="shared" si="146"/>
        <v/>
      </c>
      <c r="CH92" s="108" t="str">
        <f t="shared" si="146"/>
        <v/>
      </c>
      <c r="CI92" s="108" t="str">
        <f t="shared" si="146"/>
        <v/>
      </c>
      <c r="CJ92" s="108" t="str">
        <f t="shared" si="146"/>
        <v/>
      </c>
      <c r="CK92" s="108" t="str">
        <f t="shared" si="146"/>
        <v/>
      </c>
      <c r="CL92" s="108" t="str">
        <f t="shared" si="146"/>
        <v/>
      </c>
      <c r="CM92" s="108" t="str">
        <f t="shared" si="147"/>
        <v/>
      </c>
      <c r="CN92" s="108" t="str">
        <f t="shared" si="147"/>
        <v/>
      </c>
      <c r="CO92" s="108" t="str">
        <f t="shared" si="147"/>
        <v/>
      </c>
      <c r="CP92" s="108" t="str">
        <f t="shared" si="147"/>
        <v/>
      </c>
      <c r="CQ92" s="108" t="str">
        <f t="shared" si="147"/>
        <v/>
      </c>
      <c r="CR92" s="109" t="str">
        <f t="shared" si="147"/>
        <v/>
      </c>
      <c r="CS92" s="108" t="str">
        <f t="shared" si="147"/>
        <v/>
      </c>
      <c r="CT92" s="108" t="str">
        <f t="shared" si="147"/>
        <v/>
      </c>
      <c r="CU92" s="108" t="str">
        <f t="shared" si="147"/>
        <v/>
      </c>
      <c r="CV92" s="108" t="str">
        <f t="shared" si="147"/>
        <v/>
      </c>
      <c r="CW92" s="108" t="str">
        <f t="shared" si="148"/>
        <v/>
      </c>
      <c r="CX92" s="108" t="str">
        <f t="shared" si="148"/>
        <v/>
      </c>
      <c r="CY92" s="108" t="str">
        <f t="shared" si="148"/>
        <v/>
      </c>
      <c r="CZ92" s="109" t="str">
        <f t="shared" si="148"/>
        <v/>
      </c>
      <c r="DA92" s="108" t="str">
        <f t="shared" si="148"/>
        <v/>
      </c>
      <c r="DB92" s="108" t="str">
        <f t="shared" si="148"/>
        <v/>
      </c>
      <c r="DC92" s="108" t="str">
        <f t="shared" si="148"/>
        <v/>
      </c>
      <c r="DD92" s="108" t="str">
        <f t="shared" si="148"/>
        <v/>
      </c>
      <c r="DE92" s="108" t="str">
        <f t="shared" si="148"/>
        <v/>
      </c>
      <c r="DF92" s="108" t="str">
        <f t="shared" si="148"/>
        <v/>
      </c>
      <c r="DG92" s="108" t="str">
        <f t="shared" si="149"/>
        <v/>
      </c>
      <c r="DH92" s="109" t="str">
        <f t="shared" si="149"/>
        <v/>
      </c>
      <c r="DI92" s="108" t="str">
        <f t="shared" si="149"/>
        <v/>
      </c>
      <c r="DJ92" s="108" t="str">
        <f t="shared" si="149"/>
        <v/>
      </c>
      <c r="DK92" s="108" t="str">
        <f t="shared" si="149"/>
        <v/>
      </c>
      <c r="DL92" s="108" t="str">
        <f t="shared" si="149"/>
        <v/>
      </c>
      <c r="DM92" s="108" t="str">
        <f t="shared" si="149"/>
        <v/>
      </c>
      <c r="DN92" s="108" t="str">
        <f t="shared" si="149"/>
        <v/>
      </c>
      <c r="DO92" s="109" t="str">
        <f t="shared" si="149"/>
        <v/>
      </c>
      <c r="DP92" s="108" t="str">
        <f t="shared" si="149"/>
        <v/>
      </c>
      <c r="DQ92" s="108" t="str">
        <f t="shared" si="150"/>
        <v/>
      </c>
      <c r="DR92" s="108" t="str">
        <f t="shared" si="150"/>
        <v/>
      </c>
      <c r="DS92" s="108" t="str">
        <f t="shared" si="150"/>
        <v/>
      </c>
      <c r="DT92" s="108" t="str">
        <f t="shared" si="150"/>
        <v/>
      </c>
      <c r="DU92" s="108" t="str">
        <f t="shared" si="150"/>
        <v/>
      </c>
      <c r="DV92" s="108" t="str">
        <f t="shared" si="150"/>
        <v/>
      </c>
      <c r="DW92" s="109" t="str">
        <f t="shared" si="150"/>
        <v/>
      </c>
      <c r="DX92" s="108" t="str">
        <f t="shared" si="150"/>
        <v/>
      </c>
      <c r="DY92" s="108" t="str">
        <f t="shared" si="150"/>
        <v/>
      </c>
      <c r="DZ92" s="108" t="str">
        <f t="shared" si="150"/>
        <v/>
      </c>
      <c r="EA92" s="108" t="str">
        <f t="shared" si="151"/>
        <v/>
      </c>
      <c r="EB92" s="108" t="str">
        <f t="shared" si="151"/>
        <v/>
      </c>
      <c r="EC92" s="108" t="str">
        <f t="shared" si="151"/>
        <v/>
      </c>
      <c r="ED92" s="109" t="str">
        <f t="shared" si="151"/>
        <v/>
      </c>
      <c r="EE92" s="108" t="str">
        <f t="shared" si="151"/>
        <v/>
      </c>
      <c r="EF92" s="108" t="str">
        <f t="shared" si="151"/>
        <v/>
      </c>
      <c r="EG92" s="108" t="str">
        <f t="shared" si="151"/>
        <v/>
      </c>
      <c r="EH92" s="108" t="str">
        <f t="shared" si="151"/>
        <v/>
      </c>
      <c r="EI92" s="108" t="str">
        <f t="shared" si="151"/>
        <v/>
      </c>
      <c r="EJ92" s="108" t="str">
        <f t="shared" si="151"/>
        <v/>
      </c>
      <c r="EK92" s="108" t="str">
        <f t="shared" si="152"/>
        <v/>
      </c>
      <c r="EL92" s="108" t="str">
        <f t="shared" si="152"/>
        <v/>
      </c>
      <c r="EM92" s="108" t="str">
        <f t="shared" si="152"/>
        <v/>
      </c>
      <c r="EN92" s="108" t="str">
        <f t="shared" si="152"/>
        <v/>
      </c>
      <c r="EO92" s="108" t="str">
        <f t="shared" si="152"/>
        <v/>
      </c>
      <c r="EP92" s="108" t="str">
        <f t="shared" si="152"/>
        <v/>
      </c>
      <c r="EQ92" s="108" t="str">
        <f t="shared" si="152"/>
        <v/>
      </c>
      <c r="ER92" s="108" t="str">
        <f t="shared" si="152"/>
        <v/>
      </c>
      <c r="ES92" s="109" t="str">
        <f t="shared" si="152"/>
        <v/>
      </c>
      <c r="ET92" s="108" t="str">
        <f t="shared" si="152"/>
        <v/>
      </c>
      <c r="EU92" s="108" t="str">
        <f t="shared" si="153"/>
        <v/>
      </c>
      <c r="EV92" s="108" t="str">
        <f t="shared" si="153"/>
        <v/>
      </c>
      <c r="EW92" s="108" t="str">
        <f t="shared" si="153"/>
        <v/>
      </c>
      <c r="EX92" s="108" t="str">
        <f t="shared" si="153"/>
        <v/>
      </c>
      <c r="EY92" s="108" t="str">
        <f t="shared" si="153"/>
        <v/>
      </c>
      <c r="EZ92" s="108" t="str">
        <f t="shared" si="153"/>
        <v/>
      </c>
      <c r="FA92" s="108" t="str">
        <f t="shared" si="153"/>
        <v/>
      </c>
      <c r="FB92" s="108" t="str">
        <f t="shared" si="153"/>
        <v/>
      </c>
      <c r="FC92" s="108" t="str">
        <f t="shared" si="153"/>
        <v/>
      </c>
      <c r="FD92" s="108" t="str">
        <f t="shared" si="153"/>
        <v/>
      </c>
      <c r="FE92" s="108" t="str">
        <f t="shared" si="154"/>
        <v/>
      </c>
      <c r="FF92" s="109" t="str">
        <f t="shared" si="154"/>
        <v/>
      </c>
      <c r="FG92" s="108" t="str">
        <f t="shared" si="154"/>
        <v/>
      </c>
      <c r="FH92" s="108" t="str">
        <f t="shared" si="154"/>
        <v/>
      </c>
      <c r="FI92" s="108" t="str">
        <f t="shared" si="154"/>
        <v/>
      </c>
      <c r="FJ92" s="108" t="str">
        <f t="shared" si="154"/>
        <v/>
      </c>
      <c r="FK92" s="108" t="str">
        <f t="shared" si="154"/>
        <v/>
      </c>
      <c r="FL92" s="108" t="str">
        <f t="shared" si="154"/>
        <v/>
      </c>
      <c r="FM92" s="108" t="str">
        <f t="shared" si="154"/>
        <v/>
      </c>
      <c r="FN92" s="108" t="str">
        <f t="shared" si="154"/>
        <v/>
      </c>
      <c r="FO92" s="108" t="str">
        <f t="shared" si="155"/>
        <v/>
      </c>
      <c r="FP92" s="108" t="str">
        <f t="shared" si="155"/>
        <v/>
      </c>
      <c r="FQ92" s="108" t="str">
        <f t="shared" si="155"/>
        <v/>
      </c>
      <c r="FR92" s="108" t="str">
        <f t="shared" si="155"/>
        <v/>
      </c>
      <c r="FS92" s="108" t="str">
        <f t="shared" si="155"/>
        <v/>
      </c>
      <c r="FT92" s="108" t="str">
        <f t="shared" si="155"/>
        <v/>
      </c>
      <c r="FU92" s="108" t="str">
        <f t="shared" si="155"/>
        <v/>
      </c>
      <c r="FV92" s="108" t="str">
        <f t="shared" si="155"/>
        <v/>
      </c>
      <c r="FW92" s="110" t="str">
        <f t="shared" si="155"/>
        <v/>
      </c>
    </row>
    <row r="93" spans="2:179" s="101" customFormat="1" ht="21" customHeight="1" x14ac:dyDescent="0.35">
      <c r="B93" s="27" t="e">
        <f>Portfolio_Daten!#REF!</f>
        <v>#REF!</v>
      </c>
      <c r="C93" s="27">
        <f>Portfolio_Daten!B94</f>
        <v>0</v>
      </c>
      <c r="D93" s="28">
        <f>Portfolio_Daten!E94</f>
        <v>0</v>
      </c>
      <c r="E93" s="31">
        <f>Portfolio_Daten!T94</f>
        <v>0</v>
      </c>
      <c r="F93" s="31">
        <f>Portfolio_Daten!U94</f>
        <v>0</v>
      </c>
      <c r="G93" s="107">
        <f>IF(F93="","",NETWORKDAYS(E93,F93,Parameter!$C$4:$C$51))</f>
        <v>0</v>
      </c>
      <c r="H93" s="29">
        <f>Portfolio_Daten!AG94</f>
        <v>0</v>
      </c>
      <c r="I93" s="33">
        <f>Portfolio_Daten!AI94</f>
        <v>0</v>
      </c>
      <c r="J93" s="106"/>
      <c r="K93" s="108" t="str">
        <f t="shared" si="139"/>
        <v/>
      </c>
      <c r="L93" s="108" t="str">
        <f t="shared" si="139"/>
        <v/>
      </c>
      <c r="M93" s="108" t="str">
        <f t="shared" si="139"/>
        <v/>
      </c>
      <c r="N93" s="108" t="str">
        <f t="shared" si="139"/>
        <v/>
      </c>
      <c r="O93" s="108" t="str">
        <f t="shared" si="139"/>
        <v/>
      </c>
      <c r="P93" s="108" t="str">
        <f t="shared" si="139"/>
        <v/>
      </c>
      <c r="Q93" s="108" t="str">
        <f t="shared" si="139"/>
        <v/>
      </c>
      <c r="R93" s="108" t="str">
        <f t="shared" si="139"/>
        <v/>
      </c>
      <c r="S93" s="108" t="str">
        <f t="shared" si="139"/>
        <v/>
      </c>
      <c r="T93" s="108" t="str">
        <f t="shared" si="139"/>
        <v/>
      </c>
      <c r="U93" s="108" t="str">
        <f t="shared" si="140"/>
        <v/>
      </c>
      <c r="V93" s="108" t="str">
        <f t="shared" si="140"/>
        <v/>
      </c>
      <c r="W93" s="108" t="str">
        <f t="shared" si="140"/>
        <v/>
      </c>
      <c r="X93" s="108" t="str">
        <f t="shared" si="140"/>
        <v/>
      </c>
      <c r="Y93" s="108" t="str">
        <f t="shared" si="140"/>
        <v/>
      </c>
      <c r="Z93" s="108" t="str">
        <f t="shared" si="140"/>
        <v/>
      </c>
      <c r="AA93" s="108" t="str">
        <f t="shared" si="140"/>
        <v/>
      </c>
      <c r="AB93" s="108" t="str">
        <f t="shared" si="140"/>
        <v/>
      </c>
      <c r="AC93" s="108" t="str">
        <f t="shared" si="140"/>
        <v/>
      </c>
      <c r="AD93" s="108" t="str">
        <f t="shared" si="140"/>
        <v/>
      </c>
      <c r="AE93" s="108" t="str">
        <f t="shared" si="141"/>
        <v/>
      </c>
      <c r="AF93" s="108" t="str">
        <f t="shared" si="141"/>
        <v/>
      </c>
      <c r="AG93" s="108" t="str">
        <f t="shared" si="141"/>
        <v/>
      </c>
      <c r="AH93" s="108" t="str">
        <f t="shared" si="141"/>
        <v/>
      </c>
      <c r="AI93" s="108" t="str">
        <f t="shared" si="141"/>
        <v/>
      </c>
      <c r="AJ93" s="108" t="str">
        <f t="shared" si="141"/>
        <v/>
      </c>
      <c r="AK93" s="108" t="str">
        <f t="shared" si="141"/>
        <v/>
      </c>
      <c r="AL93" s="108" t="str">
        <f t="shared" si="141"/>
        <v/>
      </c>
      <c r="AM93" s="108" t="str">
        <f t="shared" si="141"/>
        <v/>
      </c>
      <c r="AN93" s="108" t="str">
        <f t="shared" si="141"/>
        <v/>
      </c>
      <c r="AO93" s="108" t="str">
        <f t="shared" si="142"/>
        <v/>
      </c>
      <c r="AP93" s="108" t="str">
        <f t="shared" si="142"/>
        <v/>
      </c>
      <c r="AQ93" s="108" t="str">
        <f t="shared" si="142"/>
        <v/>
      </c>
      <c r="AR93" s="108" t="str">
        <f t="shared" si="142"/>
        <v/>
      </c>
      <c r="AS93" s="108" t="str">
        <f t="shared" si="142"/>
        <v/>
      </c>
      <c r="AT93" s="108" t="str">
        <f t="shared" si="142"/>
        <v/>
      </c>
      <c r="AU93" s="108" t="str">
        <f t="shared" si="142"/>
        <v/>
      </c>
      <c r="AV93" s="108" t="str">
        <f t="shared" si="142"/>
        <v/>
      </c>
      <c r="AW93" s="108" t="str">
        <f t="shared" si="142"/>
        <v/>
      </c>
      <c r="AX93" s="108" t="str">
        <f t="shared" si="142"/>
        <v/>
      </c>
      <c r="AY93" s="108" t="str">
        <f t="shared" si="143"/>
        <v/>
      </c>
      <c r="AZ93" s="108" t="str">
        <f t="shared" si="143"/>
        <v/>
      </c>
      <c r="BA93" s="108" t="str">
        <f t="shared" si="143"/>
        <v/>
      </c>
      <c r="BB93" s="108" t="str">
        <f t="shared" si="143"/>
        <v/>
      </c>
      <c r="BC93" s="108" t="str">
        <f t="shared" si="143"/>
        <v/>
      </c>
      <c r="BD93" s="108" t="str">
        <f t="shared" si="143"/>
        <v/>
      </c>
      <c r="BE93" s="108" t="str">
        <f t="shared" si="143"/>
        <v/>
      </c>
      <c r="BF93" s="108" t="str">
        <f t="shared" si="143"/>
        <v/>
      </c>
      <c r="BG93" s="108" t="str">
        <f t="shared" si="143"/>
        <v/>
      </c>
      <c r="BH93" s="108" t="str">
        <f t="shared" si="143"/>
        <v/>
      </c>
      <c r="BI93" s="108" t="str">
        <f t="shared" si="144"/>
        <v/>
      </c>
      <c r="BJ93" s="108" t="str">
        <f t="shared" si="144"/>
        <v/>
      </c>
      <c r="BK93" s="108" t="str">
        <f t="shared" si="144"/>
        <v/>
      </c>
      <c r="BL93" s="108" t="str">
        <f t="shared" si="144"/>
        <v/>
      </c>
      <c r="BM93" s="108" t="str">
        <f t="shared" si="144"/>
        <v/>
      </c>
      <c r="BN93" s="108" t="str">
        <f t="shared" si="144"/>
        <v/>
      </c>
      <c r="BO93" s="108" t="str">
        <f t="shared" si="144"/>
        <v/>
      </c>
      <c r="BP93" s="108" t="str">
        <f t="shared" si="144"/>
        <v/>
      </c>
      <c r="BQ93" s="108" t="str">
        <f t="shared" si="144"/>
        <v/>
      </c>
      <c r="BR93" s="108" t="str">
        <f t="shared" si="144"/>
        <v/>
      </c>
      <c r="BS93" s="108" t="str">
        <f t="shared" si="145"/>
        <v/>
      </c>
      <c r="BT93" s="108" t="str">
        <f t="shared" si="145"/>
        <v/>
      </c>
      <c r="BU93" s="108" t="str">
        <f t="shared" si="145"/>
        <v/>
      </c>
      <c r="BV93" s="108" t="str">
        <f t="shared" si="145"/>
        <v/>
      </c>
      <c r="BW93" s="108" t="str">
        <f t="shared" si="145"/>
        <v/>
      </c>
      <c r="BX93" s="108" t="str">
        <f t="shared" si="145"/>
        <v/>
      </c>
      <c r="BY93" s="108" t="str">
        <f t="shared" si="145"/>
        <v/>
      </c>
      <c r="BZ93" s="108" t="str">
        <f t="shared" si="145"/>
        <v/>
      </c>
      <c r="CA93" s="108" t="str">
        <f t="shared" si="145"/>
        <v/>
      </c>
      <c r="CB93" s="108" t="str">
        <f t="shared" si="145"/>
        <v/>
      </c>
      <c r="CC93" s="108" t="str">
        <f t="shared" si="146"/>
        <v/>
      </c>
      <c r="CD93" s="108" t="str">
        <f t="shared" si="146"/>
        <v/>
      </c>
      <c r="CE93" s="108" t="str">
        <f t="shared" si="146"/>
        <v/>
      </c>
      <c r="CF93" s="108" t="str">
        <f t="shared" si="146"/>
        <v/>
      </c>
      <c r="CG93" s="108" t="str">
        <f t="shared" si="146"/>
        <v/>
      </c>
      <c r="CH93" s="108" t="str">
        <f t="shared" si="146"/>
        <v/>
      </c>
      <c r="CI93" s="108" t="str">
        <f t="shared" si="146"/>
        <v/>
      </c>
      <c r="CJ93" s="108" t="str">
        <f t="shared" si="146"/>
        <v/>
      </c>
      <c r="CK93" s="108" t="str">
        <f t="shared" si="146"/>
        <v/>
      </c>
      <c r="CL93" s="108" t="str">
        <f t="shared" si="146"/>
        <v/>
      </c>
      <c r="CM93" s="108" t="str">
        <f t="shared" si="147"/>
        <v/>
      </c>
      <c r="CN93" s="108" t="str">
        <f t="shared" si="147"/>
        <v/>
      </c>
      <c r="CO93" s="108" t="str">
        <f t="shared" si="147"/>
        <v/>
      </c>
      <c r="CP93" s="108" t="str">
        <f t="shared" si="147"/>
        <v/>
      </c>
      <c r="CQ93" s="108" t="str">
        <f t="shared" si="147"/>
        <v/>
      </c>
      <c r="CR93" s="109" t="str">
        <f t="shared" si="147"/>
        <v/>
      </c>
      <c r="CS93" s="108" t="str">
        <f t="shared" si="147"/>
        <v/>
      </c>
      <c r="CT93" s="108" t="str">
        <f t="shared" si="147"/>
        <v/>
      </c>
      <c r="CU93" s="108" t="str">
        <f t="shared" si="147"/>
        <v/>
      </c>
      <c r="CV93" s="108" t="str">
        <f t="shared" si="147"/>
        <v/>
      </c>
      <c r="CW93" s="108" t="str">
        <f t="shared" si="148"/>
        <v/>
      </c>
      <c r="CX93" s="108" t="str">
        <f t="shared" si="148"/>
        <v/>
      </c>
      <c r="CY93" s="108" t="str">
        <f t="shared" si="148"/>
        <v/>
      </c>
      <c r="CZ93" s="109" t="str">
        <f t="shared" si="148"/>
        <v/>
      </c>
      <c r="DA93" s="108" t="str">
        <f t="shared" si="148"/>
        <v/>
      </c>
      <c r="DB93" s="108" t="str">
        <f t="shared" si="148"/>
        <v/>
      </c>
      <c r="DC93" s="108" t="str">
        <f t="shared" si="148"/>
        <v/>
      </c>
      <c r="DD93" s="108" t="str">
        <f t="shared" si="148"/>
        <v/>
      </c>
      <c r="DE93" s="108" t="str">
        <f t="shared" si="148"/>
        <v/>
      </c>
      <c r="DF93" s="108" t="str">
        <f t="shared" si="148"/>
        <v/>
      </c>
      <c r="DG93" s="108" t="str">
        <f t="shared" si="149"/>
        <v/>
      </c>
      <c r="DH93" s="109" t="str">
        <f t="shared" si="149"/>
        <v/>
      </c>
      <c r="DI93" s="108" t="str">
        <f t="shared" si="149"/>
        <v/>
      </c>
      <c r="DJ93" s="108" t="str">
        <f t="shared" si="149"/>
        <v/>
      </c>
      <c r="DK93" s="108" t="str">
        <f t="shared" si="149"/>
        <v/>
      </c>
      <c r="DL93" s="108" t="str">
        <f t="shared" si="149"/>
        <v/>
      </c>
      <c r="DM93" s="108" t="str">
        <f t="shared" si="149"/>
        <v/>
      </c>
      <c r="DN93" s="108" t="str">
        <f t="shared" si="149"/>
        <v/>
      </c>
      <c r="DO93" s="109" t="str">
        <f t="shared" si="149"/>
        <v/>
      </c>
      <c r="DP93" s="108" t="str">
        <f t="shared" si="149"/>
        <v/>
      </c>
      <c r="DQ93" s="108" t="str">
        <f t="shared" si="150"/>
        <v/>
      </c>
      <c r="DR93" s="108" t="str">
        <f t="shared" si="150"/>
        <v/>
      </c>
      <c r="DS93" s="108" t="str">
        <f t="shared" si="150"/>
        <v/>
      </c>
      <c r="DT93" s="108" t="str">
        <f t="shared" si="150"/>
        <v/>
      </c>
      <c r="DU93" s="108" t="str">
        <f t="shared" si="150"/>
        <v/>
      </c>
      <c r="DV93" s="108" t="str">
        <f t="shared" si="150"/>
        <v/>
      </c>
      <c r="DW93" s="109" t="str">
        <f t="shared" si="150"/>
        <v/>
      </c>
      <c r="DX93" s="108" t="str">
        <f t="shared" si="150"/>
        <v/>
      </c>
      <c r="DY93" s="108" t="str">
        <f t="shared" si="150"/>
        <v/>
      </c>
      <c r="DZ93" s="108" t="str">
        <f t="shared" si="150"/>
        <v/>
      </c>
      <c r="EA93" s="108" t="str">
        <f t="shared" si="151"/>
        <v/>
      </c>
      <c r="EB93" s="108" t="str">
        <f t="shared" si="151"/>
        <v/>
      </c>
      <c r="EC93" s="108" t="str">
        <f t="shared" si="151"/>
        <v/>
      </c>
      <c r="ED93" s="109" t="str">
        <f t="shared" si="151"/>
        <v/>
      </c>
      <c r="EE93" s="108" t="str">
        <f t="shared" si="151"/>
        <v/>
      </c>
      <c r="EF93" s="108" t="str">
        <f t="shared" si="151"/>
        <v/>
      </c>
      <c r="EG93" s="108" t="str">
        <f t="shared" si="151"/>
        <v/>
      </c>
      <c r="EH93" s="108" t="str">
        <f t="shared" si="151"/>
        <v/>
      </c>
      <c r="EI93" s="108" t="str">
        <f t="shared" si="151"/>
        <v/>
      </c>
      <c r="EJ93" s="108" t="str">
        <f t="shared" si="151"/>
        <v/>
      </c>
      <c r="EK93" s="108" t="str">
        <f t="shared" si="152"/>
        <v/>
      </c>
      <c r="EL93" s="108" t="str">
        <f t="shared" si="152"/>
        <v/>
      </c>
      <c r="EM93" s="108" t="str">
        <f t="shared" si="152"/>
        <v/>
      </c>
      <c r="EN93" s="108" t="str">
        <f t="shared" si="152"/>
        <v/>
      </c>
      <c r="EO93" s="108" t="str">
        <f t="shared" si="152"/>
        <v/>
      </c>
      <c r="EP93" s="108" t="str">
        <f t="shared" si="152"/>
        <v/>
      </c>
      <c r="EQ93" s="108" t="str">
        <f t="shared" si="152"/>
        <v/>
      </c>
      <c r="ER93" s="108" t="str">
        <f t="shared" si="152"/>
        <v/>
      </c>
      <c r="ES93" s="109" t="str">
        <f t="shared" si="152"/>
        <v/>
      </c>
      <c r="ET93" s="108" t="str">
        <f t="shared" si="152"/>
        <v/>
      </c>
      <c r="EU93" s="108" t="str">
        <f t="shared" si="153"/>
        <v/>
      </c>
      <c r="EV93" s="108" t="str">
        <f t="shared" si="153"/>
        <v/>
      </c>
      <c r="EW93" s="108" t="str">
        <f t="shared" si="153"/>
        <v/>
      </c>
      <c r="EX93" s="108" t="str">
        <f t="shared" si="153"/>
        <v/>
      </c>
      <c r="EY93" s="108" t="str">
        <f t="shared" si="153"/>
        <v/>
      </c>
      <c r="EZ93" s="108" t="str">
        <f t="shared" si="153"/>
        <v/>
      </c>
      <c r="FA93" s="108" t="str">
        <f t="shared" si="153"/>
        <v/>
      </c>
      <c r="FB93" s="108" t="str">
        <f t="shared" si="153"/>
        <v/>
      </c>
      <c r="FC93" s="108" t="str">
        <f t="shared" si="153"/>
        <v/>
      </c>
      <c r="FD93" s="108" t="str">
        <f t="shared" si="153"/>
        <v/>
      </c>
      <c r="FE93" s="108" t="str">
        <f t="shared" si="154"/>
        <v/>
      </c>
      <c r="FF93" s="109" t="str">
        <f t="shared" si="154"/>
        <v/>
      </c>
      <c r="FG93" s="108" t="str">
        <f t="shared" si="154"/>
        <v/>
      </c>
      <c r="FH93" s="108" t="str">
        <f t="shared" si="154"/>
        <v/>
      </c>
      <c r="FI93" s="108" t="str">
        <f t="shared" si="154"/>
        <v/>
      </c>
      <c r="FJ93" s="108" t="str">
        <f t="shared" si="154"/>
        <v/>
      </c>
      <c r="FK93" s="108" t="str">
        <f t="shared" si="154"/>
        <v/>
      </c>
      <c r="FL93" s="108" t="str">
        <f t="shared" si="154"/>
        <v/>
      </c>
      <c r="FM93" s="108" t="str">
        <f t="shared" si="154"/>
        <v/>
      </c>
      <c r="FN93" s="108" t="str">
        <f t="shared" si="154"/>
        <v/>
      </c>
      <c r="FO93" s="108" t="str">
        <f t="shared" si="155"/>
        <v/>
      </c>
      <c r="FP93" s="108" t="str">
        <f t="shared" si="155"/>
        <v/>
      </c>
      <c r="FQ93" s="108" t="str">
        <f t="shared" si="155"/>
        <v/>
      </c>
      <c r="FR93" s="108" t="str">
        <f t="shared" si="155"/>
        <v/>
      </c>
      <c r="FS93" s="108" t="str">
        <f t="shared" si="155"/>
        <v/>
      </c>
      <c r="FT93" s="108" t="str">
        <f t="shared" si="155"/>
        <v/>
      </c>
      <c r="FU93" s="108" t="str">
        <f t="shared" si="155"/>
        <v/>
      </c>
      <c r="FV93" s="108" t="str">
        <f t="shared" si="155"/>
        <v/>
      </c>
      <c r="FW93" s="110" t="str">
        <f t="shared" si="155"/>
        <v/>
      </c>
    </row>
    <row r="94" spans="2:179" s="101" customFormat="1" ht="21" customHeight="1" x14ac:dyDescent="0.35">
      <c r="B94" s="27" t="e">
        <f>Portfolio_Daten!#REF!</f>
        <v>#REF!</v>
      </c>
      <c r="C94" s="27">
        <f>Portfolio_Daten!B95</f>
        <v>0</v>
      </c>
      <c r="D94" s="28">
        <f>Portfolio_Daten!E95</f>
        <v>0</v>
      </c>
      <c r="E94" s="31">
        <f>Portfolio_Daten!T95</f>
        <v>0</v>
      </c>
      <c r="F94" s="31">
        <f>Portfolio_Daten!U95</f>
        <v>0</v>
      </c>
      <c r="G94" s="107">
        <f>IF(F94="","",NETWORKDAYS(E94,F94,Parameter!$C$4:$C$51))</f>
        <v>0</v>
      </c>
      <c r="H94" s="29">
        <f>Portfolio_Daten!AG95</f>
        <v>0</v>
      </c>
      <c r="I94" s="33">
        <f>Portfolio_Daten!AI95</f>
        <v>0</v>
      </c>
      <c r="J94" s="106"/>
      <c r="K94" s="108" t="str">
        <f t="shared" si="139"/>
        <v/>
      </c>
      <c r="L94" s="108" t="str">
        <f t="shared" si="139"/>
        <v/>
      </c>
      <c r="M94" s="108" t="str">
        <f t="shared" si="139"/>
        <v/>
      </c>
      <c r="N94" s="108" t="str">
        <f t="shared" si="139"/>
        <v/>
      </c>
      <c r="O94" s="108" t="str">
        <f t="shared" si="139"/>
        <v/>
      </c>
      <c r="P94" s="108" t="str">
        <f t="shared" si="139"/>
        <v/>
      </c>
      <c r="Q94" s="108" t="str">
        <f t="shared" si="139"/>
        <v/>
      </c>
      <c r="R94" s="108" t="str">
        <f t="shared" si="139"/>
        <v/>
      </c>
      <c r="S94" s="108" t="str">
        <f t="shared" si="139"/>
        <v/>
      </c>
      <c r="T94" s="108" t="str">
        <f t="shared" si="139"/>
        <v/>
      </c>
      <c r="U94" s="108" t="str">
        <f t="shared" si="140"/>
        <v/>
      </c>
      <c r="V94" s="108" t="str">
        <f t="shared" si="140"/>
        <v/>
      </c>
      <c r="W94" s="108" t="str">
        <f t="shared" si="140"/>
        <v/>
      </c>
      <c r="X94" s="108" t="str">
        <f t="shared" si="140"/>
        <v/>
      </c>
      <c r="Y94" s="108" t="str">
        <f t="shared" si="140"/>
        <v/>
      </c>
      <c r="Z94" s="108" t="str">
        <f t="shared" si="140"/>
        <v/>
      </c>
      <c r="AA94" s="108" t="str">
        <f t="shared" si="140"/>
        <v/>
      </c>
      <c r="AB94" s="108" t="str">
        <f t="shared" si="140"/>
        <v/>
      </c>
      <c r="AC94" s="108" t="str">
        <f t="shared" si="140"/>
        <v/>
      </c>
      <c r="AD94" s="108" t="str">
        <f t="shared" si="140"/>
        <v/>
      </c>
      <c r="AE94" s="108" t="str">
        <f t="shared" si="141"/>
        <v/>
      </c>
      <c r="AF94" s="108" t="str">
        <f t="shared" si="141"/>
        <v/>
      </c>
      <c r="AG94" s="108" t="str">
        <f t="shared" si="141"/>
        <v/>
      </c>
      <c r="AH94" s="108" t="str">
        <f t="shared" si="141"/>
        <v/>
      </c>
      <c r="AI94" s="108" t="str">
        <f t="shared" si="141"/>
        <v/>
      </c>
      <c r="AJ94" s="108" t="str">
        <f t="shared" si="141"/>
        <v/>
      </c>
      <c r="AK94" s="108" t="str">
        <f t="shared" si="141"/>
        <v/>
      </c>
      <c r="AL94" s="108" t="str">
        <f t="shared" si="141"/>
        <v/>
      </c>
      <c r="AM94" s="108" t="str">
        <f t="shared" si="141"/>
        <v/>
      </c>
      <c r="AN94" s="108" t="str">
        <f t="shared" si="141"/>
        <v/>
      </c>
      <c r="AO94" s="108" t="str">
        <f t="shared" si="142"/>
        <v/>
      </c>
      <c r="AP94" s="108" t="str">
        <f t="shared" si="142"/>
        <v/>
      </c>
      <c r="AQ94" s="108" t="str">
        <f t="shared" si="142"/>
        <v/>
      </c>
      <c r="AR94" s="108" t="str">
        <f t="shared" si="142"/>
        <v/>
      </c>
      <c r="AS94" s="108" t="str">
        <f t="shared" si="142"/>
        <v/>
      </c>
      <c r="AT94" s="108" t="str">
        <f t="shared" si="142"/>
        <v/>
      </c>
      <c r="AU94" s="108" t="str">
        <f t="shared" si="142"/>
        <v/>
      </c>
      <c r="AV94" s="108" t="str">
        <f t="shared" si="142"/>
        <v/>
      </c>
      <c r="AW94" s="108" t="str">
        <f t="shared" si="142"/>
        <v/>
      </c>
      <c r="AX94" s="108" t="str">
        <f t="shared" si="142"/>
        <v/>
      </c>
      <c r="AY94" s="108" t="str">
        <f t="shared" si="143"/>
        <v/>
      </c>
      <c r="AZ94" s="108" t="str">
        <f t="shared" si="143"/>
        <v/>
      </c>
      <c r="BA94" s="108" t="str">
        <f t="shared" si="143"/>
        <v/>
      </c>
      <c r="BB94" s="108" t="str">
        <f t="shared" si="143"/>
        <v/>
      </c>
      <c r="BC94" s="108" t="str">
        <f t="shared" si="143"/>
        <v/>
      </c>
      <c r="BD94" s="108" t="str">
        <f t="shared" si="143"/>
        <v/>
      </c>
      <c r="BE94" s="108" t="str">
        <f t="shared" si="143"/>
        <v/>
      </c>
      <c r="BF94" s="108" t="str">
        <f t="shared" si="143"/>
        <v/>
      </c>
      <c r="BG94" s="108" t="str">
        <f t="shared" si="143"/>
        <v/>
      </c>
      <c r="BH94" s="108" t="str">
        <f t="shared" si="143"/>
        <v/>
      </c>
      <c r="BI94" s="108" t="str">
        <f t="shared" si="144"/>
        <v/>
      </c>
      <c r="BJ94" s="108" t="str">
        <f t="shared" si="144"/>
        <v/>
      </c>
      <c r="BK94" s="108" t="str">
        <f t="shared" si="144"/>
        <v/>
      </c>
      <c r="BL94" s="108" t="str">
        <f t="shared" si="144"/>
        <v/>
      </c>
      <c r="BM94" s="108" t="str">
        <f t="shared" si="144"/>
        <v/>
      </c>
      <c r="BN94" s="108" t="str">
        <f t="shared" si="144"/>
        <v/>
      </c>
      <c r="BO94" s="108" t="str">
        <f t="shared" si="144"/>
        <v/>
      </c>
      <c r="BP94" s="108" t="str">
        <f t="shared" si="144"/>
        <v/>
      </c>
      <c r="BQ94" s="108" t="str">
        <f t="shared" si="144"/>
        <v/>
      </c>
      <c r="BR94" s="108" t="str">
        <f t="shared" si="144"/>
        <v/>
      </c>
      <c r="BS94" s="108" t="str">
        <f t="shared" si="145"/>
        <v/>
      </c>
      <c r="BT94" s="108" t="str">
        <f t="shared" si="145"/>
        <v/>
      </c>
      <c r="BU94" s="108" t="str">
        <f t="shared" si="145"/>
        <v/>
      </c>
      <c r="BV94" s="108" t="str">
        <f t="shared" si="145"/>
        <v/>
      </c>
      <c r="BW94" s="108" t="str">
        <f t="shared" si="145"/>
        <v/>
      </c>
      <c r="BX94" s="108" t="str">
        <f t="shared" si="145"/>
        <v/>
      </c>
      <c r="BY94" s="108" t="str">
        <f t="shared" si="145"/>
        <v/>
      </c>
      <c r="BZ94" s="108" t="str">
        <f t="shared" si="145"/>
        <v/>
      </c>
      <c r="CA94" s="108" t="str">
        <f t="shared" si="145"/>
        <v/>
      </c>
      <c r="CB94" s="108" t="str">
        <f t="shared" si="145"/>
        <v/>
      </c>
      <c r="CC94" s="108" t="str">
        <f t="shared" si="146"/>
        <v/>
      </c>
      <c r="CD94" s="108" t="str">
        <f t="shared" si="146"/>
        <v/>
      </c>
      <c r="CE94" s="108" t="str">
        <f t="shared" si="146"/>
        <v/>
      </c>
      <c r="CF94" s="108" t="str">
        <f t="shared" si="146"/>
        <v/>
      </c>
      <c r="CG94" s="108" t="str">
        <f t="shared" si="146"/>
        <v/>
      </c>
      <c r="CH94" s="108" t="str">
        <f t="shared" si="146"/>
        <v/>
      </c>
      <c r="CI94" s="108" t="str">
        <f t="shared" si="146"/>
        <v/>
      </c>
      <c r="CJ94" s="108" t="str">
        <f t="shared" si="146"/>
        <v/>
      </c>
      <c r="CK94" s="108" t="str">
        <f t="shared" si="146"/>
        <v/>
      </c>
      <c r="CL94" s="108" t="str">
        <f t="shared" si="146"/>
        <v/>
      </c>
      <c r="CM94" s="108" t="str">
        <f t="shared" si="147"/>
        <v/>
      </c>
      <c r="CN94" s="108" t="str">
        <f t="shared" si="147"/>
        <v/>
      </c>
      <c r="CO94" s="108" t="str">
        <f t="shared" si="147"/>
        <v/>
      </c>
      <c r="CP94" s="108" t="str">
        <f t="shared" si="147"/>
        <v/>
      </c>
      <c r="CQ94" s="108" t="str">
        <f t="shared" si="147"/>
        <v/>
      </c>
      <c r="CR94" s="109" t="str">
        <f t="shared" si="147"/>
        <v/>
      </c>
      <c r="CS94" s="108" t="str">
        <f t="shared" si="147"/>
        <v/>
      </c>
      <c r="CT94" s="108" t="str">
        <f t="shared" si="147"/>
        <v/>
      </c>
      <c r="CU94" s="108" t="str">
        <f t="shared" si="147"/>
        <v/>
      </c>
      <c r="CV94" s="108" t="str">
        <f t="shared" si="147"/>
        <v/>
      </c>
      <c r="CW94" s="108" t="str">
        <f t="shared" si="148"/>
        <v/>
      </c>
      <c r="CX94" s="108" t="str">
        <f t="shared" si="148"/>
        <v/>
      </c>
      <c r="CY94" s="108" t="str">
        <f t="shared" si="148"/>
        <v/>
      </c>
      <c r="CZ94" s="109" t="str">
        <f t="shared" si="148"/>
        <v/>
      </c>
      <c r="DA94" s="108" t="str">
        <f t="shared" si="148"/>
        <v/>
      </c>
      <c r="DB94" s="108" t="str">
        <f t="shared" si="148"/>
        <v/>
      </c>
      <c r="DC94" s="108" t="str">
        <f t="shared" si="148"/>
        <v/>
      </c>
      <c r="DD94" s="108" t="str">
        <f t="shared" si="148"/>
        <v/>
      </c>
      <c r="DE94" s="108" t="str">
        <f t="shared" si="148"/>
        <v/>
      </c>
      <c r="DF94" s="108" t="str">
        <f t="shared" si="148"/>
        <v/>
      </c>
      <c r="DG94" s="108" t="str">
        <f t="shared" si="149"/>
        <v/>
      </c>
      <c r="DH94" s="109" t="str">
        <f t="shared" si="149"/>
        <v/>
      </c>
      <c r="DI94" s="108" t="str">
        <f t="shared" si="149"/>
        <v/>
      </c>
      <c r="DJ94" s="108" t="str">
        <f t="shared" si="149"/>
        <v/>
      </c>
      <c r="DK94" s="108" t="str">
        <f t="shared" si="149"/>
        <v/>
      </c>
      <c r="DL94" s="108" t="str">
        <f t="shared" si="149"/>
        <v/>
      </c>
      <c r="DM94" s="108" t="str">
        <f t="shared" si="149"/>
        <v/>
      </c>
      <c r="DN94" s="108" t="str">
        <f t="shared" si="149"/>
        <v/>
      </c>
      <c r="DO94" s="109" t="str">
        <f t="shared" si="149"/>
        <v/>
      </c>
      <c r="DP94" s="108" t="str">
        <f t="shared" si="149"/>
        <v/>
      </c>
      <c r="DQ94" s="108" t="str">
        <f t="shared" si="150"/>
        <v/>
      </c>
      <c r="DR94" s="108" t="str">
        <f t="shared" si="150"/>
        <v/>
      </c>
      <c r="DS94" s="108" t="str">
        <f t="shared" si="150"/>
        <v/>
      </c>
      <c r="DT94" s="108" t="str">
        <f t="shared" si="150"/>
        <v/>
      </c>
      <c r="DU94" s="108" t="str">
        <f t="shared" si="150"/>
        <v/>
      </c>
      <c r="DV94" s="108" t="str">
        <f t="shared" si="150"/>
        <v/>
      </c>
      <c r="DW94" s="109" t="str">
        <f t="shared" si="150"/>
        <v/>
      </c>
      <c r="DX94" s="108" t="str">
        <f t="shared" si="150"/>
        <v/>
      </c>
      <c r="DY94" s="108" t="str">
        <f t="shared" si="150"/>
        <v/>
      </c>
      <c r="DZ94" s="108" t="str">
        <f t="shared" si="150"/>
        <v/>
      </c>
      <c r="EA94" s="108" t="str">
        <f t="shared" si="151"/>
        <v/>
      </c>
      <c r="EB94" s="108" t="str">
        <f t="shared" si="151"/>
        <v/>
      </c>
      <c r="EC94" s="108" t="str">
        <f t="shared" si="151"/>
        <v/>
      </c>
      <c r="ED94" s="109" t="str">
        <f t="shared" si="151"/>
        <v/>
      </c>
      <c r="EE94" s="108" t="str">
        <f t="shared" si="151"/>
        <v/>
      </c>
      <c r="EF94" s="108" t="str">
        <f t="shared" si="151"/>
        <v/>
      </c>
      <c r="EG94" s="108" t="str">
        <f t="shared" si="151"/>
        <v/>
      </c>
      <c r="EH94" s="108" t="str">
        <f t="shared" si="151"/>
        <v/>
      </c>
      <c r="EI94" s="108" t="str">
        <f t="shared" si="151"/>
        <v/>
      </c>
      <c r="EJ94" s="108" t="str">
        <f t="shared" si="151"/>
        <v/>
      </c>
      <c r="EK94" s="108" t="str">
        <f t="shared" si="152"/>
        <v/>
      </c>
      <c r="EL94" s="108" t="str">
        <f t="shared" si="152"/>
        <v/>
      </c>
      <c r="EM94" s="108" t="str">
        <f t="shared" si="152"/>
        <v/>
      </c>
      <c r="EN94" s="108" t="str">
        <f t="shared" si="152"/>
        <v/>
      </c>
      <c r="EO94" s="108" t="str">
        <f t="shared" si="152"/>
        <v/>
      </c>
      <c r="EP94" s="108" t="str">
        <f t="shared" si="152"/>
        <v/>
      </c>
      <c r="EQ94" s="108" t="str">
        <f t="shared" si="152"/>
        <v/>
      </c>
      <c r="ER94" s="108" t="str">
        <f t="shared" si="152"/>
        <v/>
      </c>
      <c r="ES94" s="109" t="str">
        <f t="shared" si="152"/>
        <v/>
      </c>
      <c r="ET94" s="108" t="str">
        <f t="shared" si="152"/>
        <v/>
      </c>
      <c r="EU94" s="108" t="str">
        <f t="shared" si="153"/>
        <v/>
      </c>
      <c r="EV94" s="108" t="str">
        <f t="shared" si="153"/>
        <v/>
      </c>
      <c r="EW94" s="108" t="str">
        <f t="shared" si="153"/>
        <v/>
      </c>
      <c r="EX94" s="108" t="str">
        <f t="shared" si="153"/>
        <v/>
      </c>
      <c r="EY94" s="108" t="str">
        <f t="shared" si="153"/>
        <v/>
      </c>
      <c r="EZ94" s="108" t="str">
        <f t="shared" si="153"/>
        <v/>
      </c>
      <c r="FA94" s="108" t="str">
        <f t="shared" si="153"/>
        <v/>
      </c>
      <c r="FB94" s="108" t="str">
        <f t="shared" si="153"/>
        <v/>
      </c>
      <c r="FC94" s="108" t="str">
        <f t="shared" si="153"/>
        <v/>
      </c>
      <c r="FD94" s="108" t="str">
        <f t="shared" si="153"/>
        <v/>
      </c>
      <c r="FE94" s="108" t="str">
        <f t="shared" si="154"/>
        <v/>
      </c>
      <c r="FF94" s="109" t="str">
        <f t="shared" si="154"/>
        <v/>
      </c>
      <c r="FG94" s="108" t="str">
        <f t="shared" si="154"/>
        <v/>
      </c>
      <c r="FH94" s="108" t="str">
        <f t="shared" si="154"/>
        <v/>
      </c>
      <c r="FI94" s="108" t="str">
        <f t="shared" si="154"/>
        <v/>
      </c>
      <c r="FJ94" s="108" t="str">
        <f t="shared" si="154"/>
        <v/>
      </c>
      <c r="FK94" s="108" t="str">
        <f t="shared" si="154"/>
        <v/>
      </c>
      <c r="FL94" s="108" t="str">
        <f t="shared" si="154"/>
        <v/>
      </c>
      <c r="FM94" s="108" t="str">
        <f t="shared" si="154"/>
        <v/>
      </c>
      <c r="FN94" s="108" t="str">
        <f t="shared" si="154"/>
        <v/>
      </c>
      <c r="FO94" s="108" t="str">
        <f t="shared" si="155"/>
        <v/>
      </c>
      <c r="FP94" s="108" t="str">
        <f t="shared" si="155"/>
        <v/>
      </c>
      <c r="FQ94" s="108" t="str">
        <f t="shared" si="155"/>
        <v/>
      </c>
      <c r="FR94" s="108" t="str">
        <f t="shared" si="155"/>
        <v/>
      </c>
      <c r="FS94" s="108" t="str">
        <f t="shared" si="155"/>
        <v/>
      </c>
      <c r="FT94" s="108" t="str">
        <f t="shared" si="155"/>
        <v/>
      </c>
      <c r="FU94" s="108" t="str">
        <f t="shared" si="155"/>
        <v/>
      </c>
      <c r="FV94" s="108" t="str">
        <f t="shared" si="155"/>
        <v/>
      </c>
      <c r="FW94" s="110" t="str">
        <f t="shared" si="155"/>
        <v/>
      </c>
    </row>
    <row r="95" spans="2:179" s="101" customFormat="1" ht="21" customHeight="1" x14ac:dyDescent="0.35">
      <c r="B95" s="27" t="e">
        <f>Portfolio_Daten!#REF!</f>
        <v>#REF!</v>
      </c>
      <c r="C95" s="27">
        <f>Portfolio_Daten!B96</f>
        <v>0</v>
      </c>
      <c r="D95" s="28">
        <f>Portfolio_Daten!E96</f>
        <v>0</v>
      </c>
      <c r="E95" s="31">
        <f>Portfolio_Daten!T96</f>
        <v>0</v>
      </c>
      <c r="F95" s="31">
        <f>Portfolio_Daten!U96</f>
        <v>0</v>
      </c>
      <c r="G95" s="107">
        <f>IF(F95="","",NETWORKDAYS(E95,F95,Parameter!$C$4:$C$51))</f>
        <v>0</v>
      </c>
      <c r="H95" s="29">
        <f>Portfolio_Daten!AG96</f>
        <v>0</v>
      </c>
      <c r="I95" s="33">
        <f>Portfolio_Daten!AI96</f>
        <v>0</v>
      </c>
      <c r="J95" s="106"/>
      <c r="K95" s="108" t="str">
        <f t="shared" si="139"/>
        <v/>
      </c>
      <c r="L95" s="108" t="str">
        <f t="shared" si="139"/>
        <v/>
      </c>
      <c r="M95" s="108" t="str">
        <f t="shared" si="139"/>
        <v/>
      </c>
      <c r="N95" s="108" t="str">
        <f t="shared" si="139"/>
        <v/>
      </c>
      <c r="O95" s="108" t="str">
        <f t="shared" si="139"/>
        <v/>
      </c>
      <c r="P95" s="108" t="str">
        <f t="shared" si="139"/>
        <v/>
      </c>
      <c r="Q95" s="108" t="str">
        <f t="shared" si="139"/>
        <v/>
      </c>
      <c r="R95" s="108" t="str">
        <f t="shared" si="139"/>
        <v/>
      </c>
      <c r="S95" s="108" t="str">
        <f t="shared" si="139"/>
        <v/>
      </c>
      <c r="T95" s="108" t="str">
        <f t="shared" si="139"/>
        <v/>
      </c>
      <c r="U95" s="108" t="str">
        <f t="shared" si="140"/>
        <v/>
      </c>
      <c r="V95" s="108" t="str">
        <f t="shared" si="140"/>
        <v/>
      </c>
      <c r="W95" s="108" t="str">
        <f t="shared" si="140"/>
        <v/>
      </c>
      <c r="X95" s="108" t="str">
        <f t="shared" si="140"/>
        <v/>
      </c>
      <c r="Y95" s="108" t="str">
        <f t="shared" si="140"/>
        <v/>
      </c>
      <c r="Z95" s="108" t="str">
        <f t="shared" si="140"/>
        <v/>
      </c>
      <c r="AA95" s="108" t="str">
        <f t="shared" si="140"/>
        <v/>
      </c>
      <c r="AB95" s="108" t="str">
        <f t="shared" si="140"/>
        <v/>
      </c>
      <c r="AC95" s="108" t="str">
        <f t="shared" si="140"/>
        <v/>
      </c>
      <c r="AD95" s="108" t="str">
        <f t="shared" si="140"/>
        <v/>
      </c>
      <c r="AE95" s="108" t="str">
        <f t="shared" si="141"/>
        <v/>
      </c>
      <c r="AF95" s="108" t="str">
        <f t="shared" si="141"/>
        <v/>
      </c>
      <c r="AG95" s="108" t="str">
        <f t="shared" si="141"/>
        <v/>
      </c>
      <c r="AH95" s="108" t="str">
        <f t="shared" si="141"/>
        <v/>
      </c>
      <c r="AI95" s="108" t="str">
        <f t="shared" si="141"/>
        <v/>
      </c>
      <c r="AJ95" s="108" t="str">
        <f t="shared" si="141"/>
        <v/>
      </c>
      <c r="AK95" s="108" t="str">
        <f t="shared" si="141"/>
        <v/>
      </c>
      <c r="AL95" s="108" t="str">
        <f t="shared" si="141"/>
        <v/>
      </c>
      <c r="AM95" s="108" t="str">
        <f t="shared" si="141"/>
        <v/>
      </c>
      <c r="AN95" s="108" t="str">
        <f t="shared" si="141"/>
        <v/>
      </c>
      <c r="AO95" s="108" t="str">
        <f t="shared" si="142"/>
        <v/>
      </c>
      <c r="AP95" s="108" t="str">
        <f t="shared" si="142"/>
        <v/>
      </c>
      <c r="AQ95" s="108" t="str">
        <f t="shared" si="142"/>
        <v/>
      </c>
      <c r="AR95" s="108" t="str">
        <f t="shared" si="142"/>
        <v/>
      </c>
      <c r="AS95" s="108" t="str">
        <f t="shared" si="142"/>
        <v/>
      </c>
      <c r="AT95" s="108" t="str">
        <f t="shared" si="142"/>
        <v/>
      </c>
      <c r="AU95" s="108" t="str">
        <f t="shared" si="142"/>
        <v/>
      </c>
      <c r="AV95" s="108" t="str">
        <f t="shared" si="142"/>
        <v/>
      </c>
      <c r="AW95" s="108" t="str">
        <f t="shared" si="142"/>
        <v/>
      </c>
      <c r="AX95" s="108" t="str">
        <f t="shared" si="142"/>
        <v/>
      </c>
      <c r="AY95" s="108" t="str">
        <f t="shared" si="143"/>
        <v/>
      </c>
      <c r="AZ95" s="108" t="str">
        <f t="shared" si="143"/>
        <v/>
      </c>
      <c r="BA95" s="108" t="str">
        <f t="shared" si="143"/>
        <v/>
      </c>
      <c r="BB95" s="108" t="str">
        <f t="shared" si="143"/>
        <v/>
      </c>
      <c r="BC95" s="108" t="str">
        <f t="shared" si="143"/>
        <v/>
      </c>
      <c r="BD95" s="108" t="str">
        <f t="shared" si="143"/>
        <v/>
      </c>
      <c r="BE95" s="108" t="str">
        <f t="shared" si="143"/>
        <v/>
      </c>
      <c r="BF95" s="108" t="str">
        <f t="shared" si="143"/>
        <v/>
      </c>
      <c r="BG95" s="108" t="str">
        <f t="shared" si="143"/>
        <v/>
      </c>
      <c r="BH95" s="108" t="str">
        <f t="shared" si="143"/>
        <v/>
      </c>
      <c r="BI95" s="108" t="str">
        <f t="shared" si="144"/>
        <v/>
      </c>
      <c r="BJ95" s="108" t="str">
        <f t="shared" si="144"/>
        <v/>
      </c>
      <c r="BK95" s="108" t="str">
        <f t="shared" si="144"/>
        <v/>
      </c>
      <c r="BL95" s="108" t="str">
        <f t="shared" si="144"/>
        <v/>
      </c>
      <c r="BM95" s="108" t="str">
        <f t="shared" si="144"/>
        <v/>
      </c>
      <c r="BN95" s="108" t="str">
        <f t="shared" si="144"/>
        <v/>
      </c>
      <c r="BO95" s="108" t="str">
        <f t="shared" si="144"/>
        <v/>
      </c>
      <c r="BP95" s="108" t="str">
        <f t="shared" si="144"/>
        <v/>
      </c>
      <c r="BQ95" s="108" t="str">
        <f t="shared" si="144"/>
        <v/>
      </c>
      <c r="BR95" s="108" t="str">
        <f t="shared" si="144"/>
        <v/>
      </c>
      <c r="BS95" s="108" t="str">
        <f t="shared" si="145"/>
        <v/>
      </c>
      <c r="BT95" s="108" t="str">
        <f t="shared" si="145"/>
        <v/>
      </c>
      <c r="BU95" s="108" t="str">
        <f t="shared" si="145"/>
        <v/>
      </c>
      <c r="BV95" s="108" t="str">
        <f t="shared" si="145"/>
        <v/>
      </c>
      <c r="BW95" s="108" t="str">
        <f t="shared" si="145"/>
        <v/>
      </c>
      <c r="BX95" s="108" t="str">
        <f t="shared" si="145"/>
        <v/>
      </c>
      <c r="BY95" s="108" t="str">
        <f t="shared" si="145"/>
        <v/>
      </c>
      <c r="BZ95" s="108" t="str">
        <f t="shared" si="145"/>
        <v/>
      </c>
      <c r="CA95" s="108" t="str">
        <f t="shared" si="145"/>
        <v/>
      </c>
      <c r="CB95" s="108" t="str">
        <f t="shared" si="145"/>
        <v/>
      </c>
      <c r="CC95" s="108" t="str">
        <f t="shared" si="146"/>
        <v/>
      </c>
      <c r="CD95" s="108" t="str">
        <f t="shared" si="146"/>
        <v/>
      </c>
      <c r="CE95" s="108" t="str">
        <f t="shared" si="146"/>
        <v/>
      </c>
      <c r="CF95" s="108" t="str">
        <f t="shared" si="146"/>
        <v/>
      </c>
      <c r="CG95" s="108" t="str">
        <f t="shared" si="146"/>
        <v/>
      </c>
      <c r="CH95" s="108" t="str">
        <f t="shared" si="146"/>
        <v/>
      </c>
      <c r="CI95" s="108" t="str">
        <f t="shared" si="146"/>
        <v/>
      </c>
      <c r="CJ95" s="108" t="str">
        <f t="shared" si="146"/>
        <v/>
      </c>
      <c r="CK95" s="108" t="str">
        <f t="shared" si="146"/>
        <v/>
      </c>
      <c r="CL95" s="108" t="str">
        <f t="shared" si="146"/>
        <v/>
      </c>
      <c r="CM95" s="108" t="str">
        <f t="shared" si="147"/>
        <v/>
      </c>
      <c r="CN95" s="108" t="str">
        <f t="shared" si="147"/>
        <v/>
      </c>
      <c r="CO95" s="108" t="str">
        <f t="shared" si="147"/>
        <v/>
      </c>
      <c r="CP95" s="108" t="str">
        <f t="shared" si="147"/>
        <v/>
      </c>
      <c r="CQ95" s="108" t="str">
        <f t="shared" si="147"/>
        <v/>
      </c>
      <c r="CR95" s="109" t="str">
        <f t="shared" si="147"/>
        <v/>
      </c>
      <c r="CS95" s="108" t="str">
        <f t="shared" si="147"/>
        <v/>
      </c>
      <c r="CT95" s="108" t="str">
        <f t="shared" si="147"/>
        <v/>
      </c>
      <c r="CU95" s="108" t="str">
        <f t="shared" si="147"/>
        <v/>
      </c>
      <c r="CV95" s="108" t="str">
        <f t="shared" si="147"/>
        <v/>
      </c>
      <c r="CW95" s="108" t="str">
        <f t="shared" si="148"/>
        <v/>
      </c>
      <c r="CX95" s="108" t="str">
        <f t="shared" si="148"/>
        <v/>
      </c>
      <c r="CY95" s="108" t="str">
        <f t="shared" si="148"/>
        <v/>
      </c>
      <c r="CZ95" s="109" t="str">
        <f t="shared" si="148"/>
        <v/>
      </c>
      <c r="DA95" s="108" t="str">
        <f t="shared" si="148"/>
        <v/>
      </c>
      <c r="DB95" s="108" t="str">
        <f t="shared" si="148"/>
        <v/>
      </c>
      <c r="DC95" s="108" t="str">
        <f t="shared" si="148"/>
        <v/>
      </c>
      <c r="DD95" s="108" t="str">
        <f t="shared" si="148"/>
        <v/>
      </c>
      <c r="DE95" s="108" t="str">
        <f t="shared" si="148"/>
        <v/>
      </c>
      <c r="DF95" s="108" t="str">
        <f t="shared" si="148"/>
        <v/>
      </c>
      <c r="DG95" s="108" t="str">
        <f t="shared" si="149"/>
        <v/>
      </c>
      <c r="DH95" s="109" t="str">
        <f t="shared" si="149"/>
        <v/>
      </c>
      <c r="DI95" s="108" t="str">
        <f t="shared" si="149"/>
        <v/>
      </c>
      <c r="DJ95" s="108" t="str">
        <f t="shared" si="149"/>
        <v/>
      </c>
      <c r="DK95" s="108" t="str">
        <f t="shared" si="149"/>
        <v/>
      </c>
      <c r="DL95" s="108" t="str">
        <f t="shared" si="149"/>
        <v/>
      </c>
      <c r="DM95" s="108" t="str">
        <f t="shared" si="149"/>
        <v/>
      </c>
      <c r="DN95" s="108" t="str">
        <f t="shared" si="149"/>
        <v/>
      </c>
      <c r="DO95" s="109" t="str">
        <f t="shared" si="149"/>
        <v/>
      </c>
      <c r="DP95" s="108" t="str">
        <f t="shared" si="149"/>
        <v/>
      </c>
      <c r="DQ95" s="108" t="str">
        <f t="shared" si="150"/>
        <v/>
      </c>
      <c r="DR95" s="108" t="str">
        <f t="shared" si="150"/>
        <v/>
      </c>
      <c r="DS95" s="108" t="str">
        <f t="shared" si="150"/>
        <v/>
      </c>
      <c r="DT95" s="108" t="str">
        <f t="shared" si="150"/>
        <v/>
      </c>
      <c r="DU95" s="108" t="str">
        <f t="shared" si="150"/>
        <v/>
      </c>
      <c r="DV95" s="108" t="str">
        <f t="shared" si="150"/>
        <v/>
      </c>
      <c r="DW95" s="109" t="str">
        <f t="shared" si="150"/>
        <v/>
      </c>
      <c r="DX95" s="108" t="str">
        <f t="shared" si="150"/>
        <v/>
      </c>
      <c r="DY95" s="108" t="str">
        <f t="shared" si="150"/>
        <v/>
      </c>
      <c r="DZ95" s="108" t="str">
        <f t="shared" si="150"/>
        <v/>
      </c>
      <c r="EA95" s="108" t="str">
        <f t="shared" si="151"/>
        <v/>
      </c>
      <c r="EB95" s="108" t="str">
        <f t="shared" si="151"/>
        <v/>
      </c>
      <c r="EC95" s="108" t="str">
        <f t="shared" si="151"/>
        <v/>
      </c>
      <c r="ED95" s="109" t="str">
        <f t="shared" si="151"/>
        <v/>
      </c>
      <c r="EE95" s="108" t="str">
        <f t="shared" si="151"/>
        <v/>
      </c>
      <c r="EF95" s="108" t="str">
        <f t="shared" si="151"/>
        <v/>
      </c>
      <c r="EG95" s="108" t="str">
        <f t="shared" si="151"/>
        <v/>
      </c>
      <c r="EH95" s="108" t="str">
        <f t="shared" si="151"/>
        <v/>
      </c>
      <c r="EI95" s="108" t="str">
        <f t="shared" si="151"/>
        <v/>
      </c>
      <c r="EJ95" s="108" t="str">
        <f t="shared" si="151"/>
        <v/>
      </c>
      <c r="EK95" s="108" t="str">
        <f t="shared" si="152"/>
        <v/>
      </c>
      <c r="EL95" s="108" t="str">
        <f t="shared" si="152"/>
        <v/>
      </c>
      <c r="EM95" s="108" t="str">
        <f t="shared" si="152"/>
        <v/>
      </c>
      <c r="EN95" s="108" t="str">
        <f t="shared" si="152"/>
        <v/>
      </c>
      <c r="EO95" s="108" t="str">
        <f t="shared" si="152"/>
        <v/>
      </c>
      <c r="EP95" s="108" t="str">
        <f t="shared" si="152"/>
        <v/>
      </c>
      <c r="EQ95" s="108" t="str">
        <f t="shared" si="152"/>
        <v/>
      </c>
      <c r="ER95" s="108" t="str">
        <f t="shared" si="152"/>
        <v/>
      </c>
      <c r="ES95" s="109" t="str">
        <f t="shared" si="152"/>
        <v/>
      </c>
      <c r="ET95" s="108" t="str">
        <f t="shared" si="152"/>
        <v/>
      </c>
      <c r="EU95" s="108" t="str">
        <f t="shared" si="153"/>
        <v/>
      </c>
      <c r="EV95" s="108" t="str">
        <f t="shared" si="153"/>
        <v/>
      </c>
      <c r="EW95" s="108" t="str">
        <f t="shared" si="153"/>
        <v/>
      </c>
      <c r="EX95" s="108" t="str">
        <f t="shared" si="153"/>
        <v/>
      </c>
      <c r="EY95" s="108" t="str">
        <f t="shared" si="153"/>
        <v/>
      </c>
      <c r="EZ95" s="108" t="str">
        <f t="shared" si="153"/>
        <v/>
      </c>
      <c r="FA95" s="108" t="str">
        <f t="shared" si="153"/>
        <v/>
      </c>
      <c r="FB95" s="108" t="str">
        <f t="shared" si="153"/>
        <v/>
      </c>
      <c r="FC95" s="108" t="str">
        <f t="shared" si="153"/>
        <v/>
      </c>
      <c r="FD95" s="108" t="str">
        <f t="shared" si="153"/>
        <v/>
      </c>
      <c r="FE95" s="108" t="str">
        <f t="shared" si="154"/>
        <v/>
      </c>
      <c r="FF95" s="109" t="str">
        <f t="shared" si="154"/>
        <v/>
      </c>
      <c r="FG95" s="108" t="str">
        <f t="shared" si="154"/>
        <v/>
      </c>
      <c r="FH95" s="108" t="str">
        <f t="shared" si="154"/>
        <v/>
      </c>
      <c r="FI95" s="108" t="str">
        <f t="shared" si="154"/>
        <v/>
      </c>
      <c r="FJ95" s="108" t="str">
        <f t="shared" si="154"/>
        <v/>
      </c>
      <c r="FK95" s="108" t="str">
        <f t="shared" si="154"/>
        <v/>
      </c>
      <c r="FL95" s="108" t="str">
        <f t="shared" si="154"/>
        <v/>
      </c>
      <c r="FM95" s="108" t="str">
        <f t="shared" si="154"/>
        <v/>
      </c>
      <c r="FN95" s="108" t="str">
        <f t="shared" si="154"/>
        <v/>
      </c>
      <c r="FO95" s="108" t="str">
        <f t="shared" si="155"/>
        <v/>
      </c>
      <c r="FP95" s="108" t="str">
        <f t="shared" si="155"/>
        <v/>
      </c>
      <c r="FQ95" s="108" t="str">
        <f t="shared" si="155"/>
        <v/>
      </c>
      <c r="FR95" s="108" t="str">
        <f t="shared" si="155"/>
        <v/>
      </c>
      <c r="FS95" s="108" t="str">
        <f t="shared" si="155"/>
        <v/>
      </c>
      <c r="FT95" s="108" t="str">
        <f t="shared" si="155"/>
        <v/>
      </c>
      <c r="FU95" s="108" t="str">
        <f t="shared" si="155"/>
        <v/>
      </c>
      <c r="FV95" s="108" t="str">
        <f t="shared" si="155"/>
        <v/>
      </c>
      <c r="FW95" s="110" t="str">
        <f t="shared" si="155"/>
        <v/>
      </c>
    </row>
    <row r="96" spans="2:179" s="101" customFormat="1" ht="21" customHeight="1" x14ac:dyDescent="0.35">
      <c r="B96" s="27" t="e">
        <f>Portfolio_Daten!#REF!</f>
        <v>#REF!</v>
      </c>
      <c r="C96" s="27">
        <f>Portfolio_Daten!B97</f>
        <v>0</v>
      </c>
      <c r="D96" s="28">
        <f>Portfolio_Daten!E97</f>
        <v>0</v>
      </c>
      <c r="E96" s="31">
        <f>Portfolio_Daten!T97</f>
        <v>0</v>
      </c>
      <c r="F96" s="31">
        <f>Portfolio_Daten!U97</f>
        <v>0</v>
      </c>
      <c r="G96" s="107">
        <f>IF(F96="","",NETWORKDAYS(E96,F96,Parameter!$C$4:$C$51))</f>
        <v>0</v>
      </c>
      <c r="H96" s="29">
        <f>Portfolio_Daten!AG97</f>
        <v>0</v>
      </c>
      <c r="I96" s="33">
        <f>Portfolio_Daten!AI97</f>
        <v>0</v>
      </c>
      <c r="J96" s="106"/>
      <c r="K96" s="108" t="str">
        <f t="shared" si="139"/>
        <v/>
      </c>
      <c r="L96" s="108" t="str">
        <f t="shared" si="139"/>
        <v/>
      </c>
      <c r="M96" s="108" t="str">
        <f t="shared" si="139"/>
        <v/>
      </c>
      <c r="N96" s="108" t="str">
        <f t="shared" si="139"/>
        <v/>
      </c>
      <c r="O96" s="108" t="str">
        <f t="shared" si="139"/>
        <v/>
      </c>
      <c r="P96" s="108" t="str">
        <f t="shared" si="139"/>
        <v/>
      </c>
      <c r="Q96" s="108" t="str">
        <f t="shared" si="139"/>
        <v/>
      </c>
      <c r="R96" s="108" t="str">
        <f t="shared" si="139"/>
        <v/>
      </c>
      <c r="S96" s="108" t="str">
        <f t="shared" si="139"/>
        <v/>
      </c>
      <c r="T96" s="108" t="str">
        <f t="shared" si="139"/>
        <v/>
      </c>
      <c r="U96" s="108" t="str">
        <f t="shared" si="140"/>
        <v/>
      </c>
      <c r="V96" s="108" t="str">
        <f t="shared" si="140"/>
        <v/>
      </c>
      <c r="W96" s="108" t="str">
        <f t="shared" si="140"/>
        <v/>
      </c>
      <c r="X96" s="108" t="str">
        <f t="shared" si="140"/>
        <v/>
      </c>
      <c r="Y96" s="108" t="str">
        <f t="shared" si="140"/>
        <v/>
      </c>
      <c r="Z96" s="108" t="str">
        <f t="shared" si="140"/>
        <v/>
      </c>
      <c r="AA96" s="108" t="str">
        <f t="shared" si="140"/>
        <v/>
      </c>
      <c r="AB96" s="108" t="str">
        <f t="shared" si="140"/>
        <v/>
      </c>
      <c r="AC96" s="108" t="str">
        <f t="shared" si="140"/>
        <v/>
      </c>
      <c r="AD96" s="108" t="str">
        <f t="shared" si="140"/>
        <v/>
      </c>
      <c r="AE96" s="108" t="str">
        <f t="shared" si="141"/>
        <v/>
      </c>
      <c r="AF96" s="108" t="str">
        <f t="shared" si="141"/>
        <v/>
      </c>
      <c r="AG96" s="108" t="str">
        <f t="shared" si="141"/>
        <v/>
      </c>
      <c r="AH96" s="108" t="str">
        <f t="shared" si="141"/>
        <v/>
      </c>
      <c r="AI96" s="108" t="str">
        <f t="shared" si="141"/>
        <v/>
      </c>
      <c r="AJ96" s="108" t="str">
        <f t="shared" si="141"/>
        <v/>
      </c>
      <c r="AK96" s="108" t="str">
        <f t="shared" si="141"/>
        <v/>
      </c>
      <c r="AL96" s="108" t="str">
        <f t="shared" si="141"/>
        <v/>
      </c>
      <c r="AM96" s="108" t="str">
        <f t="shared" si="141"/>
        <v/>
      </c>
      <c r="AN96" s="108" t="str">
        <f t="shared" si="141"/>
        <v/>
      </c>
      <c r="AO96" s="108" t="str">
        <f t="shared" si="142"/>
        <v/>
      </c>
      <c r="AP96" s="108" t="str">
        <f t="shared" si="142"/>
        <v/>
      </c>
      <c r="AQ96" s="108" t="str">
        <f t="shared" si="142"/>
        <v/>
      </c>
      <c r="AR96" s="108" t="str">
        <f t="shared" si="142"/>
        <v/>
      </c>
      <c r="AS96" s="108" t="str">
        <f t="shared" si="142"/>
        <v/>
      </c>
      <c r="AT96" s="108" t="str">
        <f t="shared" si="142"/>
        <v/>
      </c>
      <c r="AU96" s="108" t="str">
        <f t="shared" si="142"/>
        <v/>
      </c>
      <c r="AV96" s="108" t="str">
        <f t="shared" si="142"/>
        <v/>
      </c>
      <c r="AW96" s="108" t="str">
        <f t="shared" si="142"/>
        <v/>
      </c>
      <c r="AX96" s="108" t="str">
        <f t="shared" si="142"/>
        <v/>
      </c>
      <c r="AY96" s="108" t="str">
        <f t="shared" si="143"/>
        <v/>
      </c>
      <c r="AZ96" s="108" t="str">
        <f t="shared" si="143"/>
        <v/>
      </c>
      <c r="BA96" s="108" t="str">
        <f t="shared" si="143"/>
        <v/>
      </c>
      <c r="BB96" s="108" t="str">
        <f t="shared" si="143"/>
        <v/>
      </c>
      <c r="BC96" s="108" t="str">
        <f t="shared" si="143"/>
        <v/>
      </c>
      <c r="BD96" s="108" t="str">
        <f t="shared" si="143"/>
        <v/>
      </c>
      <c r="BE96" s="108" t="str">
        <f t="shared" si="143"/>
        <v/>
      </c>
      <c r="BF96" s="108" t="str">
        <f t="shared" si="143"/>
        <v/>
      </c>
      <c r="BG96" s="108" t="str">
        <f t="shared" si="143"/>
        <v/>
      </c>
      <c r="BH96" s="108" t="str">
        <f t="shared" si="143"/>
        <v/>
      </c>
      <c r="BI96" s="108" t="str">
        <f t="shared" si="144"/>
        <v/>
      </c>
      <c r="BJ96" s="108" t="str">
        <f t="shared" si="144"/>
        <v/>
      </c>
      <c r="BK96" s="108" t="str">
        <f t="shared" si="144"/>
        <v/>
      </c>
      <c r="BL96" s="108" t="str">
        <f t="shared" si="144"/>
        <v/>
      </c>
      <c r="BM96" s="108" t="str">
        <f t="shared" si="144"/>
        <v/>
      </c>
      <c r="BN96" s="108" t="str">
        <f t="shared" si="144"/>
        <v/>
      </c>
      <c r="BO96" s="108" t="str">
        <f t="shared" si="144"/>
        <v/>
      </c>
      <c r="BP96" s="108" t="str">
        <f t="shared" si="144"/>
        <v/>
      </c>
      <c r="BQ96" s="108" t="str">
        <f t="shared" si="144"/>
        <v/>
      </c>
      <c r="BR96" s="108" t="str">
        <f t="shared" si="144"/>
        <v/>
      </c>
      <c r="BS96" s="108" t="str">
        <f t="shared" si="145"/>
        <v/>
      </c>
      <c r="BT96" s="108" t="str">
        <f t="shared" si="145"/>
        <v/>
      </c>
      <c r="BU96" s="108" t="str">
        <f t="shared" si="145"/>
        <v/>
      </c>
      <c r="BV96" s="108" t="str">
        <f t="shared" si="145"/>
        <v/>
      </c>
      <c r="BW96" s="108" t="str">
        <f t="shared" si="145"/>
        <v/>
      </c>
      <c r="BX96" s="108" t="str">
        <f t="shared" si="145"/>
        <v/>
      </c>
      <c r="BY96" s="108" t="str">
        <f t="shared" si="145"/>
        <v/>
      </c>
      <c r="BZ96" s="108" t="str">
        <f t="shared" si="145"/>
        <v/>
      </c>
      <c r="CA96" s="108" t="str">
        <f t="shared" si="145"/>
        <v/>
      </c>
      <c r="CB96" s="108" t="str">
        <f t="shared" si="145"/>
        <v/>
      </c>
      <c r="CC96" s="108" t="str">
        <f t="shared" si="146"/>
        <v/>
      </c>
      <c r="CD96" s="108" t="str">
        <f t="shared" si="146"/>
        <v/>
      </c>
      <c r="CE96" s="108" t="str">
        <f t="shared" si="146"/>
        <v/>
      </c>
      <c r="CF96" s="108" t="str">
        <f t="shared" si="146"/>
        <v/>
      </c>
      <c r="CG96" s="108" t="str">
        <f t="shared" si="146"/>
        <v/>
      </c>
      <c r="CH96" s="108" t="str">
        <f t="shared" si="146"/>
        <v/>
      </c>
      <c r="CI96" s="108" t="str">
        <f t="shared" si="146"/>
        <v/>
      </c>
      <c r="CJ96" s="108" t="str">
        <f t="shared" si="146"/>
        <v/>
      </c>
      <c r="CK96" s="108" t="str">
        <f t="shared" si="146"/>
        <v/>
      </c>
      <c r="CL96" s="108" t="str">
        <f t="shared" si="146"/>
        <v/>
      </c>
      <c r="CM96" s="108" t="str">
        <f t="shared" si="147"/>
        <v/>
      </c>
      <c r="CN96" s="108" t="str">
        <f t="shared" si="147"/>
        <v/>
      </c>
      <c r="CO96" s="108" t="str">
        <f t="shared" si="147"/>
        <v/>
      </c>
      <c r="CP96" s="108" t="str">
        <f t="shared" si="147"/>
        <v/>
      </c>
      <c r="CQ96" s="108" t="str">
        <f t="shared" si="147"/>
        <v/>
      </c>
      <c r="CR96" s="109" t="str">
        <f t="shared" si="147"/>
        <v/>
      </c>
      <c r="CS96" s="108" t="str">
        <f t="shared" si="147"/>
        <v/>
      </c>
      <c r="CT96" s="108" t="str">
        <f t="shared" si="147"/>
        <v/>
      </c>
      <c r="CU96" s="108" t="str">
        <f t="shared" si="147"/>
        <v/>
      </c>
      <c r="CV96" s="108" t="str">
        <f t="shared" si="147"/>
        <v/>
      </c>
      <c r="CW96" s="108" t="str">
        <f t="shared" si="148"/>
        <v/>
      </c>
      <c r="CX96" s="108" t="str">
        <f t="shared" si="148"/>
        <v/>
      </c>
      <c r="CY96" s="108" t="str">
        <f t="shared" si="148"/>
        <v/>
      </c>
      <c r="CZ96" s="109" t="str">
        <f t="shared" si="148"/>
        <v/>
      </c>
      <c r="DA96" s="108" t="str">
        <f t="shared" si="148"/>
        <v/>
      </c>
      <c r="DB96" s="108" t="str">
        <f t="shared" si="148"/>
        <v/>
      </c>
      <c r="DC96" s="108" t="str">
        <f t="shared" si="148"/>
        <v/>
      </c>
      <c r="DD96" s="108" t="str">
        <f t="shared" si="148"/>
        <v/>
      </c>
      <c r="DE96" s="108" t="str">
        <f t="shared" si="148"/>
        <v/>
      </c>
      <c r="DF96" s="108" t="str">
        <f t="shared" si="148"/>
        <v/>
      </c>
      <c r="DG96" s="108" t="str">
        <f t="shared" si="149"/>
        <v/>
      </c>
      <c r="DH96" s="109" t="str">
        <f t="shared" si="149"/>
        <v/>
      </c>
      <c r="DI96" s="108" t="str">
        <f t="shared" si="149"/>
        <v/>
      </c>
      <c r="DJ96" s="108" t="str">
        <f t="shared" si="149"/>
        <v/>
      </c>
      <c r="DK96" s="108" t="str">
        <f t="shared" si="149"/>
        <v/>
      </c>
      <c r="DL96" s="108" t="str">
        <f t="shared" si="149"/>
        <v/>
      </c>
      <c r="DM96" s="108" t="str">
        <f t="shared" si="149"/>
        <v/>
      </c>
      <c r="DN96" s="108" t="str">
        <f t="shared" si="149"/>
        <v/>
      </c>
      <c r="DO96" s="109" t="str">
        <f t="shared" si="149"/>
        <v/>
      </c>
      <c r="DP96" s="108" t="str">
        <f t="shared" si="149"/>
        <v/>
      </c>
      <c r="DQ96" s="108" t="str">
        <f t="shared" si="150"/>
        <v/>
      </c>
      <c r="DR96" s="108" t="str">
        <f t="shared" si="150"/>
        <v/>
      </c>
      <c r="DS96" s="108" t="str">
        <f t="shared" si="150"/>
        <v/>
      </c>
      <c r="DT96" s="108" t="str">
        <f t="shared" si="150"/>
        <v/>
      </c>
      <c r="DU96" s="108" t="str">
        <f t="shared" si="150"/>
        <v/>
      </c>
      <c r="DV96" s="108" t="str">
        <f t="shared" si="150"/>
        <v/>
      </c>
      <c r="DW96" s="109" t="str">
        <f t="shared" si="150"/>
        <v/>
      </c>
      <c r="DX96" s="108" t="str">
        <f t="shared" si="150"/>
        <v/>
      </c>
      <c r="DY96" s="108" t="str">
        <f t="shared" si="150"/>
        <v/>
      </c>
      <c r="DZ96" s="108" t="str">
        <f t="shared" si="150"/>
        <v/>
      </c>
      <c r="EA96" s="108" t="str">
        <f t="shared" si="151"/>
        <v/>
      </c>
      <c r="EB96" s="108" t="str">
        <f t="shared" si="151"/>
        <v/>
      </c>
      <c r="EC96" s="108" t="str">
        <f t="shared" si="151"/>
        <v/>
      </c>
      <c r="ED96" s="109" t="str">
        <f t="shared" si="151"/>
        <v/>
      </c>
      <c r="EE96" s="108" t="str">
        <f t="shared" si="151"/>
        <v/>
      </c>
      <c r="EF96" s="108" t="str">
        <f t="shared" si="151"/>
        <v/>
      </c>
      <c r="EG96" s="108" t="str">
        <f t="shared" si="151"/>
        <v/>
      </c>
      <c r="EH96" s="108" t="str">
        <f t="shared" si="151"/>
        <v/>
      </c>
      <c r="EI96" s="108" t="str">
        <f t="shared" si="151"/>
        <v/>
      </c>
      <c r="EJ96" s="108" t="str">
        <f t="shared" si="151"/>
        <v/>
      </c>
      <c r="EK96" s="108" t="str">
        <f t="shared" si="152"/>
        <v/>
      </c>
      <c r="EL96" s="108" t="str">
        <f t="shared" si="152"/>
        <v/>
      </c>
      <c r="EM96" s="108" t="str">
        <f t="shared" si="152"/>
        <v/>
      </c>
      <c r="EN96" s="108" t="str">
        <f t="shared" si="152"/>
        <v/>
      </c>
      <c r="EO96" s="108" t="str">
        <f t="shared" si="152"/>
        <v/>
      </c>
      <c r="EP96" s="108" t="str">
        <f t="shared" si="152"/>
        <v/>
      </c>
      <c r="EQ96" s="108" t="str">
        <f t="shared" si="152"/>
        <v/>
      </c>
      <c r="ER96" s="108" t="str">
        <f t="shared" si="152"/>
        <v/>
      </c>
      <c r="ES96" s="109" t="str">
        <f t="shared" si="152"/>
        <v/>
      </c>
      <c r="ET96" s="108" t="str">
        <f t="shared" si="152"/>
        <v/>
      </c>
      <c r="EU96" s="108" t="str">
        <f t="shared" si="153"/>
        <v/>
      </c>
      <c r="EV96" s="108" t="str">
        <f t="shared" si="153"/>
        <v/>
      </c>
      <c r="EW96" s="108" t="str">
        <f t="shared" si="153"/>
        <v/>
      </c>
      <c r="EX96" s="108" t="str">
        <f t="shared" si="153"/>
        <v/>
      </c>
      <c r="EY96" s="108" t="str">
        <f t="shared" si="153"/>
        <v/>
      </c>
      <c r="EZ96" s="108" t="str">
        <f t="shared" si="153"/>
        <v/>
      </c>
      <c r="FA96" s="108" t="str">
        <f t="shared" si="153"/>
        <v/>
      </c>
      <c r="FB96" s="108" t="str">
        <f t="shared" si="153"/>
        <v/>
      </c>
      <c r="FC96" s="108" t="str">
        <f t="shared" si="153"/>
        <v/>
      </c>
      <c r="FD96" s="108" t="str">
        <f t="shared" si="153"/>
        <v/>
      </c>
      <c r="FE96" s="108" t="str">
        <f t="shared" si="154"/>
        <v/>
      </c>
      <c r="FF96" s="109" t="str">
        <f t="shared" si="154"/>
        <v/>
      </c>
      <c r="FG96" s="108" t="str">
        <f t="shared" si="154"/>
        <v/>
      </c>
      <c r="FH96" s="108" t="str">
        <f t="shared" si="154"/>
        <v/>
      </c>
      <c r="FI96" s="108" t="str">
        <f t="shared" si="154"/>
        <v/>
      </c>
      <c r="FJ96" s="108" t="str">
        <f t="shared" si="154"/>
        <v/>
      </c>
      <c r="FK96" s="108" t="str">
        <f t="shared" si="154"/>
        <v/>
      </c>
      <c r="FL96" s="108" t="str">
        <f t="shared" si="154"/>
        <v/>
      </c>
      <c r="FM96" s="108" t="str">
        <f t="shared" si="154"/>
        <v/>
      </c>
      <c r="FN96" s="108" t="str">
        <f t="shared" si="154"/>
        <v/>
      </c>
      <c r="FO96" s="108" t="str">
        <f t="shared" si="155"/>
        <v/>
      </c>
      <c r="FP96" s="108" t="str">
        <f t="shared" si="155"/>
        <v/>
      </c>
      <c r="FQ96" s="108" t="str">
        <f t="shared" si="155"/>
        <v/>
      </c>
      <c r="FR96" s="108" t="str">
        <f t="shared" si="155"/>
        <v/>
      </c>
      <c r="FS96" s="108" t="str">
        <f t="shared" si="155"/>
        <v/>
      </c>
      <c r="FT96" s="108" t="str">
        <f t="shared" si="155"/>
        <v/>
      </c>
      <c r="FU96" s="108" t="str">
        <f t="shared" si="155"/>
        <v/>
      </c>
      <c r="FV96" s="108" t="str">
        <f t="shared" si="155"/>
        <v/>
      </c>
      <c r="FW96" s="110" t="str">
        <f t="shared" si="155"/>
        <v/>
      </c>
    </row>
    <row r="97" spans="2:179" s="101" customFormat="1" ht="21" customHeight="1" x14ac:dyDescent="0.35">
      <c r="B97" s="27" t="e">
        <f>Portfolio_Daten!#REF!</f>
        <v>#REF!</v>
      </c>
      <c r="C97" s="27">
        <f>Portfolio_Daten!B98</f>
        <v>0</v>
      </c>
      <c r="D97" s="28">
        <f>Portfolio_Daten!E98</f>
        <v>0</v>
      </c>
      <c r="E97" s="31">
        <f>Portfolio_Daten!T98</f>
        <v>0</v>
      </c>
      <c r="F97" s="31">
        <f>Portfolio_Daten!U98</f>
        <v>0</v>
      </c>
      <c r="G97" s="107">
        <f>IF(F97="","",NETWORKDAYS(E97,F97,Parameter!$C$4:$C$51))</f>
        <v>0</v>
      </c>
      <c r="H97" s="29">
        <f>Portfolio_Daten!AG98</f>
        <v>0</v>
      </c>
      <c r="I97" s="33">
        <f>Portfolio_Daten!AI98</f>
        <v>0</v>
      </c>
      <c r="J97" s="106"/>
      <c r="K97" s="108" t="str">
        <f t="shared" ref="K97:T106" si="156">IF(K$5=($F97-WEEKDAY($F97,2)+1),"u","")</f>
        <v/>
      </c>
      <c r="L97" s="108" t="str">
        <f t="shared" si="156"/>
        <v/>
      </c>
      <c r="M97" s="108" t="str">
        <f t="shared" si="156"/>
        <v/>
      </c>
      <c r="N97" s="108" t="str">
        <f t="shared" si="156"/>
        <v/>
      </c>
      <c r="O97" s="108" t="str">
        <f t="shared" si="156"/>
        <v/>
      </c>
      <c r="P97" s="108" t="str">
        <f t="shared" si="156"/>
        <v/>
      </c>
      <c r="Q97" s="108" t="str">
        <f t="shared" si="156"/>
        <v/>
      </c>
      <c r="R97" s="108" t="str">
        <f t="shared" si="156"/>
        <v/>
      </c>
      <c r="S97" s="108" t="str">
        <f t="shared" si="156"/>
        <v/>
      </c>
      <c r="T97" s="108" t="str">
        <f t="shared" si="156"/>
        <v/>
      </c>
      <c r="U97" s="108" t="str">
        <f t="shared" ref="U97:AD106" si="157">IF(U$5=($F97-WEEKDAY($F97,2)+1),"u","")</f>
        <v/>
      </c>
      <c r="V97" s="108" t="str">
        <f t="shared" si="157"/>
        <v/>
      </c>
      <c r="W97" s="108" t="str">
        <f t="shared" si="157"/>
        <v/>
      </c>
      <c r="X97" s="108" t="str">
        <f t="shared" si="157"/>
        <v/>
      </c>
      <c r="Y97" s="108" t="str">
        <f t="shared" si="157"/>
        <v/>
      </c>
      <c r="Z97" s="108" t="str">
        <f t="shared" si="157"/>
        <v/>
      </c>
      <c r="AA97" s="108" t="str">
        <f t="shared" si="157"/>
        <v/>
      </c>
      <c r="AB97" s="108" t="str">
        <f t="shared" si="157"/>
        <v/>
      </c>
      <c r="AC97" s="108" t="str">
        <f t="shared" si="157"/>
        <v/>
      </c>
      <c r="AD97" s="108" t="str">
        <f t="shared" si="157"/>
        <v/>
      </c>
      <c r="AE97" s="108" t="str">
        <f t="shared" ref="AE97:AN106" si="158">IF(AE$5=($F97-WEEKDAY($F97,2)+1),"u","")</f>
        <v/>
      </c>
      <c r="AF97" s="108" t="str">
        <f t="shared" si="158"/>
        <v/>
      </c>
      <c r="AG97" s="108" t="str">
        <f t="shared" si="158"/>
        <v/>
      </c>
      <c r="AH97" s="108" t="str">
        <f t="shared" si="158"/>
        <v/>
      </c>
      <c r="AI97" s="108" t="str">
        <f t="shared" si="158"/>
        <v/>
      </c>
      <c r="AJ97" s="108" t="str">
        <f t="shared" si="158"/>
        <v/>
      </c>
      <c r="AK97" s="108" t="str">
        <f t="shared" si="158"/>
        <v/>
      </c>
      <c r="AL97" s="108" t="str">
        <f t="shared" si="158"/>
        <v/>
      </c>
      <c r="AM97" s="108" t="str">
        <f t="shared" si="158"/>
        <v/>
      </c>
      <c r="AN97" s="108" t="str">
        <f t="shared" si="158"/>
        <v/>
      </c>
      <c r="AO97" s="108" t="str">
        <f t="shared" ref="AO97:AX106" si="159">IF(AO$5=($F97-WEEKDAY($F97,2)+1),"u","")</f>
        <v/>
      </c>
      <c r="AP97" s="108" t="str">
        <f t="shared" si="159"/>
        <v/>
      </c>
      <c r="AQ97" s="108" t="str">
        <f t="shared" si="159"/>
        <v/>
      </c>
      <c r="AR97" s="108" t="str">
        <f t="shared" si="159"/>
        <v/>
      </c>
      <c r="AS97" s="108" t="str">
        <f t="shared" si="159"/>
        <v/>
      </c>
      <c r="AT97" s="108" t="str">
        <f t="shared" si="159"/>
        <v/>
      </c>
      <c r="AU97" s="108" t="str">
        <f t="shared" si="159"/>
        <v/>
      </c>
      <c r="AV97" s="108" t="str">
        <f t="shared" si="159"/>
        <v/>
      </c>
      <c r="AW97" s="108" t="str">
        <f t="shared" si="159"/>
        <v/>
      </c>
      <c r="AX97" s="108" t="str">
        <f t="shared" si="159"/>
        <v/>
      </c>
      <c r="AY97" s="108" t="str">
        <f t="shared" ref="AY97:BH106" si="160">IF(AY$5=($F97-WEEKDAY($F97,2)+1),"u","")</f>
        <v/>
      </c>
      <c r="AZ97" s="108" t="str">
        <f t="shared" si="160"/>
        <v/>
      </c>
      <c r="BA97" s="108" t="str">
        <f t="shared" si="160"/>
        <v/>
      </c>
      <c r="BB97" s="108" t="str">
        <f t="shared" si="160"/>
        <v/>
      </c>
      <c r="BC97" s="108" t="str">
        <f t="shared" si="160"/>
        <v/>
      </c>
      <c r="BD97" s="108" t="str">
        <f t="shared" si="160"/>
        <v/>
      </c>
      <c r="BE97" s="108" t="str">
        <f t="shared" si="160"/>
        <v/>
      </c>
      <c r="BF97" s="108" t="str">
        <f t="shared" si="160"/>
        <v/>
      </c>
      <c r="BG97" s="108" t="str">
        <f t="shared" si="160"/>
        <v/>
      </c>
      <c r="BH97" s="108" t="str">
        <f t="shared" si="160"/>
        <v/>
      </c>
      <c r="BI97" s="108" t="str">
        <f t="shared" ref="BI97:BR106" si="161">IF(BI$5=($F97-WEEKDAY($F97,2)+1),"u","")</f>
        <v/>
      </c>
      <c r="BJ97" s="108" t="str">
        <f t="shared" si="161"/>
        <v/>
      </c>
      <c r="BK97" s="108" t="str">
        <f t="shared" si="161"/>
        <v/>
      </c>
      <c r="BL97" s="108" t="str">
        <f t="shared" si="161"/>
        <v/>
      </c>
      <c r="BM97" s="108" t="str">
        <f t="shared" si="161"/>
        <v/>
      </c>
      <c r="BN97" s="108" t="str">
        <f t="shared" si="161"/>
        <v/>
      </c>
      <c r="BO97" s="108" t="str">
        <f t="shared" si="161"/>
        <v/>
      </c>
      <c r="BP97" s="108" t="str">
        <f t="shared" si="161"/>
        <v/>
      </c>
      <c r="BQ97" s="108" t="str">
        <f t="shared" si="161"/>
        <v/>
      </c>
      <c r="BR97" s="108" t="str">
        <f t="shared" si="161"/>
        <v/>
      </c>
      <c r="BS97" s="108" t="str">
        <f t="shared" ref="BS97:CB106" si="162">IF(BS$5=($F97-WEEKDAY($F97,2)+1),"u","")</f>
        <v/>
      </c>
      <c r="BT97" s="108" t="str">
        <f t="shared" si="162"/>
        <v/>
      </c>
      <c r="BU97" s="108" t="str">
        <f t="shared" si="162"/>
        <v/>
      </c>
      <c r="BV97" s="108" t="str">
        <f t="shared" si="162"/>
        <v/>
      </c>
      <c r="BW97" s="108" t="str">
        <f t="shared" si="162"/>
        <v/>
      </c>
      <c r="BX97" s="108" t="str">
        <f t="shared" si="162"/>
        <v/>
      </c>
      <c r="BY97" s="108" t="str">
        <f t="shared" si="162"/>
        <v/>
      </c>
      <c r="BZ97" s="108" t="str">
        <f t="shared" si="162"/>
        <v/>
      </c>
      <c r="CA97" s="108" t="str">
        <f t="shared" si="162"/>
        <v/>
      </c>
      <c r="CB97" s="108" t="str">
        <f t="shared" si="162"/>
        <v/>
      </c>
      <c r="CC97" s="108" t="str">
        <f t="shared" ref="CC97:CL106" si="163">IF(CC$5=($F97-WEEKDAY($F97,2)+1),"u","")</f>
        <v/>
      </c>
      <c r="CD97" s="108" t="str">
        <f t="shared" si="163"/>
        <v/>
      </c>
      <c r="CE97" s="108" t="str">
        <f t="shared" si="163"/>
        <v/>
      </c>
      <c r="CF97" s="108" t="str">
        <f t="shared" si="163"/>
        <v/>
      </c>
      <c r="CG97" s="108" t="str">
        <f t="shared" si="163"/>
        <v/>
      </c>
      <c r="CH97" s="108" t="str">
        <f t="shared" si="163"/>
        <v/>
      </c>
      <c r="CI97" s="108" t="str">
        <f t="shared" si="163"/>
        <v/>
      </c>
      <c r="CJ97" s="108" t="str">
        <f t="shared" si="163"/>
        <v/>
      </c>
      <c r="CK97" s="108" t="str">
        <f t="shared" si="163"/>
        <v/>
      </c>
      <c r="CL97" s="108" t="str">
        <f t="shared" si="163"/>
        <v/>
      </c>
      <c r="CM97" s="108" t="str">
        <f t="shared" ref="CM97:CV106" si="164">IF(CM$5=($F97-WEEKDAY($F97,2)+1),"u","")</f>
        <v/>
      </c>
      <c r="CN97" s="108" t="str">
        <f t="shared" si="164"/>
        <v/>
      </c>
      <c r="CO97" s="108" t="str">
        <f t="shared" si="164"/>
        <v/>
      </c>
      <c r="CP97" s="108" t="str">
        <f t="shared" si="164"/>
        <v/>
      </c>
      <c r="CQ97" s="108" t="str">
        <f t="shared" si="164"/>
        <v/>
      </c>
      <c r="CR97" s="109" t="str">
        <f t="shared" si="164"/>
        <v/>
      </c>
      <c r="CS97" s="108" t="str">
        <f t="shared" si="164"/>
        <v/>
      </c>
      <c r="CT97" s="108" t="str">
        <f t="shared" si="164"/>
        <v/>
      </c>
      <c r="CU97" s="108" t="str">
        <f t="shared" si="164"/>
        <v/>
      </c>
      <c r="CV97" s="108" t="str">
        <f t="shared" si="164"/>
        <v/>
      </c>
      <c r="CW97" s="108" t="str">
        <f t="shared" ref="CW97:DF106" si="165">IF(CW$5=($F97-WEEKDAY($F97,2)+1),"u","")</f>
        <v/>
      </c>
      <c r="CX97" s="108" t="str">
        <f t="shared" si="165"/>
        <v/>
      </c>
      <c r="CY97" s="108" t="str">
        <f t="shared" si="165"/>
        <v/>
      </c>
      <c r="CZ97" s="109" t="str">
        <f t="shared" si="165"/>
        <v/>
      </c>
      <c r="DA97" s="108" t="str">
        <f t="shared" si="165"/>
        <v/>
      </c>
      <c r="DB97" s="108" t="str">
        <f t="shared" si="165"/>
        <v/>
      </c>
      <c r="DC97" s="108" t="str">
        <f t="shared" si="165"/>
        <v/>
      </c>
      <c r="DD97" s="108" t="str">
        <f t="shared" si="165"/>
        <v/>
      </c>
      <c r="DE97" s="108" t="str">
        <f t="shared" si="165"/>
        <v/>
      </c>
      <c r="DF97" s="108" t="str">
        <f t="shared" si="165"/>
        <v/>
      </c>
      <c r="DG97" s="108" t="str">
        <f t="shared" ref="DG97:DP106" si="166">IF(DG$5=($F97-WEEKDAY($F97,2)+1),"u","")</f>
        <v/>
      </c>
      <c r="DH97" s="109" t="str">
        <f t="shared" si="166"/>
        <v/>
      </c>
      <c r="DI97" s="108" t="str">
        <f t="shared" si="166"/>
        <v/>
      </c>
      <c r="DJ97" s="108" t="str">
        <f t="shared" si="166"/>
        <v/>
      </c>
      <c r="DK97" s="108" t="str">
        <f t="shared" si="166"/>
        <v/>
      </c>
      <c r="DL97" s="108" t="str">
        <f t="shared" si="166"/>
        <v/>
      </c>
      <c r="DM97" s="108" t="str">
        <f t="shared" si="166"/>
        <v/>
      </c>
      <c r="DN97" s="108" t="str">
        <f t="shared" si="166"/>
        <v/>
      </c>
      <c r="DO97" s="109" t="str">
        <f t="shared" si="166"/>
        <v/>
      </c>
      <c r="DP97" s="108" t="str">
        <f t="shared" si="166"/>
        <v/>
      </c>
      <c r="DQ97" s="108" t="str">
        <f t="shared" ref="DQ97:DZ106" si="167">IF(DQ$5=($F97-WEEKDAY($F97,2)+1),"u","")</f>
        <v/>
      </c>
      <c r="DR97" s="108" t="str">
        <f t="shared" si="167"/>
        <v/>
      </c>
      <c r="DS97" s="108" t="str">
        <f t="shared" si="167"/>
        <v/>
      </c>
      <c r="DT97" s="108" t="str">
        <f t="shared" si="167"/>
        <v/>
      </c>
      <c r="DU97" s="108" t="str">
        <f t="shared" si="167"/>
        <v/>
      </c>
      <c r="DV97" s="108" t="str">
        <f t="shared" si="167"/>
        <v/>
      </c>
      <c r="DW97" s="109" t="str">
        <f t="shared" si="167"/>
        <v/>
      </c>
      <c r="DX97" s="108" t="str">
        <f t="shared" si="167"/>
        <v/>
      </c>
      <c r="DY97" s="108" t="str">
        <f t="shared" si="167"/>
        <v/>
      </c>
      <c r="DZ97" s="108" t="str">
        <f t="shared" si="167"/>
        <v/>
      </c>
      <c r="EA97" s="108" t="str">
        <f t="shared" ref="EA97:EJ106" si="168">IF(EA$5=($F97-WEEKDAY($F97,2)+1),"u","")</f>
        <v/>
      </c>
      <c r="EB97" s="108" t="str">
        <f t="shared" si="168"/>
        <v/>
      </c>
      <c r="EC97" s="108" t="str">
        <f t="shared" si="168"/>
        <v/>
      </c>
      <c r="ED97" s="109" t="str">
        <f t="shared" si="168"/>
        <v/>
      </c>
      <c r="EE97" s="108" t="str">
        <f t="shared" si="168"/>
        <v/>
      </c>
      <c r="EF97" s="108" t="str">
        <f t="shared" si="168"/>
        <v/>
      </c>
      <c r="EG97" s="108" t="str">
        <f t="shared" si="168"/>
        <v/>
      </c>
      <c r="EH97" s="108" t="str">
        <f t="shared" si="168"/>
        <v/>
      </c>
      <c r="EI97" s="108" t="str">
        <f t="shared" si="168"/>
        <v/>
      </c>
      <c r="EJ97" s="108" t="str">
        <f t="shared" si="168"/>
        <v/>
      </c>
      <c r="EK97" s="108" t="str">
        <f t="shared" ref="EK97:ET106" si="169">IF(EK$5=($F97-WEEKDAY($F97,2)+1),"u","")</f>
        <v/>
      </c>
      <c r="EL97" s="108" t="str">
        <f t="shared" si="169"/>
        <v/>
      </c>
      <c r="EM97" s="108" t="str">
        <f t="shared" si="169"/>
        <v/>
      </c>
      <c r="EN97" s="108" t="str">
        <f t="shared" si="169"/>
        <v/>
      </c>
      <c r="EO97" s="108" t="str">
        <f t="shared" si="169"/>
        <v/>
      </c>
      <c r="EP97" s="108" t="str">
        <f t="shared" si="169"/>
        <v/>
      </c>
      <c r="EQ97" s="108" t="str">
        <f t="shared" si="169"/>
        <v/>
      </c>
      <c r="ER97" s="108" t="str">
        <f t="shared" si="169"/>
        <v/>
      </c>
      <c r="ES97" s="109" t="str">
        <f t="shared" si="169"/>
        <v/>
      </c>
      <c r="ET97" s="108" t="str">
        <f t="shared" si="169"/>
        <v/>
      </c>
      <c r="EU97" s="108" t="str">
        <f t="shared" ref="EU97:FD106" si="170">IF(EU$5=($F97-WEEKDAY($F97,2)+1),"u","")</f>
        <v/>
      </c>
      <c r="EV97" s="108" t="str">
        <f t="shared" si="170"/>
        <v/>
      </c>
      <c r="EW97" s="108" t="str">
        <f t="shared" si="170"/>
        <v/>
      </c>
      <c r="EX97" s="108" t="str">
        <f t="shared" si="170"/>
        <v/>
      </c>
      <c r="EY97" s="108" t="str">
        <f t="shared" si="170"/>
        <v/>
      </c>
      <c r="EZ97" s="108" t="str">
        <f t="shared" si="170"/>
        <v/>
      </c>
      <c r="FA97" s="108" t="str">
        <f t="shared" si="170"/>
        <v/>
      </c>
      <c r="FB97" s="108" t="str">
        <f t="shared" si="170"/>
        <v/>
      </c>
      <c r="FC97" s="108" t="str">
        <f t="shared" si="170"/>
        <v/>
      </c>
      <c r="FD97" s="108" t="str">
        <f t="shared" si="170"/>
        <v/>
      </c>
      <c r="FE97" s="108" t="str">
        <f t="shared" ref="FE97:FN106" si="171">IF(FE$5=($F97-WEEKDAY($F97,2)+1),"u","")</f>
        <v/>
      </c>
      <c r="FF97" s="109" t="str">
        <f t="shared" si="171"/>
        <v/>
      </c>
      <c r="FG97" s="108" t="str">
        <f t="shared" si="171"/>
        <v/>
      </c>
      <c r="FH97" s="108" t="str">
        <f t="shared" si="171"/>
        <v/>
      </c>
      <c r="FI97" s="108" t="str">
        <f t="shared" si="171"/>
        <v/>
      </c>
      <c r="FJ97" s="108" t="str">
        <f t="shared" si="171"/>
        <v/>
      </c>
      <c r="FK97" s="108" t="str">
        <f t="shared" si="171"/>
        <v/>
      </c>
      <c r="FL97" s="108" t="str">
        <f t="shared" si="171"/>
        <v/>
      </c>
      <c r="FM97" s="108" t="str">
        <f t="shared" si="171"/>
        <v/>
      </c>
      <c r="FN97" s="108" t="str">
        <f t="shared" si="171"/>
        <v/>
      </c>
      <c r="FO97" s="108" t="str">
        <f t="shared" ref="FO97:FW106" si="172">IF(FO$5=($F97-WEEKDAY($F97,2)+1),"u","")</f>
        <v/>
      </c>
      <c r="FP97" s="108" t="str">
        <f t="shared" si="172"/>
        <v/>
      </c>
      <c r="FQ97" s="108" t="str">
        <f t="shared" si="172"/>
        <v/>
      </c>
      <c r="FR97" s="108" t="str">
        <f t="shared" si="172"/>
        <v/>
      </c>
      <c r="FS97" s="108" t="str">
        <f t="shared" si="172"/>
        <v/>
      </c>
      <c r="FT97" s="108" t="str">
        <f t="shared" si="172"/>
        <v/>
      </c>
      <c r="FU97" s="108" t="str">
        <f t="shared" si="172"/>
        <v/>
      </c>
      <c r="FV97" s="108" t="str">
        <f t="shared" si="172"/>
        <v/>
      </c>
      <c r="FW97" s="110" t="str">
        <f t="shared" si="172"/>
        <v/>
      </c>
    </row>
    <row r="98" spans="2:179" s="101" customFormat="1" ht="21" customHeight="1" x14ac:dyDescent="0.35">
      <c r="B98" s="27" t="e">
        <f>Portfolio_Daten!#REF!</f>
        <v>#REF!</v>
      </c>
      <c r="C98" s="27">
        <f>Portfolio_Daten!B99</f>
        <v>0</v>
      </c>
      <c r="D98" s="28">
        <f>Portfolio_Daten!E99</f>
        <v>0</v>
      </c>
      <c r="E98" s="31">
        <f>Portfolio_Daten!T99</f>
        <v>0</v>
      </c>
      <c r="F98" s="31">
        <f>Portfolio_Daten!U99</f>
        <v>0</v>
      </c>
      <c r="G98" s="107">
        <f>IF(F98="","",NETWORKDAYS(E98,F98,Parameter!$C$4:$C$51))</f>
        <v>0</v>
      </c>
      <c r="H98" s="29">
        <f>Portfolio_Daten!AG99</f>
        <v>0</v>
      </c>
      <c r="I98" s="33">
        <f>Portfolio_Daten!AI99</f>
        <v>0</v>
      </c>
      <c r="J98" s="106"/>
      <c r="K98" s="108" t="str">
        <f t="shared" si="156"/>
        <v/>
      </c>
      <c r="L98" s="108" t="str">
        <f t="shared" si="156"/>
        <v/>
      </c>
      <c r="M98" s="108" t="str">
        <f t="shared" si="156"/>
        <v/>
      </c>
      <c r="N98" s="108" t="str">
        <f t="shared" si="156"/>
        <v/>
      </c>
      <c r="O98" s="108" t="str">
        <f t="shared" si="156"/>
        <v/>
      </c>
      <c r="P98" s="108" t="str">
        <f t="shared" si="156"/>
        <v/>
      </c>
      <c r="Q98" s="108" t="str">
        <f t="shared" si="156"/>
        <v/>
      </c>
      <c r="R98" s="108" t="str">
        <f t="shared" si="156"/>
        <v/>
      </c>
      <c r="S98" s="108" t="str">
        <f t="shared" si="156"/>
        <v/>
      </c>
      <c r="T98" s="108" t="str">
        <f t="shared" si="156"/>
        <v/>
      </c>
      <c r="U98" s="108" t="str">
        <f t="shared" si="157"/>
        <v/>
      </c>
      <c r="V98" s="108" t="str">
        <f t="shared" si="157"/>
        <v/>
      </c>
      <c r="W98" s="108" t="str">
        <f t="shared" si="157"/>
        <v/>
      </c>
      <c r="X98" s="108" t="str">
        <f t="shared" si="157"/>
        <v/>
      </c>
      <c r="Y98" s="108" t="str">
        <f t="shared" si="157"/>
        <v/>
      </c>
      <c r="Z98" s="108" t="str">
        <f t="shared" si="157"/>
        <v/>
      </c>
      <c r="AA98" s="108" t="str">
        <f t="shared" si="157"/>
        <v/>
      </c>
      <c r="AB98" s="108" t="str">
        <f t="shared" si="157"/>
        <v/>
      </c>
      <c r="AC98" s="108" t="str">
        <f t="shared" si="157"/>
        <v/>
      </c>
      <c r="AD98" s="108" t="str">
        <f t="shared" si="157"/>
        <v/>
      </c>
      <c r="AE98" s="108" t="str">
        <f t="shared" si="158"/>
        <v/>
      </c>
      <c r="AF98" s="108" t="str">
        <f t="shared" si="158"/>
        <v/>
      </c>
      <c r="AG98" s="108" t="str">
        <f t="shared" si="158"/>
        <v/>
      </c>
      <c r="AH98" s="108" t="str">
        <f t="shared" si="158"/>
        <v/>
      </c>
      <c r="AI98" s="108" t="str">
        <f t="shared" si="158"/>
        <v/>
      </c>
      <c r="AJ98" s="108" t="str">
        <f t="shared" si="158"/>
        <v/>
      </c>
      <c r="AK98" s="108" t="str">
        <f t="shared" si="158"/>
        <v/>
      </c>
      <c r="AL98" s="108" t="str">
        <f t="shared" si="158"/>
        <v/>
      </c>
      <c r="AM98" s="108" t="str">
        <f t="shared" si="158"/>
        <v/>
      </c>
      <c r="AN98" s="108" t="str">
        <f t="shared" si="158"/>
        <v/>
      </c>
      <c r="AO98" s="108" t="str">
        <f t="shared" si="159"/>
        <v/>
      </c>
      <c r="AP98" s="108" t="str">
        <f t="shared" si="159"/>
        <v/>
      </c>
      <c r="AQ98" s="108" t="str">
        <f t="shared" si="159"/>
        <v/>
      </c>
      <c r="AR98" s="108" t="str">
        <f t="shared" si="159"/>
        <v/>
      </c>
      <c r="AS98" s="108" t="str">
        <f t="shared" si="159"/>
        <v/>
      </c>
      <c r="AT98" s="108" t="str">
        <f t="shared" si="159"/>
        <v/>
      </c>
      <c r="AU98" s="108" t="str">
        <f t="shared" si="159"/>
        <v/>
      </c>
      <c r="AV98" s="108" t="str">
        <f t="shared" si="159"/>
        <v/>
      </c>
      <c r="AW98" s="108" t="str">
        <f t="shared" si="159"/>
        <v/>
      </c>
      <c r="AX98" s="108" t="str">
        <f t="shared" si="159"/>
        <v/>
      </c>
      <c r="AY98" s="108" t="str">
        <f t="shared" si="160"/>
        <v/>
      </c>
      <c r="AZ98" s="108" t="str">
        <f t="shared" si="160"/>
        <v/>
      </c>
      <c r="BA98" s="108" t="str">
        <f t="shared" si="160"/>
        <v/>
      </c>
      <c r="BB98" s="108" t="str">
        <f t="shared" si="160"/>
        <v/>
      </c>
      <c r="BC98" s="108" t="str">
        <f t="shared" si="160"/>
        <v/>
      </c>
      <c r="BD98" s="108" t="str">
        <f t="shared" si="160"/>
        <v/>
      </c>
      <c r="BE98" s="108" t="str">
        <f t="shared" si="160"/>
        <v/>
      </c>
      <c r="BF98" s="108" t="str">
        <f t="shared" si="160"/>
        <v/>
      </c>
      <c r="BG98" s="108" t="str">
        <f t="shared" si="160"/>
        <v/>
      </c>
      <c r="BH98" s="108" t="str">
        <f t="shared" si="160"/>
        <v/>
      </c>
      <c r="BI98" s="108" t="str">
        <f t="shared" si="161"/>
        <v/>
      </c>
      <c r="BJ98" s="108" t="str">
        <f t="shared" si="161"/>
        <v/>
      </c>
      <c r="BK98" s="108" t="str">
        <f t="shared" si="161"/>
        <v/>
      </c>
      <c r="BL98" s="108" t="str">
        <f t="shared" si="161"/>
        <v/>
      </c>
      <c r="BM98" s="108" t="str">
        <f t="shared" si="161"/>
        <v/>
      </c>
      <c r="BN98" s="108" t="str">
        <f t="shared" si="161"/>
        <v/>
      </c>
      <c r="BO98" s="108" t="str">
        <f t="shared" si="161"/>
        <v/>
      </c>
      <c r="BP98" s="108" t="str">
        <f t="shared" si="161"/>
        <v/>
      </c>
      <c r="BQ98" s="108" t="str">
        <f t="shared" si="161"/>
        <v/>
      </c>
      <c r="BR98" s="108" t="str">
        <f t="shared" si="161"/>
        <v/>
      </c>
      <c r="BS98" s="108" t="str">
        <f t="shared" si="162"/>
        <v/>
      </c>
      <c r="BT98" s="108" t="str">
        <f t="shared" si="162"/>
        <v/>
      </c>
      <c r="BU98" s="108" t="str">
        <f t="shared" si="162"/>
        <v/>
      </c>
      <c r="BV98" s="108" t="str">
        <f t="shared" si="162"/>
        <v/>
      </c>
      <c r="BW98" s="108" t="str">
        <f t="shared" si="162"/>
        <v/>
      </c>
      <c r="BX98" s="108" t="str">
        <f t="shared" si="162"/>
        <v/>
      </c>
      <c r="BY98" s="108" t="str">
        <f t="shared" si="162"/>
        <v/>
      </c>
      <c r="BZ98" s="108" t="str">
        <f t="shared" si="162"/>
        <v/>
      </c>
      <c r="CA98" s="108" t="str">
        <f t="shared" si="162"/>
        <v/>
      </c>
      <c r="CB98" s="108" t="str">
        <f t="shared" si="162"/>
        <v/>
      </c>
      <c r="CC98" s="108" t="str">
        <f t="shared" si="163"/>
        <v/>
      </c>
      <c r="CD98" s="108" t="str">
        <f t="shared" si="163"/>
        <v/>
      </c>
      <c r="CE98" s="108" t="str">
        <f t="shared" si="163"/>
        <v/>
      </c>
      <c r="CF98" s="108" t="str">
        <f t="shared" si="163"/>
        <v/>
      </c>
      <c r="CG98" s="108" t="str">
        <f t="shared" si="163"/>
        <v/>
      </c>
      <c r="CH98" s="108" t="str">
        <f t="shared" si="163"/>
        <v/>
      </c>
      <c r="CI98" s="108" t="str">
        <f t="shared" si="163"/>
        <v/>
      </c>
      <c r="CJ98" s="108" t="str">
        <f t="shared" si="163"/>
        <v/>
      </c>
      <c r="CK98" s="108" t="str">
        <f t="shared" si="163"/>
        <v/>
      </c>
      <c r="CL98" s="108" t="str">
        <f t="shared" si="163"/>
        <v/>
      </c>
      <c r="CM98" s="108" t="str">
        <f t="shared" si="164"/>
        <v/>
      </c>
      <c r="CN98" s="108" t="str">
        <f t="shared" si="164"/>
        <v/>
      </c>
      <c r="CO98" s="108" t="str">
        <f t="shared" si="164"/>
        <v/>
      </c>
      <c r="CP98" s="108" t="str">
        <f t="shared" si="164"/>
        <v/>
      </c>
      <c r="CQ98" s="108" t="str">
        <f t="shared" si="164"/>
        <v/>
      </c>
      <c r="CR98" s="109" t="str">
        <f t="shared" si="164"/>
        <v/>
      </c>
      <c r="CS98" s="108" t="str">
        <f t="shared" si="164"/>
        <v/>
      </c>
      <c r="CT98" s="108" t="str">
        <f t="shared" si="164"/>
        <v/>
      </c>
      <c r="CU98" s="108" t="str">
        <f t="shared" si="164"/>
        <v/>
      </c>
      <c r="CV98" s="108" t="str">
        <f t="shared" si="164"/>
        <v/>
      </c>
      <c r="CW98" s="108" t="str">
        <f t="shared" si="165"/>
        <v/>
      </c>
      <c r="CX98" s="108" t="str">
        <f t="shared" si="165"/>
        <v/>
      </c>
      <c r="CY98" s="108" t="str">
        <f t="shared" si="165"/>
        <v/>
      </c>
      <c r="CZ98" s="109" t="str">
        <f t="shared" si="165"/>
        <v/>
      </c>
      <c r="DA98" s="108" t="str">
        <f t="shared" si="165"/>
        <v/>
      </c>
      <c r="DB98" s="108" t="str">
        <f t="shared" si="165"/>
        <v/>
      </c>
      <c r="DC98" s="108" t="str">
        <f t="shared" si="165"/>
        <v/>
      </c>
      <c r="DD98" s="108" t="str">
        <f t="shared" si="165"/>
        <v/>
      </c>
      <c r="DE98" s="108" t="str">
        <f t="shared" si="165"/>
        <v/>
      </c>
      <c r="DF98" s="108" t="str">
        <f t="shared" si="165"/>
        <v/>
      </c>
      <c r="DG98" s="108" t="str">
        <f t="shared" si="166"/>
        <v/>
      </c>
      <c r="DH98" s="109" t="str">
        <f t="shared" si="166"/>
        <v/>
      </c>
      <c r="DI98" s="108" t="str">
        <f t="shared" si="166"/>
        <v/>
      </c>
      <c r="DJ98" s="108" t="str">
        <f t="shared" si="166"/>
        <v/>
      </c>
      <c r="DK98" s="108" t="str">
        <f t="shared" si="166"/>
        <v/>
      </c>
      <c r="DL98" s="108" t="str">
        <f t="shared" si="166"/>
        <v/>
      </c>
      <c r="DM98" s="108" t="str">
        <f t="shared" si="166"/>
        <v/>
      </c>
      <c r="DN98" s="108" t="str">
        <f t="shared" si="166"/>
        <v/>
      </c>
      <c r="DO98" s="109" t="str">
        <f t="shared" si="166"/>
        <v/>
      </c>
      <c r="DP98" s="108" t="str">
        <f t="shared" si="166"/>
        <v/>
      </c>
      <c r="DQ98" s="108" t="str">
        <f t="shared" si="167"/>
        <v/>
      </c>
      <c r="DR98" s="108" t="str">
        <f t="shared" si="167"/>
        <v/>
      </c>
      <c r="DS98" s="108" t="str">
        <f t="shared" si="167"/>
        <v/>
      </c>
      <c r="DT98" s="108" t="str">
        <f t="shared" si="167"/>
        <v/>
      </c>
      <c r="DU98" s="108" t="str">
        <f t="shared" si="167"/>
        <v/>
      </c>
      <c r="DV98" s="108" t="str">
        <f t="shared" si="167"/>
        <v/>
      </c>
      <c r="DW98" s="109" t="str">
        <f t="shared" si="167"/>
        <v/>
      </c>
      <c r="DX98" s="108" t="str">
        <f t="shared" si="167"/>
        <v/>
      </c>
      <c r="DY98" s="108" t="str">
        <f t="shared" si="167"/>
        <v/>
      </c>
      <c r="DZ98" s="108" t="str">
        <f t="shared" si="167"/>
        <v/>
      </c>
      <c r="EA98" s="108" t="str">
        <f t="shared" si="168"/>
        <v/>
      </c>
      <c r="EB98" s="108" t="str">
        <f t="shared" si="168"/>
        <v/>
      </c>
      <c r="EC98" s="108" t="str">
        <f t="shared" si="168"/>
        <v/>
      </c>
      <c r="ED98" s="109" t="str">
        <f t="shared" si="168"/>
        <v/>
      </c>
      <c r="EE98" s="108" t="str">
        <f t="shared" si="168"/>
        <v/>
      </c>
      <c r="EF98" s="108" t="str">
        <f t="shared" si="168"/>
        <v/>
      </c>
      <c r="EG98" s="108" t="str">
        <f t="shared" si="168"/>
        <v/>
      </c>
      <c r="EH98" s="108" t="str">
        <f t="shared" si="168"/>
        <v/>
      </c>
      <c r="EI98" s="108" t="str">
        <f t="shared" si="168"/>
        <v/>
      </c>
      <c r="EJ98" s="108" t="str">
        <f t="shared" si="168"/>
        <v/>
      </c>
      <c r="EK98" s="108" t="str">
        <f t="shared" si="169"/>
        <v/>
      </c>
      <c r="EL98" s="108" t="str">
        <f t="shared" si="169"/>
        <v/>
      </c>
      <c r="EM98" s="108" t="str">
        <f t="shared" si="169"/>
        <v/>
      </c>
      <c r="EN98" s="108" t="str">
        <f t="shared" si="169"/>
        <v/>
      </c>
      <c r="EO98" s="108" t="str">
        <f t="shared" si="169"/>
        <v/>
      </c>
      <c r="EP98" s="108" t="str">
        <f t="shared" si="169"/>
        <v/>
      </c>
      <c r="EQ98" s="108" t="str">
        <f t="shared" si="169"/>
        <v/>
      </c>
      <c r="ER98" s="108" t="str">
        <f t="shared" si="169"/>
        <v/>
      </c>
      <c r="ES98" s="109" t="str">
        <f t="shared" si="169"/>
        <v/>
      </c>
      <c r="ET98" s="108" t="str">
        <f t="shared" si="169"/>
        <v/>
      </c>
      <c r="EU98" s="108" t="str">
        <f t="shared" si="170"/>
        <v/>
      </c>
      <c r="EV98" s="108" t="str">
        <f t="shared" si="170"/>
        <v/>
      </c>
      <c r="EW98" s="108" t="str">
        <f t="shared" si="170"/>
        <v/>
      </c>
      <c r="EX98" s="108" t="str">
        <f t="shared" si="170"/>
        <v/>
      </c>
      <c r="EY98" s="108" t="str">
        <f t="shared" si="170"/>
        <v/>
      </c>
      <c r="EZ98" s="108" t="str">
        <f t="shared" si="170"/>
        <v/>
      </c>
      <c r="FA98" s="108" t="str">
        <f t="shared" si="170"/>
        <v/>
      </c>
      <c r="FB98" s="108" t="str">
        <f t="shared" si="170"/>
        <v/>
      </c>
      <c r="FC98" s="108" t="str">
        <f t="shared" si="170"/>
        <v/>
      </c>
      <c r="FD98" s="108" t="str">
        <f t="shared" si="170"/>
        <v/>
      </c>
      <c r="FE98" s="108" t="str">
        <f t="shared" si="171"/>
        <v/>
      </c>
      <c r="FF98" s="109" t="str">
        <f t="shared" si="171"/>
        <v/>
      </c>
      <c r="FG98" s="108" t="str">
        <f t="shared" si="171"/>
        <v/>
      </c>
      <c r="FH98" s="108" t="str">
        <f t="shared" si="171"/>
        <v/>
      </c>
      <c r="FI98" s="108" t="str">
        <f t="shared" si="171"/>
        <v/>
      </c>
      <c r="FJ98" s="108" t="str">
        <f t="shared" si="171"/>
        <v/>
      </c>
      <c r="FK98" s="108" t="str">
        <f t="shared" si="171"/>
        <v/>
      </c>
      <c r="FL98" s="108" t="str">
        <f t="shared" si="171"/>
        <v/>
      </c>
      <c r="FM98" s="108" t="str">
        <f t="shared" si="171"/>
        <v/>
      </c>
      <c r="FN98" s="108" t="str">
        <f t="shared" si="171"/>
        <v/>
      </c>
      <c r="FO98" s="108" t="str">
        <f t="shared" si="172"/>
        <v/>
      </c>
      <c r="FP98" s="108" t="str">
        <f t="shared" si="172"/>
        <v/>
      </c>
      <c r="FQ98" s="108" t="str">
        <f t="shared" si="172"/>
        <v/>
      </c>
      <c r="FR98" s="108" t="str">
        <f t="shared" si="172"/>
        <v/>
      </c>
      <c r="FS98" s="108" t="str">
        <f t="shared" si="172"/>
        <v/>
      </c>
      <c r="FT98" s="108" t="str">
        <f t="shared" si="172"/>
        <v/>
      </c>
      <c r="FU98" s="108" t="str">
        <f t="shared" si="172"/>
        <v/>
      </c>
      <c r="FV98" s="108" t="str">
        <f t="shared" si="172"/>
        <v/>
      </c>
      <c r="FW98" s="110" t="str">
        <f t="shared" si="172"/>
        <v/>
      </c>
    </row>
    <row r="99" spans="2:179" s="101" customFormat="1" ht="21" customHeight="1" x14ac:dyDescent="0.35">
      <c r="B99" s="27" t="e">
        <f>Portfolio_Daten!#REF!</f>
        <v>#REF!</v>
      </c>
      <c r="C99" s="27">
        <f>Portfolio_Daten!B100</f>
        <v>0</v>
      </c>
      <c r="D99" s="28">
        <f>Portfolio_Daten!E100</f>
        <v>0</v>
      </c>
      <c r="E99" s="31">
        <f>Portfolio_Daten!T100</f>
        <v>0</v>
      </c>
      <c r="F99" s="31">
        <f>Portfolio_Daten!U100</f>
        <v>0</v>
      </c>
      <c r="G99" s="107">
        <f>IF(F99="","",NETWORKDAYS(E99,F99,Parameter!$C$4:$C$51))</f>
        <v>0</v>
      </c>
      <c r="H99" s="29">
        <f>Portfolio_Daten!AG100</f>
        <v>0</v>
      </c>
      <c r="I99" s="33">
        <f>Portfolio_Daten!AI100</f>
        <v>0</v>
      </c>
      <c r="J99" s="106"/>
      <c r="K99" s="108" t="str">
        <f t="shared" si="156"/>
        <v/>
      </c>
      <c r="L99" s="108" t="str">
        <f t="shared" si="156"/>
        <v/>
      </c>
      <c r="M99" s="108" t="str">
        <f t="shared" si="156"/>
        <v/>
      </c>
      <c r="N99" s="108" t="str">
        <f t="shared" si="156"/>
        <v/>
      </c>
      <c r="O99" s="108" t="str">
        <f t="shared" si="156"/>
        <v/>
      </c>
      <c r="P99" s="108" t="str">
        <f t="shared" si="156"/>
        <v/>
      </c>
      <c r="Q99" s="108" t="str">
        <f t="shared" si="156"/>
        <v/>
      </c>
      <c r="R99" s="108" t="str">
        <f t="shared" si="156"/>
        <v/>
      </c>
      <c r="S99" s="108" t="str">
        <f t="shared" si="156"/>
        <v/>
      </c>
      <c r="T99" s="108" t="str">
        <f t="shared" si="156"/>
        <v/>
      </c>
      <c r="U99" s="108" t="str">
        <f t="shared" si="157"/>
        <v/>
      </c>
      <c r="V99" s="108" t="str">
        <f t="shared" si="157"/>
        <v/>
      </c>
      <c r="W99" s="108" t="str">
        <f t="shared" si="157"/>
        <v/>
      </c>
      <c r="X99" s="108" t="str">
        <f t="shared" si="157"/>
        <v/>
      </c>
      <c r="Y99" s="108" t="str">
        <f t="shared" si="157"/>
        <v/>
      </c>
      <c r="Z99" s="108" t="str">
        <f t="shared" si="157"/>
        <v/>
      </c>
      <c r="AA99" s="108" t="str">
        <f t="shared" si="157"/>
        <v/>
      </c>
      <c r="AB99" s="108" t="str">
        <f t="shared" si="157"/>
        <v/>
      </c>
      <c r="AC99" s="108" t="str">
        <f t="shared" si="157"/>
        <v/>
      </c>
      <c r="AD99" s="108" t="str">
        <f t="shared" si="157"/>
        <v/>
      </c>
      <c r="AE99" s="108" t="str">
        <f t="shared" si="158"/>
        <v/>
      </c>
      <c r="AF99" s="108" t="str">
        <f t="shared" si="158"/>
        <v/>
      </c>
      <c r="AG99" s="108" t="str">
        <f t="shared" si="158"/>
        <v/>
      </c>
      <c r="AH99" s="108" t="str">
        <f t="shared" si="158"/>
        <v/>
      </c>
      <c r="AI99" s="108" t="str">
        <f t="shared" si="158"/>
        <v/>
      </c>
      <c r="AJ99" s="108" t="str">
        <f t="shared" si="158"/>
        <v/>
      </c>
      <c r="AK99" s="108" t="str">
        <f t="shared" si="158"/>
        <v/>
      </c>
      <c r="AL99" s="108" t="str">
        <f t="shared" si="158"/>
        <v/>
      </c>
      <c r="AM99" s="108" t="str">
        <f t="shared" si="158"/>
        <v/>
      </c>
      <c r="AN99" s="108" t="str">
        <f t="shared" si="158"/>
        <v/>
      </c>
      <c r="AO99" s="108" t="str">
        <f t="shared" si="159"/>
        <v/>
      </c>
      <c r="AP99" s="108" t="str">
        <f t="shared" si="159"/>
        <v/>
      </c>
      <c r="AQ99" s="108" t="str">
        <f t="shared" si="159"/>
        <v/>
      </c>
      <c r="AR99" s="108" t="str">
        <f t="shared" si="159"/>
        <v/>
      </c>
      <c r="AS99" s="108" t="str">
        <f t="shared" si="159"/>
        <v/>
      </c>
      <c r="AT99" s="108" t="str">
        <f t="shared" si="159"/>
        <v/>
      </c>
      <c r="AU99" s="108" t="str">
        <f t="shared" si="159"/>
        <v/>
      </c>
      <c r="AV99" s="108" t="str">
        <f t="shared" si="159"/>
        <v/>
      </c>
      <c r="AW99" s="108" t="str">
        <f t="shared" si="159"/>
        <v/>
      </c>
      <c r="AX99" s="108" t="str">
        <f t="shared" si="159"/>
        <v/>
      </c>
      <c r="AY99" s="108" t="str">
        <f t="shared" si="160"/>
        <v/>
      </c>
      <c r="AZ99" s="108" t="str">
        <f t="shared" si="160"/>
        <v/>
      </c>
      <c r="BA99" s="108" t="str">
        <f t="shared" si="160"/>
        <v/>
      </c>
      <c r="BB99" s="108" t="str">
        <f t="shared" si="160"/>
        <v/>
      </c>
      <c r="BC99" s="108" t="str">
        <f t="shared" si="160"/>
        <v/>
      </c>
      <c r="BD99" s="108" t="str">
        <f t="shared" si="160"/>
        <v/>
      </c>
      <c r="BE99" s="108" t="str">
        <f t="shared" si="160"/>
        <v/>
      </c>
      <c r="BF99" s="108" t="str">
        <f t="shared" si="160"/>
        <v/>
      </c>
      <c r="BG99" s="108" t="str">
        <f t="shared" si="160"/>
        <v/>
      </c>
      <c r="BH99" s="108" t="str">
        <f t="shared" si="160"/>
        <v/>
      </c>
      <c r="BI99" s="108" t="str">
        <f t="shared" si="161"/>
        <v/>
      </c>
      <c r="BJ99" s="108" t="str">
        <f t="shared" si="161"/>
        <v/>
      </c>
      <c r="BK99" s="108" t="str">
        <f t="shared" si="161"/>
        <v/>
      </c>
      <c r="BL99" s="108" t="str">
        <f t="shared" si="161"/>
        <v/>
      </c>
      <c r="BM99" s="108" t="str">
        <f t="shared" si="161"/>
        <v/>
      </c>
      <c r="BN99" s="108" t="str">
        <f t="shared" si="161"/>
        <v/>
      </c>
      <c r="BO99" s="108" t="str">
        <f t="shared" si="161"/>
        <v/>
      </c>
      <c r="BP99" s="108" t="str">
        <f t="shared" si="161"/>
        <v/>
      </c>
      <c r="BQ99" s="108" t="str">
        <f t="shared" si="161"/>
        <v/>
      </c>
      <c r="BR99" s="108" t="str">
        <f t="shared" si="161"/>
        <v/>
      </c>
      <c r="BS99" s="108" t="str">
        <f t="shared" si="162"/>
        <v/>
      </c>
      <c r="BT99" s="108" t="str">
        <f t="shared" si="162"/>
        <v/>
      </c>
      <c r="BU99" s="108" t="str">
        <f t="shared" si="162"/>
        <v/>
      </c>
      <c r="BV99" s="108" t="str">
        <f t="shared" si="162"/>
        <v/>
      </c>
      <c r="BW99" s="108" t="str">
        <f t="shared" si="162"/>
        <v/>
      </c>
      <c r="BX99" s="108" t="str">
        <f t="shared" si="162"/>
        <v/>
      </c>
      <c r="BY99" s="108" t="str">
        <f t="shared" si="162"/>
        <v/>
      </c>
      <c r="BZ99" s="108" t="str">
        <f t="shared" si="162"/>
        <v/>
      </c>
      <c r="CA99" s="108" t="str">
        <f t="shared" si="162"/>
        <v/>
      </c>
      <c r="CB99" s="108" t="str">
        <f t="shared" si="162"/>
        <v/>
      </c>
      <c r="CC99" s="108" t="str">
        <f t="shared" si="163"/>
        <v/>
      </c>
      <c r="CD99" s="108" t="str">
        <f t="shared" si="163"/>
        <v/>
      </c>
      <c r="CE99" s="108" t="str">
        <f t="shared" si="163"/>
        <v/>
      </c>
      <c r="CF99" s="108" t="str">
        <f t="shared" si="163"/>
        <v/>
      </c>
      <c r="CG99" s="108" t="str">
        <f t="shared" si="163"/>
        <v/>
      </c>
      <c r="CH99" s="108" t="str">
        <f t="shared" si="163"/>
        <v/>
      </c>
      <c r="CI99" s="108" t="str">
        <f t="shared" si="163"/>
        <v/>
      </c>
      <c r="CJ99" s="108" t="str">
        <f t="shared" si="163"/>
        <v/>
      </c>
      <c r="CK99" s="108" t="str">
        <f t="shared" si="163"/>
        <v/>
      </c>
      <c r="CL99" s="108" t="str">
        <f t="shared" si="163"/>
        <v/>
      </c>
      <c r="CM99" s="108" t="str">
        <f t="shared" si="164"/>
        <v/>
      </c>
      <c r="CN99" s="108" t="str">
        <f t="shared" si="164"/>
        <v/>
      </c>
      <c r="CO99" s="108" t="str">
        <f t="shared" si="164"/>
        <v/>
      </c>
      <c r="CP99" s="108" t="str">
        <f t="shared" si="164"/>
        <v/>
      </c>
      <c r="CQ99" s="108" t="str">
        <f t="shared" si="164"/>
        <v/>
      </c>
      <c r="CR99" s="109" t="str">
        <f t="shared" si="164"/>
        <v/>
      </c>
      <c r="CS99" s="108" t="str">
        <f t="shared" si="164"/>
        <v/>
      </c>
      <c r="CT99" s="108" t="str">
        <f t="shared" si="164"/>
        <v/>
      </c>
      <c r="CU99" s="108" t="str">
        <f t="shared" si="164"/>
        <v/>
      </c>
      <c r="CV99" s="108" t="str">
        <f t="shared" si="164"/>
        <v/>
      </c>
      <c r="CW99" s="108" t="str">
        <f t="shared" si="165"/>
        <v/>
      </c>
      <c r="CX99" s="108" t="str">
        <f t="shared" si="165"/>
        <v/>
      </c>
      <c r="CY99" s="108" t="str">
        <f t="shared" si="165"/>
        <v/>
      </c>
      <c r="CZ99" s="109" t="str">
        <f t="shared" si="165"/>
        <v/>
      </c>
      <c r="DA99" s="108" t="str">
        <f t="shared" si="165"/>
        <v/>
      </c>
      <c r="DB99" s="108" t="str">
        <f t="shared" si="165"/>
        <v/>
      </c>
      <c r="DC99" s="108" t="str">
        <f t="shared" si="165"/>
        <v/>
      </c>
      <c r="DD99" s="108" t="str">
        <f t="shared" si="165"/>
        <v/>
      </c>
      <c r="DE99" s="108" t="str">
        <f t="shared" si="165"/>
        <v/>
      </c>
      <c r="DF99" s="108" t="str">
        <f t="shared" si="165"/>
        <v/>
      </c>
      <c r="DG99" s="108" t="str">
        <f t="shared" si="166"/>
        <v/>
      </c>
      <c r="DH99" s="109" t="str">
        <f t="shared" si="166"/>
        <v/>
      </c>
      <c r="DI99" s="108" t="str">
        <f t="shared" si="166"/>
        <v/>
      </c>
      <c r="DJ99" s="108" t="str">
        <f t="shared" si="166"/>
        <v/>
      </c>
      <c r="DK99" s="108" t="str">
        <f t="shared" si="166"/>
        <v/>
      </c>
      <c r="DL99" s="108" t="str">
        <f t="shared" si="166"/>
        <v/>
      </c>
      <c r="DM99" s="108" t="str">
        <f t="shared" si="166"/>
        <v/>
      </c>
      <c r="DN99" s="108" t="str">
        <f t="shared" si="166"/>
        <v/>
      </c>
      <c r="DO99" s="109" t="str">
        <f t="shared" si="166"/>
        <v/>
      </c>
      <c r="DP99" s="108" t="str">
        <f t="shared" si="166"/>
        <v/>
      </c>
      <c r="DQ99" s="108" t="str">
        <f t="shared" si="167"/>
        <v/>
      </c>
      <c r="DR99" s="108" t="str">
        <f t="shared" si="167"/>
        <v/>
      </c>
      <c r="DS99" s="108" t="str">
        <f t="shared" si="167"/>
        <v/>
      </c>
      <c r="DT99" s="108" t="str">
        <f t="shared" si="167"/>
        <v/>
      </c>
      <c r="DU99" s="108" t="str">
        <f t="shared" si="167"/>
        <v/>
      </c>
      <c r="DV99" s="108" t="str">
        <f t="shared" si="167"/>
        <v/>
      </c>
      <c r="DW99" s="109" t="str">
        <f t="shared" si="167"/>
        <v/>
      </c>
      <c r="DX99" s="108" t="str">
        <f t="shared" si="167"/>
        <v/>
      </c>
      <c r="DY99" s="108" t="str">
        <f t="shared" si="167"/>
        <v/>
      </c>
      <c r="DZ99" s="108" t="str">
        <f t="shared" si="167"/>
        <v/>
      </c>
      <c r="EA99" s="108" t="str">
        <f t="shared" si="168"/>
        <v/>
      </c>
      <c r="EB99" s="108" t="str">
        <f t="shared" si="168"/>
        <v/>
      </c>
      <c r="EC99" s="108" t="str">
        <f t="shared" si="168"/>
        <v/>
      </c>
      <c r="ED99" s="109" t="str">
        <f t="shared" si="168"/>
        <v/>
      </c>
      <c r="EE99" s="108" t="str">
        <f t="shared" si="168"/>
        <v/>
      </c>
      <c r="EF99" s="108" t="str">
        <f t="shared" si="168"/>
        <v/>
      </c>
      <c r="EG99" s="108" t="str">
        <f t="shared" si="168"/>
        <v/>
      </c>
      <c r="EH99" s="108" t="str">
        <f t="shared" si="168"/>
        <v/>
      </c>
      <c r="EI99" s="108" t="str">
        <f t="shared" si="168"/>
        <v/>
      </c>
      <c r="EJ99" s="108" t="str">
        <f t="shared" si="168"/>
        <v/>
      </c>
      <c r="EK99" s="108" t="str">
        <f t="shared" si="169"/>
        <v/>
      </c>
      <c r="EL99" s="108" t="str">
        <f t="shared" si="169"/>
        <v/>
      </c>
      <c r="EM99" s="108" t="str">
        <f t="shared" si="169"/>
        <v/>
      </c>
      <c r="EN99" s="108" t="str">
        <f t="shared" si="169"/>
        <v/>
      </c>
      <c r="EO99" s="108" t="str">
        <f t="shared" si="169"/>
        <v/>
      </c>
      <c r="EP99" s="108" t="str">
        <f t="shared" si="169"/>
        <v/>
      </c>
      <c r="EQ99" s="108" t="str">
        <f t="shared" si="169"/>
        <v/>
      </c>
      <c r="ER99" s="108" t="str">
        <f t="shared" si="169"/>
        <v/>
      </c>
      <c r="ES99" s="109" t="str">
        <f t="shared" si="169"/>
        <v/>
      </c>
      <c r="ET99" s="108" t="str">
        <f t="shared" si="169"/>
        <v/>
      </c>
      <c r="EU99" s="108" t="str">
        <f t="shared" si="170"/>
        <v/>
      </c>
      <c r="EV99" s="108" t="str">
        <f t="shared" si="170"/>
        <v/>
      </c>
      <c r="EW99" s="108" t="str">
        <f t="shared" si="170"/>
        <v/>
      </c>
      <c r="EX99" s="108" t="str">
        <f t="shared" si="170"/>
        <v/>
      </c>
      <c r="EY99" s="108" t="str">
        <f t="shared" si="170"/>
        <v/>
      </c>
      <c r="EZ99" s="108" t="str">
        <f t="shared" si="170"/>
        <v/>
      </c>
      <c r="FA99" s="108" t="str">
        <f t="shared" si="170"/>
        <v/>
      </c>
      <c r="FB99" s="108" t="str">
        <f t="shared" si="170"/>
        <v/>
      </c>
      <c r="FC99" s="108" t="str">
        <f t="shared" si="170"/>
        <v/>
      </c>
      <c r="FD99" s="108" t="str">
        <f t="shared" si="170"/>
        <v/>
      </c>
      <c r="FE99" s="108" t="str">
        <f t="shared" si="171"/>
        <v/>
      </c>
      <c r="FF99" s="109" t="str">
        <f t="shared" si="171"/>
        <v/>
      </c>
      <c r="FG99" s="108" t="str">
        <f t="shared" si="171"/>
        <v/>
      </c>
      <c r="FH99" s="108" t="str">
        <f t="shared" si="171"/>
        <v/>
      </c>
      <c r="FI99" s="108" t="str">
        <f t="shared" si="171"/>
        <v/>
      </c>
      <c r="FJ99" s="108" t="str">
        <f t="shared" si="171"/>
        <v/>
      </c>
      <c r="FK99" s="108" t="str">
        <f t="shared" si="171"/>
        <v/>
      </c>
      <c r="FL99" s="108" t="str">
        <f t="shared" si="171"/>
        <v/>
      </c>
      <c r="FM99" s="108" t="str">
        <f t="shared" si="171"/>
        <v/>
      </c>
      <c r="FN99" s="108" t="str">
        <f t="shared" si="171"/>
        <v/>
      </c>
      <c r="FO99" s="108" t="str">
        <f t="shared" si="172"/>
        <v/>
      </c>
      <c r="FP99" s="108" t="str">
        <f t="shared" si="172"/>
        <v/>
      </c>
      <c r="FQ99" s="108" t="str">
        <f t="shared" si="172"/>
        <v/>
      </c>
      <c r="FR99" s="108" t="str">
        <f t="shared" si="172"/>
        <v/>
      </c>
      <c r="FS99" s="108" t="str">
        <f t="shared" si="172"/>
        <v/>
      </c>
      <c r="FT99" s="108" t="str">
        <f t="shared" si="172"/>
        <v/>
      </c>
      <c r="FU99" s="108" t="str">
        <f t="shared" si="172"/>
        <v/>
      </c>
      <c r="FV99" s="108" t="str">
        <f t="shared" si="172"/>
        <v/>
      </c>
      <c r="FW99" s="110" t="str">
        <f t="shared" si="172"/>
        <v/>
      </c>
    </row>
    <row r="100" spans="2:179" s="101" customFormat="1" ht="21" customHeight="1" x14ac:dyDescent="0.35">
      <c r="B100" s="27" t="e">
        <f>Portfolio_Daten!#REF!</f>
        <v>#REF!</v>
      </c>
      <c r="C100" s="27">
        <f>Portfolio_Daten!B101</f>
        <v>0</v>
      </c>
      <c r="D100" s="28">
        <f>Portfolio_Daten!E101</f>
        <v>0</v>
      </c>
      <c r="E100" s="31">
        <f>Portfolio_Daten!T101</f>
        <v>0</v>
      </c>
      <c r="F100" s="31">
        <f>Portfolio_Daten!U101</f>
        <v>0</v>
      </c>
      <c r="G100" s="107">
        <f>IF(F100="","",NETWORKDAYS(E100,F100,Parameter!$C$4:$C$51))</f>
        <v>0</v>
      </c>
      <c r="H100" s="29">
        <f>Portfolio_Daten!AG101</f>
        <v>0</v>
      </c>
      <c r="I100" s="33">
        <f>Portfolio_Daten!AI101</f>
        <v>0</v>
      </c>
      <c r="J100" s="106"/>
      <c r="K100" s="108" t="str">
        <f t="shared" si="156"/>
        <v/>
      </c>
      <c r="L100" s="108" t="str">
        <f t="shared" si="156"/>
        <v/>
      </c>
      <c r="M100" s="108" t="str">
        <f t="shared" si="156"/>
        <v/>
      </c>
      <c r="N100" s="108" t="str">
        <f t="shared" si="156"/>
        <v/>
      </c>
      <c r="O100" s="108" t="str">
        <f t="shared" si="156"/>
        <v/>
      </c>
      <c r="P100" s="108" t="str">
        <f t="shared" si="156"/>
        <v/>
      </c>
      <c r="Q100" s="108" t="str">
        <f t="shared" si="156"/>
        <v/>
      </c>
      <c r="R100" s="108" t="str">
        <f t="shared" si="156"/>
        <v/>
      </c>
      <c r="S100" s="108" t="str">
        <f t="shared" si="156"/>
        <v/>
      </c>
      <c r="T100" s="108" t="str">
        <f t="shared" si="156"/>
        <v/>
      </c>
      <c r="U100" s="108" t="str">
        <f t="shared" si="157"/>
        <v/>
      </c>
      <c r="V100" s="108" t="str">
        <f t="shared" si="157"/>
        <v/>
      </c>
      <c r="W100" s="108" t="str">
        <f t="shared" si="157"/>
        <v/>
      </c>
      <c r="X100" s="108" t="str">
        <f t="shared" si="157"/>
        <v/>
      </c>
      <c r="Y100" s="108" t="str">
        <f t="shared" si="157"/>
        <v/>
      </c>
      <c r="Z100" s="108" t="str">
        <f t="shared" si="157"/>
        <v/>
      </c>
      <c r="AA100" s="108" t="str">
        <f t="shared" si="157"/>
        <v/>
      </c>
      <c r="AB100" s="108" t="str">
        <f t="shared" si="157"/>
        <v/>
      </c>
      <c r="AC100" s="108" t="str">
        <f t="shared" si="157"/>
        <v/>
      </c>
      <c r="AD100" s="108" t="str">
        <f t="shared" si="157"/>
        <v/>
      </c>
      <c r="AE100" s="108" t="str">
        <f t="shared" si="158"/>
        <v/>
      </c>
      <c r="AF100" s="108" t="str">
        <f t="shared" si="158"/>
        <v/>
      </c>
      <c r="AG100" s="108" t="str">
        <f t="shared" si="158"/>
        <v/>
      </c>
      <c r="AH100" s="108" t="str">
        <f t="shared" si="158"/>
        <v/>
      </c>
      <c r="AI100" s="108" t="str">
        <f t="shared" si="158"/>
        <v/>
      </c>
      <c r="AJ100" s="108" t="str">
        <f t="shared" si="158"/>
        <v/>
      </c>
      <c r="AK100" s="108" t="str">
        <f t="shared" si="158"/>
        <v/>
      </c>
      <c r="AL100" s="108" t="str">
        <f t="shared" si="158"/>
        <v/>
      </c>
      <c r="AM100" s="108" t="str">
        <f t="shared" si="158"/>
        <v/>
      </c>
      <c r="AN100" s="108" t="str">
        <f t="shared" si="158"/>
        <v/>
      </c>
      <c r="AO100" s="108" t="str">
        <f t="shared" si="159"/>
        <v/>
      </c>
      <c r="AP100" s="108" t="str">
        <f t="shared" si="159"/>
        <v/>
      </c>
      <c r="AQ100" s="108" t="str">
        <f t="shared" si="159"/>
        <v/>
      </c>
      <c r="AR100" s="108" t="str">
        <f t="shared" si="159"/>
        <v/>
      </c>
      <c r="AS100" s="108" t="str">
        <f t="shared" si="159"/>
        <v/>
      </c>
      <c r="AT100" s="108" t="str">
        <f t="shared" si="159"/>
        <v/>
      </c>
      <c r="AU100" s="108" t="str">
        <f t="shared" si="159"/>
        <v/>
      </c>
      <c r="AV100" s="108" t="str">
        <f t="shared" si="159"/>
        <v/>
      </c>
      <c r="AW100" s="108" t="str">
        <f t="shared" si="159"/>
        <v/>
      </c>
      <c r="AX100" s="108" t="str">
        <f t="shared" si="159"/>
        <v/>
      </c>
      <c r="AY100" s="108" t="str">
        <f t="shared" si="160"/>
        <v/>
      </c>
      <c r="AZ100" s="108" t="str">
        <f t="shared" si="160"/>
        <v/>
      </c>
      <c r="BA100" s="108" t="str">
        <f t="shared" si="160"/>
        <v/>
      </c>
      <c r="BB100" s="108" t="str">
        <f t="shared" si="160"/>
        <v/>
      </c>
      <c r="BC100" s="108" t="str">
        <f t="shared" si="160"/>
        <v/>
      </c>
      <c r="BD100" s="108" t="str">
        <f t="shared" si="160"/>
        <v/>
      </c>
      <c r="BE100" s="108" t="str">
        <f t="shared" si="160"/>
        <v/>
      </c>
      <c r="BF100" s="108" t="str">
        <f t="shared" si="160"/>
        <v/>
      </c>
      <c r="BG100" s="108" t="str">
        <f t="shared" si="160"/>
        <v/>
      </c>
      <c r="BH100" s="108" t="str">
        <f t="shared" si="160"/>
        <v/>
      </c>
      <c r="BI100" s="108" t="str">
        <f t="shared" si="161"/>
        <v/>
      </c>
      <c r="BJ100" s="108" t="str">
        <f t="shared" si="161"/>
        <v/>
      </c>
      <c r="BK100" s="108" t="str">
        <f t="shared" si="161"/>
        <v/>
      </c>
      <c r="BL100" s="108" t="str">
        <f t="shared" si="161"/>
        <v/>
      </c>
      <c r="BM100" s="108" t="str">
        <f t="shared" si="161"/>
        <v/>
      </c>
      <c r="BN100" s="108" t="str">
        <f t="shared" si="161"/>
        <v/>
      </c>
      <c r="BO100" s="108" t="str">
        <f t="shared" si="161"/>
        <v/>
      </c>
      <c r="BP100" s="108" t="str">
        <f t="shared" si="161"/>
        <v/>
      </c>
      <c r="BQ100" s="108" t="str">
        <f t="shared" si="161"/>
        <v/>
      </c>
      <c r="BR100" s="108" t="str">
        <f t="shared" si="161"/>
        <v/>
      </c>
      <c r="BS100" s="108" t="str">
        <f t="shared" si="162"/>
        <v/>
      </c>
      <c r="BT100" s="108" t="str">
        <f t="shared" si="162"/>
        <v/>
      </c>
      <c r="BU100" s="108" t="str">
        <f t="shared" si="162"/>
        <v/>
      </c>
      <c r="BV100" s="108" t="str">
        <f t="shared" si="162"/>
        <v/>
      </c>
      <c r="BW100" s="108" t="str">
        <f t="shared" si="162"/>
        <v/>
      </c>
      <c r="BX100" s="108" t="str">
        <f t="shared" si="162"/>
        <v/>
      </c>
      <c r="BY100" s="108" t="str">
        <f t="shared" si="162"/>
        <v/>
      </c>
      <c r="BZ100" s="108" t="str">
        <f t="shared" si="162"/>
        <v/>
      </c>
      <c r="CA100" s="108" t="str">
        <f t="shared" si="162"/>
        <v/>
      </c>
      <c r="CB100" s="108" t="str">
        <f t="shared" si="162"/>
        <v/>
      </c>
      <c r="CC100" s="108" t="str">
        <f t="shared" si="163"/>
        <v/>
      </c>
      <c r="CD100" s="108" t="str">
        <f t="shared" si="163"/>
        <v/>
      </c>
      <c r="CE100" s="108" t="str">
        <f t="shared" si="163"/>
        <v/>
      </c>
      <c r="CF100" s="108" t="str">
        <f t="shared" si="163"/>
        <v/>
      </c>
      <c r="CG100" s="108" t="str">
        <f t="shared" si="163"/>
        <v/>
      </c>
      <c r="CH100" s="108" t="str">
        <f t="shared" si="163"/>
        <v/>
      </c>
      <c r="CI100" s="108" t="str">
        <f t="shared" si="163"/>
        <v/>
      </c>
      <c r="CJ100" s="108" t="str">
        <f t="shared" si="163"/>
        <v/>
      </c>
      <c r="CK100" s="108" t="str">
        <f t="shared" si="163"/>
        <v/>
      </c>
      <c r="CL100" s="108" t="str">
        <f t="shared" si="163"/>
        <v/>
      </c>
      <c r="CM100" s="108" t="str">
        <f t="shared" si="164"/>
        <v/>
      </c>
      <c r="CN100" s="108" t="str">
        <f t="shared" si="164"/>
        <v/>
      </c>
      <c r="CO100" s="108" t="str">
        <f t="shared" si="164"/>
        <v/>
      </c>
      <c r="CP100" s="108" t="str">
        <f t="shared" si="164"/>
        <v/>
      </c>
      <c r="CQ100" s="108" t="str">
        <f t="shared" si="164"/>
        <v/>
      </c>
      <c r="CR100" s="109" t="str">
        <f t="shared" si="164"/>
        <v/>
      </c>
      <c r="CS100" s="108" t="str">
        <f t="shared" si="164"/>
        <v/>
      </c>
      <c r="CT100" s="108" t="str">
        <f t="shared" si="164"/>
        <v/>
      </c>
      <c r="CU100" s="108" t="str">
        <f t="shared" si="164"/>
        <v/>
      </c>
      <c r="CV100" s="108" t="str">
        <f t="shared" si="164"/>
        <v/>
      </c>
      <c r="CW100" s="108" t="str">
        <f t="shared" si="165"/>
        <v/>
      </c>
      <c r="CX100" s="108" t="str">
        <f t="shared" si="165"/>
        <v/>
      </c>
      <c r="CY100" s="108" t="str">
        <f t="shared" si="165"/>
        <v/>
      </c>
      <c r="CZ100" s="109" t="str">
        <f t="shared" si="165"/>
        <v/>
      </c>
      <c r="DA100" s="108" t="str">
        <f t="shared" si="165"/>
        <v/>
      </c>
      <c r="DB100" s="108" t="str">
        <f t="shared" si="165"/>
        <v/>
      </c>
      <c r="DC100" s="108" t="str">
        <f t="shared" si="165"/>
        <v/>
      </c>
      <c r="DD100" s="108" t="str">
        <f t="shared" si="165"/>
        <v/>
      </c>
      <c r="DE100" s="108" t="str">
        <f t="shared" si="165"/>
        <v/>
      </c>
      <c r="DF100" s="108" t="str">
        <f t="shared" si="165"/>
        <v/>
      </c>
      <c r="DG100" s="108" t="str">
        <f t="shared" si="166"/>
        <v/>
      </c>
      <c r="DH100" s="109" t="str">
        <f t="shared" si="166"/>
        <v/>
      </c>
      <c r="DI100" s="108" t="str">
        <f t="shared" si="166"/>
        <v/>
      </c>
      <c r="DJ100" s="108" t="str">
        <f t="shared" si="166"/>
        <v/>
      </c>
      <c r="DK100" s="108" t="str">
        <f t="shared" si="166"/>
        <v/>
      </c>
      <c r="DL100" s="108" t="str">
        <f t="shared" si="166"/>
        <v/>
      </c>
      <c r="DM100" s="108" t="str">
        <f t="shared" si="166"/>
        <v/>
      </c>
      <c r="DN100" s="108" t="str">
        <f t="shared" si="166"/>
        <v/>
      </c>
      <c r="DO100" s="109" t="str">
        <f t="shared" si="166"/>
        <v/>
      </c>
      <c r="DP100" s="108" t="str">
        <f t="shared" si="166"/>
        <v/>
      </c>
      <c r="DQ100" s="108" t="str">
        <f t="shared" si="167"/>
        <v/>
      </c>
      <c r="DR100" s="108" t="str">
        <f t="shared" si="167"/>
        <v/>
      </c>
      <c r="DS100" s="108" t="str">
        <f t="shared" si="167"/>
        <v/>
      </c>
      <c r="DT100" s="108" t="str">
        <f t="shared" si="167"/>
        <v/>
      </c>
      <c r="DU100" s="108" t="str">
        <f t="shared" si="167"/>
        <v/>
      </c>
      <c r="DV100" s="108" t="str">
        <f t="shared" si="167"/>
        <v/>
      </c>
      <c r="DW100" s="109" t="str">
        <f t="shared" si="167"/>
        <v/>
      </c>
      <c r="DX100" s="108" t="str">
        <f t="shared" si="167"/>
        <v/>
      </c>
      <c r="DY100" s="108" t="str">
        <f t="shared" si="167"/>
        <v/>
      </c>
      <c r="DZ100" s="108" t="str">
        <f t="shared" si="167"/>
        <v/>
      </c>
      <c r="EA100" s="108" t="str">
        <f t="shared" si="168"/>
        <v/>
      </c>
      <c r="EB100" s="108" t="str">
        <f t="shared" si="168"/>
        <v/>
      </c>
      <c r="EC100" s="108" t="str">
        <f t="shared" si="168"/>
        <v/>
      </c>
      <c r="ED100" s="109" t="str">
        <f t="shared" si="168"/>
        <v/>
      </c>
      <c r="EE100" s="108" t="str">
        <f t="shared" si="168"/>
        <v/>
      </c>
      <c r="EF100" s="108" t="str">
        <f t="shared" si="168"/>
        <v/>
      </c>
      <c r="EG100" s="108" t="str">
        <f t="shared" si="168"/>
        <v/>
      </c>
      <c r="EH100" s="108" t="str">
        <f t="shared" si="168"/>
        <v/>
      </c>
      <c r="EI100" s="108" t="str">
        <f t="shared" si="168"/>
        <v/>
      </c>
      <c r="EJ100" s="108" t="str">
        <f t="shared" si="168"/>
        <v/>
      </c>
      <c r="EK100" s="108" t="str">
        <f t="shared" si="169"/>
        <v/>
      </c>
      <c r="EL100" s="108" t="str">
        <f t="shared" si="169"/>
        <v/>
      </c>
      <c r="EM100" s="108" t="str">
        <f t="shared" si="169"/>
        <v/>
      </c>
      <c r="EN100" s="108" t="str">
        <f t="shared" si="169"/>
        <v/>
      </c>
      <c r="EO100" s="108" t="str">
        <f t="shared" si="169"/>
        <v/>
      </c>
      <c r="EP100" s="108" t="str">
        <f t="shared" si="169"/>
        <v/>
      </c>
      <c r="EQ100" s="108" t="str">
        <f t="shared" si="169"/>
        <v/>
      </c>
      <c r="ER100" s="108" t="str">
        <f t="shared" si="169"/>
        <v/>
      </c>
      <c r="ES100" s="109" t="str">
        <f t="shared" si="169"/>
        <v/>
      </c>
      <c r="ET100" s="108" t="str">
        <f t="shared" si="169"/>
        <v/>
      </c>
      <c r="EU100" s="108" t="str">
        <f t="shared" si="170"/>
        <v/>
      </c>
      <c r="EV100" s="108" t="str">
        <f t="shared" si="170"/>
        <v/>
      </c>
      <c r="EW100" s="108" t="str">
        <f t="shared" si="170"/>
        <v/>
      </c>
      <c r="EX100" s="108" t="str">
        <f t="shared" si="170"/>
        <v/>
      </c>
      <c r="EY100" s="108" t="str">
        <f t="shared" si="170"/>
        <v/>
      </c>
      <c r="EZ100" s="108" t="str">
        <f t="shared" si="170"/>
        <v/>
      </c>
      <c r="FA100" s="108" t="str">
        <f t="shared" si="170"/>
        <v/>
      </c>
      <c r="FB100" s="108" t="str">
        <f t="shared" si="170"/>
        <v/>
      </c>
      <c r="FC100" s="108" t="str">
        <f t="shared" si="170"/>
        <v/>
      </c>
      <c r="FD100" s="108" t="str">
        <f t="shared" si="170"/>
        <v/>
      </c>
      <c r="FE100" s="108" t="str">
        <f t="shared" si="171"/>
        <v/>
      </c>
      <c r="FF100" s="109" t="str">
        <f t="shared" si="171"/>
        <v/>
      </c>
      <c r="FG100" s="108" t="str">
        <f t="shared" si="171"/>
        <v/>
      </c>
      <c r="FH100" s="108" t="str">
        <f t="shared" si="171"/>
        <v/>
      </c>
      <c r="FI100" s="108" t="str">
        <f t="shared" si="171"/>
        <v/>
      </c>
      <c r="FJ100" s="108" t="str">
        <f t="shared" si="171"/>
        <v/>
      </c>
      <c r="FK100" s="108" t="str">
        <f t="shared" si="171"/>
        <v/>
      </c>
      <c r="FL100" s="108" t="str">
        <f t="shared" si="171"/>
        <v/>
      </c>
      <c r="FM100" s="108" t="str">
        <f t="shared" si="171"/>
        <v/>
      </c>
      <c r="FN100" s="108" t="str">
        <f t="shared" si="171"/>
        <v/>
      </c>
      <c r="FO100" s="108" t="str">
        <f t="shared" si="172"/>
        <v/>
      </c>
      <c r="FP100" s="108" t="str">
        <f t="shared" si="172"/>
        <v/>
      </c>
      <c r="FQ100" s="108" t="str">
        <f t="shared" si="172"/>
        <v/>
      </c>
      <c r="FR100" s="108" t="str">
        <f t="shared" si="172"/>
        <v/>
      </c>
      <c r="FS100" s="108" t="str">
        <f t="shared" si="172"/>
        <v/>
      </c>
      <c r="FT100" s="108" t="str">
        <f t="shared" si="172"/>
        <v/>
      </c>
      <c r="FU100" s="108" t="str">
        <f t="shared" si="172"/>
        <v/>
      </c>
      <c r="FV100" s="108" t="str">
        <f t="shared" si="172"/>
        <v/>
      </c>
      <c r="FW100" s="110" t="str">
        <f t="shared" si="172"/>
        <v/>
      </c>
    </row>
    <row r="101" spans="2:179" s="101" customFormat="1" ht="21" customHeight="1" x14ac:dyDescent="0.35">
      <c r="B101" s="27" t="e">
        <f>Portfolio_Daten!#REF!</f>
        <v>#REF!</v>
      </c>
      <c r="C101" s="27">
        <f>Portfolio_Daten!B102</f>
        <v>0</v>
      </c>
      <c r="D101" s="28">
        <f>Portfolio_Daten!E102</f>
        <v>0</v>
      </c>
      <c r="E101" s="31">
        <f>Portfolio_Daten!T102</f>
        <v>0</v>
      </c>
      <c r="F101" s="31">
        <f>Portfolio_Daten!U102</f>
        <v>0</v>
      </c>
      <c r="G101" s="107">
        <f>IF(F101="","",NETWORKDAYS(E101,F101,Parameter!$C$4:$C$51))</f>
        <v>0</v>
      </c>
      <c r="H101" s="29">
        <f>Portfolio_Daten!AG102</f>
        <v>0</v>
      </c>
      <c r="I101" s="33">
        <f>Portfolio_Daten!AI102</f>
        <v>0</v>
      </c>
      <c r="J101" s="106"/>
      <c r="K101" s="108" t="str">
        <f t="shared" si="156"/>
        <v/>
      </c>
      <c r="L101" s="108" t="str">
        <f t="shared" si="156"/>
        <v/>
      </c>
      <c r="M101" s="108" t="str">
        <f t="shared" si="156"/>
        <v/>
      </c>
      <c r="N101" s="108" t="str">
        <f t="shared" si="156"/>
        <v/>
      </c>
      <c r="O101" s="108" t="str">
        <f t="shared" si="156"/>
        <v/>
      </c>
      <c r="P101" s="108" t="str">
        <f t="shared" si="156"/>
        <v/>
      </c>
      <c r="Q101" s="108" t="str">
        <f t="shared" si="156"/>
        <v/>
      </c>
      <c r="R101" s="108" t="str">
        <f t="shared" si="156"/>
        <v/>
      </c>
      <c r="S101" s="108" t="str">
        <f t="shared" si="156"/>
        <v/>
      </c>
      <c r="T101" s="108" t="str">
        <f t="shared" si="156"/>
        <v/>
      </c>
      <c r="U101" s="108" t="str">
        <f t="shared" si="157"/>
        <v/>
      </c>
      <c r="V101" s="108" t="str">
        <f t="shared" si="157"/>
        <v/>
      </c>
      <c r="W101" s="108" t="str">
        <f t="shared" si="157"/>
        <v/>
      </c>
      <c r="X101" s="108" t="str">
        <f t="shared" si="157"/>
        <v/>
      </c>
      <c r="Y101" s="108" t="str">
        <f t="shared" si="157"/>
        <v/>
      </c>
      <c r="Z101" s="108" t="str">
        <f t="shared" si="157"/>
        <v/>
      </c>
      <c r="AA101" s="108" t="str">
        <f t="shared" si="157"/>
        <v/>
      </c>
      <c r="AB101" s="108" t="str">
        <f t="shared" si="157"/>
        <v/>
      </c>
      <c r="AC101" s="108" t="str">
        <f t="shared" si="157"/>
        <v/>
      </c>
      <c r="AD101" s="108" t="str">
        <f t="shared" si="157"/>
        <v/>
      </c>
      <c r="AE101" s="108" t="str">
        <f t="shared" si="158"/>
        <v/>
      </c>
      <c r="AF101" s="108" t="str">
        <f t="shared" si="158"/>
        <v/>
      </c>
      <c r="AG101" s="108" t="str">
        <f t="shared" si="158"/>
        <v/>
      </c>
      <c r="AH101" s="108" t="str">
        <f t="shared" si="158"/>
        <v/>
      </c>
      <c r="AI101" s="108" t="str">
        <f t="shared" si="158"/>
        <v/>
      </c>
      <c r="AJ101" s="108" t="str">
        <f t="shared" si="158"/>
        <v/>
      </c>
      <c r="AK101" s="108" t="str">
        <f t="shared" si="158"/>
        <v/>
      </c>
      <c r="AL101" s="108" t="str">
        <f t="shared" si="158"/>
        <v/>
      </c>
      <c r="AM101" s="108" t="str">
        <f t="shared" si="158"/>
        <v/>
      </c>
      <c r="AN101" s="108" t="str">
        <f t="shared" si="158"/>
        <v/>
      </c>
      <c r="AO101" s="108" t="str">
        <f t="shared" si="159"/>
        <v/>
      </c>
      <c r="AP101" s="108" t="str">
        <f t="shared" si="159"/>
        <v/>
      </c>
      <c r="AQ101" s="108" t="str">
        <f t="shared" si="159"/>
        <v/>
      </c>
      <c r="AR101" s="108" t="str">
        <f t="shared" si="159"/>
        <v/>
      </c>
      <c r="AS101" s="108" t="str">
        <f t="shared" si="159"/>
        <v/>
      </c>
      <c r="AT101" s="108" t="str">
        <f t="shared" si="159"/>
        <v/>
      </c>
      <c r="AU101" s="108" t="str">
        <f t="shared" si="159"/>
        <v/>
      </c>
      <c r="AV101" s="108" t="str">
        <f t="shared" si="159"/>
        <v/>
      </c>
      <c r="AW101" s="108" t="str">
        <f t="shared" si="159"/>
        <v/>
      </c>
      <c r="AX101" s="108" t="str">
        <f t="shared" si="159"/>
        <v/>
      </c>
      <c r="AY101" s="108" t="str">
        <f t="shared" si="160"/>
        <v/>
      </c>
      <c r="AZ101" s="108" t="str">
        <f t="shared" si="160"/>
        <v/>
      </c>
      <c r="BA101" s="108" t="str">
        <f t="shared" si="160"/>
        <v/>
      </c>
      <c r="BB101" s="108" t="str">
        <f t="shared" si="160"/>
        <v/>
      </c>
      <c r="BC101" s="108" t="str">
        <f t="shared" si="160"/>
        <v/>
      </c>
      <c r="BD101" s="108" t="str">
        <f t="shared" si="160"/>
        <v/>
      </c>
      <c r="BE101" s="108" t="str">
        <f t="shared" si="160"/>
        <v/>
      </c>
      <c r="BF101" s="108" t="str">
        <f t="shared" si="160"/>
        <v/>
      </c>
      <c r="BG101" s="108" t="str">
        <f t="shared" si="160"/>
        <v/>
      </c>
      <c r="BH101" s="108" t="str">
        <f t="shared" si="160"/>
        <v/>
      </c>
      <c r="BI101" s="108" t="str">
        <f t="shared" si="161"/>
        <v/>
      </c>
      <c r="BJ101" s="108" t="str">
        <f t="shared" si="161"/>
        <v/>
      </c>
      <c r="BK101" s="108" t="str">
        <f t="shared" si="161"/>
        <v/>
      </c>
      <c r="BL101" s="108" t="str">
        <f t="shared" si="161"/>
        <v/>
      </c>
      <c r="BM101" s="108" t="str">
        <f t="shared" si="161"/>
        <v/>
      </c>
      <c r="BN101" s="108" t="str">
        <f t="shared" si="161"/>
        <v/>
      </c>
      <c r="BO101" s="108" t="str">
        <f t="shared" si="161"/>
        <v/>
      </c>
      <c r="BP101" s="108" t="str">
        <f t="shared" si="161"/>
        <v/>
      </c>
      <c r="BQ101" s="108" t="str">
        <f t="shared" si="161"/>
        <v/>
      </c>
      <c r="BR101" s="108" t="str">
        <f t="shared" si="161"/>
        <v/>
      </c>
      <c r="BS101" s="108" t="str">
        <f t="shared" si="162"/>
        <v/>
      </c>
      <c r="BT101" s="108" t="str">
        <f t="shared" si="162"/>
        <v/>
      </c>
      <c r="BU101" s="108" t="str">
        <f t="shared" si="162"/>
        <v/>
      </c>
      <c r="BV101" s="108" t="str">
        <f t="shared" si="162"/>
        <v/>
      </c>
      <c r="BW101" s="108" t="str">
        <f t="shared" si="162"/>
        <v/>
      </c>
      <c r="BX101" s="108" t="str">
        <f t="shared" si="162"/>
        <v/>
      </c>
      <c r="BY101" s="108" t="str">
        <f t="shared" si="162"/>
        <v/>
      </c>
      <c r="BZ101" s="108" t="str">
        <f t="shared" si="162"/>
        <v/>
      </c>
      <c r="CA101" s="108" t="str">
        <f t="shared" si="162"/>
        <v/>
      </c>
      <c r="CB101" s="108" t="str">
        <f t="shared" si="162"/>
        <v/>
      </c>
      <c r="CC101" s="108" t="str">
        <f t="shared" si="163"/>
        <v/>
      </c>
      <c r="CD101" s="108" t="str">
        <f t="shared" si="163"/>
        <v/>
      </c>
      <c r="CE101" s="108" t="str">
        <f t="shared" si="163"/>
        <v/>
      </c>
      <c r="CF101" s="108" t="str">
        <f t="shared" si="163"/>
        <v/>
      </c>
      <c r="CG101" s="108" t="str">
        <f t="shared" si="163"/>
        <v/>
      </c>
      <c r="CH101" s="108" t="str">
        <f t="shared" si="163"/>
        <v/>
      </c>
      <c r="CI101" s="108" t="str">
        <f t="shared" si="163"/>
        <v/>
      </c>
      <c r="CJ101" s="108" t="str">
        <f t="shared" si="163"/>
        <v/>
      </c>
      <c r="CK101" s="108" t="str">
        <f t="shared" si="163"/>
        <v/>
      </c>
      <c r="CL101" s="108" t="str">
        <f t="shared" si="163"/>
        <v/>
      </c>
      <c r="CM101" s="108" t="str">
        <f t="shared" si="164"/>
        <v/>
      </c>
      <c r="CN101" s="108" t="str">
        <f t="shared" si="164"/>
        <v/>
      </c>
      <c r="CO101" s="108" t="str">
        <f t="shared" si="164"/>
        <v/>
      </c>
      <c r="CP101" s="108" t="str">
        <f t="shared" si="164"/>
        <v/>
      </c>
      <c r="CQ101" s="108" t="str">
        <f t="shared" si="164"/>
        <v/>
      </c>
      <c r="CR101" s="109" t="str">
        <f t="shared" si="164"/>
        <v/>
      </c>
      <c r="CS101" s="108" t="str">
        <f t="shared" si="164"/>
        <v/>
      </c>
      <c r="CT101" s="108" t="str">
        <f t="shared" si="164"/>
        <v/>
      </c>
      <c r="CU101" s="108" t="str">
        <f t="shared" si="164"/>
        <v/>
      </c>
      <c r="CV101" s="108" t="str">
        <f t="shared" si="164"/>
        <v/>
      </c>
      <c r="CW101" s="108" t="str">
        <f t="shared" si="165"/>
        <v/>
      </c>
      <c r="CX101" s="108" t="str">
        <f t="shared" si="165"/>
        <v/>
      </c>
      <c r="CY101" s="108" t="str">
        <f t="shared" si="165"/>
        <v/>
      </c>
      <c r="CZ101" s="109" t="str">
        <f t="shared" si="165"/>
        <v/>
      </c>
      <c r="DA101" s="108" t="str">
        <f t="shared" si="165"/>
        <v/>
      </c>
      <c r="DB101" s="108" t="str">
        <f t="shared" si="165"/>
        <v/>
      </c>
      <c r="DC101" s="108" t="str">
        <f t="shared" si="165"/>
        <v/>
      </c>
      <c r="DD101" s="108" t="str">
        <f t="shared" si="165"/>
        <v/>
      </c>
      <c r="DE101" s="108" t="str">
        <f t="shared" si="165"/>
        <v/>
      </c>
      <c r="DF101" s="108" t="str">
        <f t="shared" si="165"/>
        <v/>
      </c>
      <c r="DG101" s="108" t="str">
        <f t="shared" si="166"/>
        <v/>
      </c>
      <c r="DH101" s="109" t="str">
        <f t="shared" si="166"/>
        <v/>
      </c>
      <c r="DI101" s="108" t="str">
        <f t="shared" si="166"/>
        <v/>
      </c>
      <c r="DJ101" s="108" t="str">
        <f t="shared" si="166"/>
        <v/>
      </c>
      <c r="DK101" s="108" t="str">
        <f t="shared" si="166"/>
        <v/>
      </c>
      <c r="DL101" s="108" t="str">
        <f t="shared" si="166"/>
        <v/>
      </c>
      <c r="DM101" s="108" t="str">
        <f t="shared" si="166"/>
        <v/>
      </c>
      <c r="DN101" s="108" t="str">
        <f t="shared" si="166"/>
        <v/>
      </c>
      <c r="DO101" s="109" t="str">
        <f t="shared" si="166"/>
        <v/>
      </c>
      <c r="DP101" s="108" t="str">
        <f t="shared" si="166"/>
        <v/>
      </c>
      <c r="DQ101" s="108" t="str">
        <f t="shared" si="167"/>
        <v/>
      </c>
      <c r="DR101" s="108" t="str">
        <f t="shared" si="167"/>
        <v/>
      </c>
      <c r="DS101" s="108" t="str">
        <f t="shared" si="167"/>
        <v/>
      </c>
      <c r="DT101" s="108" t="str">
        <f t="shared" si="167"/>
        <v/>
      </c>
      <c r="DU101" s="108" t="str">
        <f t="shared" si="167"/>
        <v/>
      </c>
      <c r="DV101" s="108" t="str">
        <f t="shared" si="167"/>
        <v/>
      </c>
      <c r="DW101" s="109" t="str">
        <f t="shared" si="167"/>
        <v/>
      </c>
      <c r="DX101" s="108" t="str">
        <f t="shared" si="167"/>
        <v/>
      </c>
      <c r="DY101" s="108" t="str">
        <f t="shared" si="167"/>
        <v/>
      </c>
      <c r="DZ101" s="108" t="str">
        <f t="shared" si="167"/>
        <v/>
      </c>
      <c r="EA101" s="108" t="str">
        <f t="shared" si="168"/>
        <v/>
      </c>
      <c r="EB101" s="108" t="str">
        <f t="shared" si="168"/>
        <v/>
      </c>
      <c r="EC101" s="108" t="str">
        <f t="shared" si="168"/>
        <v/>
      </c>
      <c r="ED101" s="109" t="str">
        <f t="shared" si="168"/>
        <v/>
      </c>
      <c r="EE101" s="108" t="str">
        <f t="shared" si="168"/>
        <v/>
      </c>
      <c r="EF101" s="108" t="str">
        <f t="shared" si="168"/>
        <v/>
      </c>
      <c r="EG101" s="108" t="str">
        <f t="shared" si="168"/>
        <v/>
      </c>
      <c r="EH101" s="108" t="str">
        <f t="shared" si="168"/>
        <v/>
      </c>
      <c r="EI101" s="108" t="str">
        <f t="shared" si="168"/>
        <v/>
      </c>
      <c r="EJ101" s="108" t="str">
        <f t="shared" si="168"/>
        <v/>
      </c>
      <c r="EK101" s="108" t="str">
        <f t="shared" si="169"/>
        <v/>
      </c>
      <c r="EL101" s="108" t="str">
        <f t="shared" si="169"/>
        <v/>
      </c>
      <c r="EM101" s="108" t="str">
        <f t="shared" si="169"/>
        <v/>
      </c>
      <c r="EN101" s="108" t="str">
        <f t="shared" si="169"/>
        <v/>
      </c>
      <c r="EO101" s="108" t="str">
        <f t="shared" si="169"/>
        <v/>
      </c>
      <c r="EP101" s="108" t="str">
        <f t="shared" si="169"/>
        <v/>
      </c>
      <c r="EQ101" s="108" t="str">
        <f t="shared" si="169"/>
        <v/>
      </c>
      <c r="ER101" s="108" t="str">
        <f t="shared" si="169"/>
        <v/>
      </c>
      <c r="ES101" s="109" t="str">
        <f t="shared" si="169"/>
        <v/>
      </c>
      <c r="ET101" s="108" t="str">
        <f t="shared" si="169"/>
        <v/>
      </c>
      <c r="EU101" s="108" t="str">
        <f t="shared" si="170"/>
        <v/>
      </c>
      <c r="EV101" s="108" t="str">
        <f t="shared" si="170"/>
        <v/>
      </c>
      <c r="EW101" s="108" t="str">
        <f t="shared" si="170"/>
        <v/>
      </c>
      <c r="EX101" s="108" t="str">
        <f t="shared" si="170"/>
        <v/>
      </c>
      <c r="EY101" s="108" t="str">
        <f t="shared" si="170"/>
        <v/>
      </c>
      <c r="EZ101" s="108" t="str">
        <f t="shared" si="170"/>
        <v/>
      </c>
      <c r="FA101" s="108" t="str">
        <f t="shared" si="170"/>
        <v/>
      </c>
      <c r="FB101" s="108" t="str">
        <f t="shared" si="170"/>
        <v/>
      </c>
      <c r="FC101" s="108" t="str">
        <f t="shared" si="170"/>
        <v/>
      </c>
      <c r="FD101" s="108" t="str">
        <f t="shared" si="170"/>
        <v/>
      </c>
      <c r="FE101" s="108" t="str">
        <f t="shared" si="171"/>
        <v/>
      </c>
      <c r="FF101" s="109" t="str">
        <f t="shared" si="171"/>
        <v/>
      </c>
      <c r="FG101" s="108" t="str">
        <f t="shared" si="171"/>
        <v/>
      </c>
      <c r="FH101" s="108" t="str">
        <f t="shared" si="171"/>
        <v/>
      </c>
      <c r="FI101" s="108" t="str">
        <f t="shared" si="171"/>
        <v/>
      </c>
      <c r="FJ101" s="108" t="str">
        <f t="shared" si="171"/>
        <v/>
      </c>
      <c r="FK101" s="108" t="str">
        <f t="shared" si="171"/>
        <v/>
      </c>
      <c r="FL101" s="108" t="str">
        <f t="shared" si="171"/>
        <v/>
      </c>
      <c r="FM101" s="108" t="str">
        <f t="shared" si="171"/>
        <v/>
      </c>
      <c r="FN101" s="108" t="str">
        <f t="shared" si="171"/>
        <v/>
      </c>
      <c r="FO101" s="108" t="str">
        <f t="shared" si="172"/>
        <v/>
      </c>
      <c r="FP101" s="108" t="str">
        <f t="shared" si="172"/>
        <v/>
      </c>
      <c r="FQ101" s="108" t="str">
        <f t="shared" si="172"/>
        <v/>
      </c>
      <c r="FR101" s="108" t="str">
        <f t="shared" si="172"/>
        <v/>
      </c>
      <c r="FS101" s="108" t="str">
        <f t="shared" si="172"/>
        <v/>
      </c>
      <c r="FT101" s="108" t="str">
        <f t="shared" si="172"/>
        <v/>
      </c>
      <c r="FU101" s="108" t="str">
        <f t="shared" si="172"/>
        <v/>
      </c>
      <c r="FV101" s="108" t="str">
        <f t="shared" si="172"/>
        <v/>
      </c>
      <c r="FW101" s="110" t="str">
        <f t="shared" si="172"/>
        <v/>
      </c>
    </row>
    <row r="102" spans="2:179" s="101" customFormat="1" ht="21" customHeight="1" x14ac:dyDescent="0.35">
      <c r="B102" s="27" t="e">
        <f>Portfolio_Daten!#REF!</f>
        <v>#REF!</v>
      </c>
      <c r="C102" s="27" t="e">
        <f>Portfolio_Daten!#REF!</f>
        <v>#REF!</v>
      </c>
      <c r="D102" s="28">
        <f>Portfolio_Daten!E103</f>
        <v>0</v>
      </c>
      <c r="E102" s="31">
        <f>Portfolio_Daten!T103</f>
        <v>0</v>
      </c>
      <c r="F102" s="31">
        <f>Portfolio_Daten!U103</f>
        <v>0</v>
      </c>
      <c r="G102" s="107">
        <f>IF(F102="","",NETWORKDAYS(E102,F102,Parameter!$C$4:$C$51))</f>
        <v>0</v>
      </c>
      <c r="H102" s="29">
        <f>Portfolio_Daten!AG103</f>
        <v>0</v>
      </c>
      <c r="I102" s="33">
        <f>Portfolio_Daten!AI103</f>
        <v>0</v>
      </c>
      <c r="J102" s="106"/>
      <c r="K102" s="108" t="str">
        <f t="shared" si="156"/>
        <v/>
      </c>
      <c r="L102" s="108" t="str">
        <f t="shared" si="156"/>
        <v/>
      </c>
      <c r="M102" s="108" t="str">
        <f t="shared" si="156"/>
        <v/>
      </c>
      <c r="N102" s="108" t="str">
        <f t="shared" si="156"/>
        <v/>
      </c>
      <c r="O102" s="108" t="str">
        <f t="shared" si="156"/>
        <v/>
      </c>
      <c r="P102" s="108" t="str">
        <f t="shared" si="156"/>
        <v/>
      </c>
      <c r="Q102" s="108" t="str">
        <f t="shared" si="156"/>
        <v/>
      </c>
      <c r="R102" s="108" t="str">
        <f t="shared" si="156"/>
        <v/>
      </c>
      <c r="S102" s="108" t="str">
        <f t="shared" si="156"/>
        <v/>
      </c>
      <c r="T102" s="108" t="str">
        <f t="shared" si="156"/>
        <v/>
      </c>
      <c r="U102" s="108" t="str">
        <f t="shared" si="157"/>
        <v/>
      </c>
      <c r="V102" s="108" t="str">
        <f t="shared" si="157"/>
        <v/>
      </c>
      <c r="W102" s="108" t="str">
        <f t="shared" si="157"/>
        <v/>
      </c>
      <c r="X102" s="108" t="str">
        <f t="shared" si="157"/>
        <v/>
      </c>
      <c r="Y102" s="108" t="str">
        <f t="shared" si="157"/>
        <v/>
      </c>
      <c r="Z102" s="108" t="str">
        <f t="shared" si="157"/>
        <v/>
      </c>
      <c r="AA102" s="108" t="str">
        <f t="shared" si="157"/>
        <v/>
      </c>
      <c r="AB102" s="108" t="str">
        <f t="shared" si="157"/>
        <v/>
      </c>
      <c r="AC102" s="108" t="str">
        <f t="shared" si="157"/>
        <v/>
      </c>
      <c r="AD102" s="108" t="str">
        <f t="shared" si="157"/>
        <v/>
      </c>
      <c r="AE102" s="108" t="str">
        <f t="shared" si="158"/>
        <v/>
      </c>
      <c r="AF102" s="108" t="str">
        <f t="shared" si="158"/>
        <v/>
      </c>
      <c r="AG102" s="108" t="str">
        <f t="shared" si="158"/>
        <v/>
      </c>
      <c r="AH102" s="108" t="str">
        <f t="shared" si="158"/>
        <v/>
      </c>
      <c r="AI102" s="108" t="str">
        <f t="shared" si="158"/>
        <v/>
      </c>
      <c r="AJ102" s="108" t="str">
        <f t="shared" si="158"/>
        <v/>
      </c>
      <c r="AK102" s="108" t="str">
        <f t="shared" si="158"/>
        <v/>
      </c>
      <c r="AL102" s="108" t="str">
        <f t="shared" si="158"/>
        <v/>
      </c>
      <c r="AM102" s="108" t="str">
        <f t="shared" si="158"/>
        <v/>
      </c>
      <c r="AN102" s="108" t="str">
        <f t="shared" si="158"/>
        <v/>
      </c>
      <c r="AO102" s="108" t="str">
        <f t="shared" si="159"/>
        <v/>
      </c>
      <c r="AP102" s="108" t="str">
        <f t="shared" si="159"/>
        <v/>
      </c>
      <c r="AQ102" s="108" t="str">
        <f t="shared" si="159"/>
        <v/>
      </c>
      <c r="AR102" s="108" t="str">
        <f t="shared" si="159"/>
        <v/>
      </c>
      <c r="AS102" s="108" t="str">
        <f t="shared" si="159"/>
        <v/>
      </c>
      <c r="AT102" s="108" t="str">
        <f t="shared" si="159"/>
        <v/>
      </c>
      <c r="AU102" s="108" t="str">
        <f t="shared" si="159"/>
        <v/>
      </c>
      <c r="AV102" s="108" t="str">
        <f t="shared" si="159"/>
        <v/>
      </c>
      <c r="AW102" s="108" t="str">
        <f t="shared" si="159"/>
        <v/>
      </c>
      <c r="AX102" s="108" t="str">
        <f t="shared" si="159"/>
        <v/>
      </c>
      <c r="AY102" s="108" t="str">
        <f t="shared" si="160"/>
        <v/>
      </c>
      <c r="AZ102" s="108" t="str">
        <f t="shared" si="160"/>
        <v/>
      </c>
      <c r="BA102" s="108" t="str">
        <f t="shared" si="160"/>
        <v/>
      </c>
      <c r="BB102" s="108" t="str">
        <f t="shared" si="160"/>
        <v/>
      </c>
      <c r="BC102" s="108" t="str">
        <f t="shared" si="160"/>
        <v/>
      </c>
      <c r="BD102" s="108" t="str">
        <f t="shared" si="160"/>
        <v/>
      </c>
      <c r="BE102" s="108" t="str">
        <f t="shared" si="160"/>
        <v/>
      </c>
      <c r="BF102" s="108" t="str">
        <f t="shared" si="160"/>
        <v/>
      </c>
      <c r="BG102" s="108" t="str">
        <f t="shared" si="160"/>
        <v/>
      </c>
      <c r="BH102" s="108" t="str">
        <f t="shared" si="160"/>
        <v/>
      </c>
      <c r="BI102" s="108" t="str">
        <f t="shared" si="161"/>
        <v/>
      </c>
      <c r="BJ102" s="108" t="str">
        <f t="shared" si="161"/>
        <v/>
      </c>
      <c r="BK102" s="108" t="str">
        <f t="shared" si="161"/>
        <v/>
      </c>
      <c r="BL102" s="108" t="str">
        <f t="shared" si="161"/>
        <v/>
      </c>
      <c r="BM102" s="108" t="str">
        <f t="shared" si="161"/>
        <v/>
      </c>
      <c r="BN102" s="108" t="str">
        <f t="shared" si="161"/>
        <v/>
      </c>
      <c r="BO102" s="108" t="str">
        <f t="shared" si="161"/>
        <v/>
      </c>
      <c r="BP102" s="108" t="str">
        <f t="shared" si="161"/>
        <v/>
      </c>
      <c r="BQ102" s="108" t="str">
        <f t="shared" si="161"/>
        <v/>
      </c>
      <c r="BR102" s="108" t="str">
        <f t="shared" si="161"/>
        <v/>
      </c>
      <c r="BS102" s="108" t="str">
        <f t="shared" si="162"/>
        <v/>
      </c>
      <c r="BT102" s="108" t="str">
        <f t="shared" si="162"/>
        <v/>
      </c>
      <c r="BU102" s="108" t="str">
        <f t="shared" si="162"/>
        <v/>
      </c>
      <c r="BV102" s="108" t="str">
        <f t="shared" si="162"/>
        <v/>
      </c>
      <c r="BW102" s="108" t="str">
        <f t="shared" si="162"/>
        <v/>
      </c>
      <c r="BX102" s="108" t="str">
        <f t="shared" si="162"/>
        <v/>
      </c>
      <c r="BY102" s="108" t="str">
        <f t="shared" si="162"/>
        <v/>
      </c>
      <c r="BZ102" s="108" t="str">
        <f t="shared" si="162"/>
        <v/>
      </c>
      <c r="CA102" s="108" t="str">
        <f t="shared" si="162"/>
        <v/>
      </c>
      <c r="CB102" s="108" t="str">
        <f t="shared" si="162"/>
        <v/>
      </c>
      <c r="CC102" s="108" t="str">
        <f t="shared" si="163"/>
        <v/>
      </c>
      <c r="CD102" s="108" t="str">
        <f t="shared" si="163"/>
        <v/>
      </c>
      <c r="CE102" s="108" t="str">
        <f t="shared" si="163"/>
        <v/>
      </c>
      <c r="CF102" s="108" t="str">
        <f t="shared" si="163"/>
        <v/>
      </c>
      <c r="CG102" s="108" t="str">
        <f t="shared" si="163"/>
        <v/>
      </c>
      <c r="CH102" s="108" t="str">
        <f t="shared" si="163"/>
        <v/>
      </c>
      <c r="CI102" s="108" t="str">
        <f t="shared" si="163"/>
        <v/>
      </c>
      <c r="CJ102" s="108" t="str">
        <f t="shared" si="163"/>
        <v/>
      </c>
      <c r="CK102" s="108" t="str">
        <f t="shared" si="163"/>
        <v/>
      </c>
      <c r="CL102" s="108" t="str">
        <f t="shared" si="163"/>
        <v/>
      </c>
      <c r="CM102" s="108" t="str">
        <f t="shared" si="164"/>
        <v/>
      </c>
      <c r="CN102" s="108" t="str">
        <f t="shared" si="164"/>
        <v/>
      </c>
      <c r="CO102" s="108" t="str">
        <f t="shared" si="164"/>
        <v/>
      </c>
      <c r="CP102" s="108" t="str">
        <f t="shared" si="164"/>
        <v/>
      </c>
      <c r="CQ102" s="108" t="str">
        <f t="shared" si="164"/>
        <v/>
      </c>
      <c r="CR102" s="109" t="str">
        <f t="shared" si="164"/>
        <v/>
      </c>
      <c r="CS102" s="108" t="str">
        <f t="shared" si="164"/>
        <v/>
      </c>
      <c r="CT102" s="108" t="str">
        <f t="shared" si="164"/>
        <v/>
      </c>
      <c r="CU102" s="108" t="str">
        <f t="shared" si="164"/>
        <v/>
      </c>
      <c r="CV102" s="108" t="str">
        <f t="shared" si="164"/>
        <v/>
      </c>
      <c r="CW102" s="108" t="str">
        <f t="shared" si="165"/>
        <v/>
      </c>
      <c r="CX102" s="108" t="str">
        <f t="shared" si="165"/>
        <v/>
      </c>
      <c r="CY102" s="108" t="str">
        <f t="shared" si="165"/>
        <v/>
      </c>
      <c r="CZ102" s="109" t="str">
        <f t="shared" si="165"/>
        <v/>
      </c>
      <c r="DA102" s="108" t="str">
        <f t="shared" si="165"/>
        <v/>
      </c>
      <c r="DB102" s="108" t="str">
        <f t="shared" si="165"/>
        <v/>
      </c>
      <c r="DC102" s="108" t="str">
        <f t="shared" si="165"/>
        <v/>
      </c>
      <c r="DD102" s="108" t="str">
        <f t="shared" si="165"/>
        <v/>
      </c>
      <c r="DE102" s="108" t="str">
        <f t="shared" si="165"/>
        <v/>
      </c>
      <c r="DF102" s="108" t="str">
        <f t="shared" si="165"/>
        <v/>
      </c>
      <c r="DG102" s="108" t="str">
        <f t="shared" si="166"/>
        <v/>
      </c>
      <c r="DH102" s="109" t="str">
        <f t="shared" si="166"/>
        <v/>
      </c>
      <c r="DI102" s="108" t="str">
        <f t="shared" si="166"/>
        <v/>
      </c>
      <c r="DJ102" s="108" t="str">
        <f t="shared" si="166"/>
        <v/>
      </c>
      <c r="DK102" s="108" t="str">
        <f t="shared" si="166"/>
        <v/>
      </c>
      <c r="DL102" s="108" t="str">
        <f t="shared" si="166"/>
        <v/>
      </c>
      <c r="DM102" s="108" t="str">
        <f t="shared" si="166"/>
        <v/>
      </c>
      <c r="DN102" s="108" t="str">
        <f t="shared" si="166"/>
        <v/>
      </c>
      <c r="DO102" s="109" t="str">
        <f t="shared" si="166"/>
        <v/>
      </c>
      <c r="DP102" s="108" t="str">
        <f t="shared" si="166"/>
        <v/>
      </c>
      <c r="DQ102" s="108" t="str">
        <f t="shared" si="167"/>
        <v/>
      </c>
      <c r="DR102" s="108" t="str">
        <f t="shared" si="167"/>
        <v/>
      </c>
      <c r="DS102" s="108" t="str">
        <f t="shared" si="167"/>
        <v/>
      </c>
      <c r="DT102" s="108" t="str">
        <f t="shared" si="167"/>
        <v/>
      </c>
      <c r="DU102" s="108" t="str">
        <f t="shared" si="167"/>
        <v/>
      </c>
      <c r="DV102" s="108" t="str">
        <f t="shared" si="167"/>
        <v/>
      </c>
      <c r="DW102" s="109" t="str">
        <f t="shared" si="167"/>
        <v/>
      </c>
      <c r="DX102" s="108" t="str">
        <f t="shared" si="167"/>
        <v/>
      </c>
      <c r="DY102" s="108" t="str">
        <f t="shared" si="167"/>
        <v/>
      </c>
      <c r="DZ102" s="108" t="str">
        <f t="shared" si="167"/>
        <v/>
      </c>
      <c r="EA102" s="108" t="str">
        <f t="shared" si="168"/>
        <v/>
      </c>
      <c r="EB102" s="108" t="str">
        <f t="shared" si="168"/>
        <v/>
      </c>
      <c r="EC102" s="108" t="str">
        <f t="shared" si="168"/>
        <v/>
      </c>
      <c r="ED102" s="109" t="str">
        <f t="shared" si="168"/>
        <v/>
      </c>
      <c r="EE102" s="108" t="str">
        <f t="shared" si="168"/>
        <v/>
      </c>
      <c r="EF102" s="108" t="str">
        <f t="shared" si="168"/>
        <v/>
      </c>
      <c r="EG102" s="108" t="str">
        <f t="shared" si="168"/>
        <v/>
      </c>
      <c r="EH102" s="108" t="str">
        <f t="shared" si="168"/>
        <v/>
      </c>
      <c r="EI102" s="108" t="str">
        <f t="shared" si="168"/>
        <v/>
      </c>
      <c r="EJ102" s="108" t="str">
        <f t="shared" si="168"/>
        <v/>
      </c>
      <c r="EK102" s="108" t="str">
        <f t="shared" si="169"/>
        <v/>
      </c>
      <c r="EL102" s="108" t="str">
        <f t="shared" si="169"/>
        <v/>
      </c>
      <c r="EM102" s="108" t="str">
        <f t="shared" si="169"/>
        <v/>
      </c>
      <c r="EN102" s="108" t="str">
        <f t="shared" si="169"/>
        <v/>
      </c>
      <c r="EO102" s="108" t="str">
        <f t="shared" si="169"/>
        <v/>
      </c>
      <c r="EP102" s="108" t="str">
        <f t="shared" si="169"/>
        <v/>
      </c>
      <c r="EQ102" s="108" t="str">
        <f t="shared" si="169"/>
        <v/>
      </c>
      <c r="ER102" s="108" t="str">
        <f t="shared" si="169"/>
        <v/>
      </c>
      <c r="ES102" s="109" t="str">
        <f t="shared" si="169"/>
        <v/>
      </c>
      <c r="ET102" s="108" t="str">
        <f t="shared" si="169"/>
        <v/>
      </c>
      <c r="EU102" s="108" t="str">
        <f t="shared" si="170"/>
        <v/>
      </c>
      <c r="EV102" s="108" t="str">
        <f t="shared" si="170"/>
        <v/>
      </c>
      <c r="EW102" s="108" t="str">
        <f t="shared" si="170"/>
        <v/>
      </c>
      <c r="EX102" s="108" t="str">
        <f t="shared" si="170"/>
        <v/>
      </c>
      <c r="EY102" s="108" t="str">
        <f t="shared" si="170"/>
        <v/>
      </c>
      <c r="EZ102" s="108" t="str">
        <f t="shared" si="170"/>
        <v/>
      </c>
      <c r="FA102" s="108" t="str">
        <f t="shared" si="170"/>
        <v/>
      </c>
      <c r="FB102" s="108" t="str">
        <f t="shared" si="170"/>
        <v/>
      </c>
      <c r="FC102" s="108" t="str">
        <f t="shared" si="170"/>
        <v/>
      </c>
      <c r="FD102" s="108" t="str">
        <f t="shared" si="170"/>
        <v/>
      </c>
      <c r="FE102" s="108" t="str">
        <f t="shared" si="171"/>
        <v/>
      </c>
      <c r="FF102" s="109" t="str">
        <f t="shared" si="171"/>
        <v/>
      </c>
      <c r="FG102" s="108" t="str">
        <f t="shared" si="171"/>
        <v/>
      </c>
      <c r="FH102" s="108" t="str">
        <f t="shared" si="171"/>
        <v/>
      </c>
      <c r="FI102" s="108" t="str">
        <f t="shared" si="171"/>
        <v/>
      </c>
      <c r="FJ102" s="108" t="str">
        <f t="shared" si="171"/>
        <v/>
      </c>
      <c r="FK102" s="108" t="str">
        <f t="shared" si="171"/>
        <v/>
      </c>
      <c r="FL102" s="108" t="str">
        <f t="shared" si="171"/>
        <v/>
      </c>
      <c r="FM102" s="108" t="str">
        <f t="shared" si="171"/>
        <v/>
      </c>
      <c r="FN102" s="108" t="str">
        <f t="shared" si="171"/>
        <v/>
      </c>
      <c r="FO102" s="108" t="str">
        <f t="shared" si="172"/>
        <v/>
      </c>
      <c r="FP102" s="108" t="str">
        <f t="shared" si="172"/>
        <v/>
      </c>
      <c r="FQ102" s="108" t="str">
        <f t="shared" si="172"/>
        <v/>
      </c>
      <c r="FR102" s="108" t="str">
        <f t="shared" si="172"/>
        <v/>
      </c>
      <c r="FS102" s="108" t="str">
        <f t="shared" si="172"/>
        <v/>
      </c>
      <c r="FT102" s="108" t="str">
        <f t="shared" si="172"/>
        <v/>
      </c>
      <c r="FU102" s="108" t="str">
        <f t="shared" si="172"/>
        <v/>
      </c>
      <c r="FV102" s="108" t="str">
        <f t="shared" si="172"/>
        <v/>
      </c>
      <c r="FW102" s="110" t="str">
        <f t="shared" si="172"/>
        <v/>
      </c>
    </row>
    <row r="103" spans="2:179" s="101" customFormat="1" ht="21" customHeight="1" x14ac:dyDescent="0.35">
      <c r="B103" s="27" t="e">
        <f>Portfolio_Daten!#REF!</f>
        <v>#REF!</v>
      </c>
      <c r="C103" s="27">
        <f>Portfolio_Daten!B103</f>
        <v>0</v>
      </c>
      <c r="D103" s="28">
        <f>Portfolio_Daten!E104</f>
        <v>0</v>
      </c>
      <c r="E103" s="31">
        <f>Portfolio_Daten!T104</f>
        <v>0</v>
      </c>
      <c r="F103" s="31">
        <f>Portfolio_Daten!U104</f>
        <v>0</v>
      </c>
      <c r="G103" s="107">
        <f>IF(F103="","",NETWORKDAYS(E103,F103,Parameter!$C$4:$C$51))</f>
        <v>0</v>
      </c>
      <c r="H103" s="29">
        <f>Portfolio_Daten!AG104</f>
        <v>0</v>
      </c>
      <c r="I103" s="33">
        <f>Portfolio_Daten!AI104</f>
        <v>0</v>
      </c>
      <c r="J103" s="106"/>
      <c r="K103" s="108" t="str">
        <f t="shared" si="156"/>
        <v/>
      </c>
      <c r="L103" s="108" t="str">
        <f t="shared" si="156"/>
        <v/>
      </c>
      <c r="M103" s="108" t="str">
        <f t="shared" si="156"/>
        <v/>
      </c>
      <c r="N103" s="108" t="str">
        <f t="shared" si="156"/>
        <v/>
      </c>
      <c r="O103" s="108" t="str">
        <f t="shared" si="156"/>
        <v/>
      </c>
      <c r="P103" s="108" t="str">
        <f t="shared" si="156"/>
        <v/>
      </c>
      <c r="Q103" s="108" t="str">
        <f t="shared" si="156"/>
        <v/>
      </c>
      <c r="R103" s="108" t="str">
        <f t="shared" si="156"/>
        <v/>
      </c>
      <c r="S103" s="108" t="str">
        <f t="shared" si="156"/>
        <v/>
      </c>
      <c r="T103" s="108" t="str">
        <f t="shared" si="156"/>
        <v/>
      </c>
      <c r="U103" s="108" t="str">
        <f t="shared" si="157"/>
        <v/>
      </c>
      <c r="V103" s="108" t="str">
        <f t="shared" si="157"/>
        <v/>
      </c>
      <c r="W103" s="108" t="str">
        <f t="shared" si="157"/>
        <v/>
      </c>
      <c r="X103" s="108" t="str">
        <f t="shared" si="157"/>
        <v/>
      </c>
      <c r="Y103" s="108" t="str">
        <f t="shared" si="157"/>
        <v/>
      </c>
      <c r="Z103" s="108" t="str">
        <f t="shared" si="157"/>
        <v/>
      </c>
      <c r="AA103" s="108" t="str">
        <f t="shared" si="157"/>
        <v/>
      </c>
      <c r="AB103" s="108" t="str">
        <f t="shared" si="157"/>
        <v/>
      </c>
      <c r="AC103" s="108" t="str">
        <f t="shared" si="157"/>
        <v/>
      </c>
      <c r="AD103" s="108" t="str">
        <f t="shared" si="157"/>
        <v/>
      </c>
      <c r="AE103" s="108" t="str">
        <f t="shared" si="158"/>
        <v/>
      </c>
      <c r="AF103" s="108" t="str">
        <f t="shared" si="158"/>
        <v/>
      </c>
      <c r="AG103" s="108" t="str">
        <f t="shared" si="158"/>
        <v/>
      </c>
      <c r="AH103" s="108" t="str">
        <f t="shared" si="158"/>
        <v/>
      </c>
      <c r="AI103" s="108" t="str">
        <f t="shared" si="158"/>
        <v/>
      </c>
      <c r="AJ103" s="108" t="str">
        <f t="shared" si="158"/>
        <v/>
      </c>
      <c r="AK103" s="108" t="str">
        <f t="shared" si="158"/>
        <v/>
      </c>
      <c r="AL103" s="108" t="str">
        <f t="shared" si="158"/>
        <v/>
      </c>
      <c r="AM103" s="108" t="str">
        <f t="shared" si="158"/>
        <v/>
      </c>
      <c r="AN103" s="108" t="str">
        <f t="shared" si="158"/>
        <v/>
      </c>
      <c r="AO103" s="108" t="str">
        <f t="shared" si="159"/>
        <v/>
      </c>
      <c r="AP103" s="108" t="str">
        <f t="shared" si="159"/>
        <v/>
      </c>
      <c r="AQ103" s="108" t="str">
        <f t="shared" si="159"/>
        <v/>
      </c>
      <c r="AR103" s="108" t="str">
        <f t="shared" si="159"/>
        <v/>
      </c>
      <c r="AS103" s="108" t="str">
        <f t="shared" si="159"/>
        <v/>
      </c>
      <c r="AT103" s="108" t="str">
        <f t="shared" si="159"/>
        <v/>
      </c>
      <c r="AU103" s="108" t="str">
        <f t="shared" si="159"/>
        <v/>
      </c>
      <c r="AV103" s="108" t="str">
        <f t="shared" si="159"/>
        <v/>
      </c>
      <c r="AW103" s="108" t="str">
        <f t="shared" si="159"/>
        <v/>
      </c>
      <c r="AX103" s="108" t="str">
        <f t="shared" si="159"/>
        <v/>
      </c>
      <c r="AY103" s="108" t="str">
        <f t="shared" si="160"/>
        <v/>
      </c>
      <c r="AZ103" s="108" t="str">
        <f t="shared" si="160"/>
        <v/>
      </c>
      <c r="BA103" s="108" t="str">
        <f t="shared" si="160"/>
        <v/>
      </c>
      <c r="BB103" s="108" t="str">
        <f t="shared" si="160"/>
        <v/>
      </c>
      <c r="BC103" s="108" t="str">
        <f t="shared" si="160"/>
        <v/>
      </c>
      <c r="BD103" s="108" t="str">
        <f t="shared" si="160"/>
        <v/>
      </c>
      <c r="BE103" s="108" t="str">
        <f t="shared" si="160"/>
        <v/>
      </c>
      <c r="BF103" s="108" t="str">
        <f t="shared" si="160"/>
        <v/>
      </c>
      <c r="BG103" s="108" t="str">
        <f t="shared" si="160"/>
        <v/>
      </c>
      <c r="BH103" s="108" t="str">
        <f t="shared" si="160"/>
        <v/>
      </c>
      <c r="BI103" s="108" t="str">
        <f t="shared" si="161"/>
        <v/>
      </c>
      <c r="BJ103" s="108" t="str">
        <f t="shared" si="161"/>
        <v/>
      </c>
      <c r="BK103" s="108" t="str">
        <f t="shared" si="161"/>
        <v/>
      </c>
      <c r="BL103" s="108" t="str">
        <f t="shared" si="161"/>
        <v/>
      </c>
      <c r="BM103" s="108" t="str">
        <f t="shared" si="161"/>
        <v/>
      </c>
      <c r="BN103" s="108" t="str">
        <f t="shared" si="161"/>
        <v/>
      </c>
      <c r="BO103" s="108" t="str">
        <f t="shared" si="161"/>
        <v/>
      </c>
      <c r="BP103" s="108" t="str">
        <f t="shared" si="161"/>
        <v/>
      </c>
      <c r="BQ103" s="108" t="str">
        <f t="shared" si="161"/>
        <v/>
      </c>
      <c r="BR103" s="108" t="str">
        <f t="shared" si="161"/>
        <v/>
      </c>
      <c r="BS103" s="108" t="str">
        <f t="shared" si="162"/>
        <v/>
      </c>
      <c r="BT103" s="108" t="str">
        <f t="shared" si="162"/>
        <v/>
      </c>
      <c r="BU103" s="108" t="str">
        <f t="shared" si="162"/>
        <v/>
      </c>
      <c r="BV103" s="108" t="str">
        <f t="shared" si="162"/>
        <v/>
      </c>
      <c r="BW103" s="108" t="str">
        <f t="shared" si="162"/>
        <v/>
      </c>
      <c r="BX103" s="108" t="str">
        <f t="shared" si="162"/>
        <v/>
      </c>
      <c r="BY103" s="108" t="str">
        <f t="shared" si="162"/>
        <v/>
      </c>
      <c r="BZ103" s="108" t="str">
        <f t="shared" si="162"/>
        <v/>
      </c>
      <c r="CA103" s="108" t="str">
        <f t="shared" si="162"/>
        <v/>
      </c>
      <c r="CB103" s="108" t="str">
        <f t="shared" si="162"/>
        <v/>
      </c>
      <c r="CC103" s="108" t="str">
        <f t="shared" si="163"/>
        <v/>
      </c>
      <c r="CD103" s="108" t="str">
        <f t="shared" si="163"/>
        <v/>
      </c>
      <c r="CE103" s="108" t="str">
        <f t="shared" si="163"/>
        <v/>
      </c>
      <c r="CF103" s="108" t="str">
        <f t="shared" si="163"/>
        <v/>
      </c>
      <c r="CG103" s="108" t="str">
        <f t="shared" si="163"/>
        <v/>
      </c>
      <c r="CH103" s="108" t="str">
        <f t="shared" si="163"/>
        <v/>
      </c>
      <c r="CI103" s="108" t="str">
        <f t="shared" si="163"/>
        <v/>
      </c>
      <c r="CJ103" s="108" t="str">
        <f t="shared" si="163"/>
        <v/>
      </c>
      <c r="CK103" s="108" t="str">
        <f t="shared" si="163"/>
        <v/>
      </c>
      <c r="CL103" s="108" t="str">
        <f t="shared" si="163"/>
        <v/>
      </c>
      <c r="CM103" s="108" t="str">
        <f t="shared" si="164"/>
        <v/>
      </c>
      <c r="CN103" s="108" t="str">
        <f t="shared" si="164"/>
        <v/>
      </c>
      <c r="CO103" s="108" t="str">
        <f t="shared" si="164"/>
        <v/>
      </c>
      <c r="CP103" s="108" t="str">
        <f t="shared" si="164"/>
        <v/>
      </c>
      <c r="CQ103" s="108" t="str">
        <f t="shared" si="164"/>
        <v/>
      </c>
      <c r="CR103" s="109" t="str">
        <f t="shared" si="164"/>
        <v/>
      </c>
      <c r="CS103" s="108" t="str">
        <f t="shared" si="164"/>
        <v/>
      </c>
      <c r="CT103" s="108" t="str">
        <f t="shared" si="164"/>
        <v/>
      </c>
      <c r="CU103" s="108" t="str">
        <f t="shared" si="164"/>
        <v/>
      </c>
      <c r="CV103" s="108" t="str">
        <f t="shared" si="164"/>
        <v/>
      </c>
      <c r="CW103" s="108" t="str">
        <f t="shared" si="165"/>
        <v/>
      </c>
      <c r="CX103" s="108" t="str">
        <f t="shared" si="165"/>
        <v/>
      </c>
      <c r="CY103" s="108" t="str">
        <f t="shared" si="165"/>
        <v/>
      </c>
      <c r="CZ103" s="109" t="str">
        <f t="shared" si="165"/>
        <v/>
      </c>
      <c r="DA103" s="108" t="str">
        <f t="shared" si="165"/>
        <v/>
      </c>
      <c r="DB103" s="108" t="str">
        <f t="shared" si="165"/>
        <v/>
      </c>
      <c r="DC103" s="108" t="str">
        <f t="shared" si="165"/>
        <v/>
      </c>
      <c r="DD103" s="108" t="str">
        <f t="shared" si="165"/>
        <v/>
      </c>
      <c r="DE103" s="108" t="str">
        <f t="shared" si="165"/>
        <v/>
      </c>
      <c r="DF103" s="108" t="str">
        <f t="shared" si="165"/>
        <v/>
      </c>
      <c r="DG103" s="108" t="str">
        <f t="shared" si="166"/>
        <v/>
      </c>
      <c r="DH103" s="109" t="str">
        <f t="shared" si="166"/>
        <v/>
      </c>
      <c r="DI103" s="108" t="str">
        <f t="shared" si="166"/>
        <v/>
      </c>
      <c r="DJ103" s="108" t="str">
        <f t="shared" si="166"/>
        <v/>
      </c>
      <c r="DK103" s="108" t="str">
        <f t="shared" si="166"/>
        <v/>
      </c>
      <c r="DL103" s="108" t="str">
        <f t="shared" si="166"/>
        <v/>
      </c>
      <c r="DM103" s="108" t="str">
        <f t="shared" si="166"/>
        <v/>
      </c>
      <c r="DN103" s="108" t="str">
        <f t="shared" si="166"/>
        <v/>
      </c>
      <c r="DO103" s="109" t="str">
        <f t="shared" si="166"/>
        <v/>
      </c>
      <c r="DP103" s="108" t="str">
        <f t="shared" si="166"/>
        <v/>
      </c>
      <c r="DQ103" s="108" t="str">
        <f t="shared" si="167"/>
        <v/>
      </c>
      <c r="DR103" s="108" t="str">
        <f t="shared" si="167"/>
        <v/>
      </c>
      <c r="DS103" s="108" t="str">
        <f t="shared" si="167"/>
        <v/>
      </c>
      <c r="DT103" s="108" t="str">
        <f t="shared" si="167"/>
        <v/>
      </c>
      <c r="DU103" s="108" t="str">
        <f t="shared" si="167"/>
        <v/>
      </c>
      <c r="DV103" s="108" t="str">
        <f t="shared" si="167"/>
        <v/>
      </c>
      <c r="DW103" s="109" t="str">
        <f t="shared" si="167"/>
        <v/>
      </c>
      <c r="DX103" s="108" t="str">
        <f t="shared" si="167"/>
        <v/>
      </c>
      <c r="DY103" s="108" t="str">
        <f t="shared" si="167"/>
        <v/>
      </c>
      <c r="DZ103" s="108" t="str">
        <f t="shared" si="167"/>
        <v/>
      </c>
      <c r="EA103" s="108" t="str">
        <f t="shared" si="168"/>
        <v/>
      </c>
      <c r="EB103" s="108" t="str">
        <f t="shared" si="168"/>
        <v/>
      </c>
      <c r="EC103" s="108" t="str">
        <f t="shared" si="168"/>
        <v/>
      </c>
      <c r="ED103" s="109" t="str">
        <f t="shared" si="168"/>
        <v/>
      </c>
      <c r="EE103" s="108" t="str">
        <f t="shared" si="168"/>
        <v/>
      </c>
      <c r="EF103" s="108" t="str">
        <f t="shared" si="168"/>
        <v/>
      </c>
      <c r="EG103" s="108" t="str">
        <f t="shared" si="168"/>
        <v/>
      </c>
      <c r="EH103" s="108" t="str">
        <f t="shared" si="168"/>
        <v/>
      </c>
      <c r="EI103" s="108" t="str">
        <f t="shared" si="168"/>
        <v/>
      </c>
      <c r="EJ103" s="108" t="str">
        <f t="shared" si="168"/>
        <v/>
      </c>
      <c r="EK103" s="108" t="str">
        <f t="shared" si="169"/>
        <v/>
      </c>
      <c r="EL103" s="108" t="str">
        <f t="shared" si="169"/>
        <v/>
      </c>
      <c r="EM103" s="108" t="str">
        <f t="shared" si="169"/>
        <v/>
      </c>
      <c r="EN103" s="108" t="str">
        <f t="shared" si="169"/>
        <v/>
      </c>
      <c r="EO103" s="108" t="str">
        <f t="shared" si="169"/>
        <v/>
      </c>
      <c r="EP103" s="108" t="str">
        <f t="shared" si="169"/>
        <v/>
      </c>
      <c r="EQ103" s="108" t="str">
        <f t="shared" si="169"/>
        <v/>
      </c>
      <c r="ER103" s="108" t="str">
        <f t="shared" si="169"/>
        <v/>
      </c>
      <c r="ES103" s="109" t="str">
        <f t="shared" si="169"/>
        <v/>
      </c>
      <c r="ET103" s="108" t="str">
        <f t="shared" si="169"/>
        <v/>
      </c>
      <c r="EU103" s="108" t="str">
        <f t="shared" si="170"/>
        <v/>
      </c>
      <c r="EV103" s="108" t="str">
        <f t="shared" si="170"/>
        <v/>
      </c>
      <c r="EW103" s="108" t="str">
        <f t="shared" si="170"/>
        <v/>
      </c>
      <c r="EX103" s="108" t="str">
        <f t="shared" si="170"/>
        <v/>
      </c>
      <c r="EY103" s="108" t="str">
        <f t="shared" si="170"/>
        <v/>
      </c>
      <c r="EZ103" s="108" t="str">
        <f t="shared" si="170"/>
        <v/>
      </c>
      <c r="FA103" s="108" t="str">
        <f t="shared" si="170"/>
        <v/>
      </c>
      <c r="FB103" s="108" t="str">
        <f t="shared" si="170"/>
        <v/>
      </c>
      <c r="FC103" s="108" t="str">
        <f t="shared" si="170"/>
        <v/>
      </c>
      <c r="FD103" s="108" t="str">
        <f t="shared" si="170"/>
        <v/>
      </c>
      <c r="FE103" s="108" t="str">
        <f t="shared" si="171"/>
        <v/>
      </c>
      <c r="FF103" s="109" t="str">
        <f t="shared" si="171"/>
        <v/>
      </c>
      <c r="FG103" s="108" t="str">
        <f t="shared" si="171"/>
        <v/>
      </c>
      <c r="FH103" s="108" t="str">
        <f t="shared" si="171"/>
        <v/>
      </c>
      <c r="FI103" s="108" t="str">
        <f t="shared" si="171"/>
        <v/>
      </c>
      <c r="FJ103" s="108" t="str">
        <f t="shared" si="171"/>
        <v/>
      </c>
      <c r="FK103" s="108" t="str">
        <f t="shared" si="171"/>
        <v/>
      </c>
      <c r="FL103" s="108" t="str">
        <f t="shared" si="171"/>
        <v/>
      </c>
      <c r="FM103" s="108" t="str">
        <f t="shared" si="171"/>
        <v/>
      </c>
      <c r="FN103" s="108" t="str">
        <f t="shared" si="171"/>
        <v/>
      </c>
      <c r="FO103" s="108" t="str">
        <f t="shared" si="172"/>
        <v/>
      </c>
      <c r="FP103" s="108" t="str">
        <f t="shared" si="172"/>
        <v/>
      </c>
      <c r="FQ103" s="108" t="str">
        <f t="shared" si="172"/>
        <v/>
      </c>
      <c r="FR103" s="108" t="str">
        <f t="shared" si="172"/>
        <v/>
      </c>
      <c r="FS103" s="108" t="str">
        <f t="shared" si="172"/>
        <v/>
      </c>
      <c r="FT103" s="108" t="str">
        <f t="shared" si="172"/>
        <v/>
      </c>
      <c r="FU103" s="108" t="str">
        <f t="shared" si="172"/>
        <v/>
      </c>
      <c r="FV103" s="108" t="str">
        <f t="shared" si="172"/>
        <v/>
      </c>
      <c r="FW103" s="110" t="str">
        <f t="shared" si="172"/>
        <v/>
      </c>
    </row>
    <row r="104" spans="2:179" s="101" customFormat="1" ht="21" customHeight="1" x14ac:dyDescent="0.35">
      <c r="B104" s="27" t="e">
        <f>Portfolio_Daten!#REF!</f>
        <v>#REF!</v>
      </c>
      <c r="C104" s="27">
        <f>Portfolio_Daten!B105</f>
        <v>0</v>
      </c>
      <c r="D104" s="28">
        <f>Portfolio_Daten!E105</f>
        <v>0</v>
      </c>
      <c r="E104" s="31">
        <f>Portfolio_Daten!T105</f>
        <v>0</v>
      </c>
      <c r="F104" s="31">
        <f>Portfolio_Daten!U105</f>
        <v>0</v>
      </c>
      <c r="G104" s="107">
        <f>IF(F104="","",NETWORKDAYS(E104,F104,Parameter!$C$4:$C$51))</f>
        <v>0</v>
      </c>
      <c r="H104" s="29">
        <f>Portfolio_Daten!AG105</f>
        <v>0</v>
      </c>
      <c r="I104" s="33">
        <f>Portfolio_Daten!AI105</f>
        <v>0</v>
      </c>
      <c r="J104" s="106"/>
      <c r="K104" s="108" t="str">
        <f t="shared" si="156"/>
        <v/>
      </c>
      <c r="L104" s="108" t="str">
        <f t="shared" si="156"/>
        <v/>
      </c>
      <c r="M104" s="108" t="str">
        <f t="shared" si="156"/>
        <v/>
      </c>
      <c r="N104" s="108" t="str">
        <f t="shared" si="156"/>
        <v/>
      </c>
      <c r="O104" s="108" t="str">
        <f t="shared" si="156"/>
        <v/>
      </c>
      <c r="P104" s="108" t="str">
        <f t="shared" si="156"/>
        <v/>
      </c>
      <c r="Q104" s="108" t="str">
        <f t="shared" si="156"/>
        <v/>
      </c>
      <c r="R104" s="108" t="str">
        <f t="shared" si="156"/>
        <v/>
      </c>
      <c r="S104" s="108" t="str">
        <f t="shared" si="156"/>
        <v/>
      </c>
      <c r="T104" s="108" t="str">
        <f t="shared" si="156"/>
        <v/>
      </c>
      <c r="U104" s="108" t="str">
        <f t="shared" si="157"/>
        <v/>
      </c>
      <c r="V104" s="108" t="str">
        <f t="shared" si="157"/>
        <v/>
      </c>
      <c r="W104" s="108" t="str">
        <f t="shared" si="157"/>
        <v/>
      </c>
      <c r="X104" s="108" t="str">
        <f t="shared" si="157"/>
        <v/>
      </c>
      <c r="Y104" s="108" t="str">
        <f t="shared" si="157"/>
        <v/>
      </c>
      <c r="Z104" s="108" t="str">
        <f t="shared" si="157"/>
        <v/>
      </c>
      <c r="AA104" s="108" t="str">
        <f t="shared" si="157"/>
        <v/>
      </c>
      <c r="AB104" s="108" t="str">
        <f t="shared" si="157"/>
        <v/>
      </c>
      <c r="AC104" s="108" t="str">
        <f t="shared" si="157"/>
        <v/>
      </c>
      <c r="AD104" s="108" t="str">
        <f t="shared" si="157"/>
        <v/>
      </c>
      <c r="AE104" s="108" t="str">
        <f t="shared" si="158"/>
        <v/>
      </c>
      <c r="AF104" s="108" t="str">
        <f t="shared" si="158"/>
        <v/>
      </c>
      <c r="AG104" s="108" t="str">
        <f t="shared" si="158"/>
        <v/>
      </c>
      <c r="AH104" s="108" t="str">
        <f t="shared" si="158"/>
        <v/>
      </c>
      <c r="AI104" s="108" t="str">
        <f t="shared" si="158"/>
        <v/>
      </c>
      <c r="AJ104" s="108" t="str">
        <f t="shared" si="158"/>
        <v/>
      </c>
      <c r="AK104" s="108" t="str">
        <f t="shared" si="158"/>
        <v/>
      </c>
      <c r="AL104" s="108" t="str">
        <f t="shared" si="158"/>
        <v/>
      </c>
      <c r="AM104" s="108" t="str">
        <f t="shared" si="158"/>
        <v/>
      </c>
      <c r="AN104" s="108" t="str">
        <f t="shared" si="158"/>
        <v/>
      </c>
      <c r="AO104" s="108" t="str">
        <f t="shared" si="159"/>
        <v/>
      </c>
      <c r="AP104" s="108" t="str">
        <f t="shared" si="159"/>
        <v/>
      </c>
      <c r="AQ104" s="108" t="str">
        <f t="shared" si="159"/>
        <v/>
      </c>
      <c r="AR104" s="108" t="str">
        <f t="shared" si="159"/>
        <v/>
      </c>
      <c r="AS104" s="108" t="str">
        <f t="shared" si="159"/>
        <v/>
      </c>
      <c r="AT104" s="108" t="str">
        <f t="shared" si="159"/>
        <v/>
      </c>
      <c r="AU104" s="108" t="str">
        <f t="shared" si="159"/>
        <v/>
      </c>
      <c r="AV104" s="108" t="str">
        <f t="shared" si="159"/>
        <v/>
      </c>
      <c r="AW104" s="108" t="str">
        <f t="shared" si="159"/>
        <v/>
      </c>
      <c r="AX104" s="108" t="str">
        <f t="shared" si="159"/>
        <v/>
      </c>
      <c r="AY104" s="108" t="str">
        <f t="shared" si="160"/>
        <v/>
      </c>
      <c r="AZ104" s="108" t="str">
        <f t="shared" si="160"/>
        <v/>
      </c>
      <c r="BA104" s="108" t="str">
        <f t="shared" si="160"/>
        <v/>
      </c>
      <c r="BB104" s="108" t="str">
        <f t="shared" si="160"/>
        <v/>
      </c>
      <c r="BC104" s="108" t="str">
        <f t="shared" si="160"/>
        <v/>
      </c>
      <c r="BD104" s="108" t="str">
        <f t="shared" si="160"/>
        <v/>
      </c>
      <c r="BE104" s="108" t="str">
        <f t="shared" si="160"/>
        <v/>
      </c>
      <c r="BF104" s="108" t="str">
        <f t="shared" si="160"/>
        <v/>
      </c>
      <c r="BG104" s="108" t="str">
        <f t="shared" si="160"/>
        <v/>
      </c>
      <c r="BH104" s="108" t="str">
        <f t="shared" si="160"/>
        <v/>
      </c>
      <c r="BI104" s="108" t="str">
        <f t="shared" si="161"/>
        <v/>
      </c>
      <c r="BJ104" s="108" t="str">
        <f t="shared" si="161"/>
        <v/>
      </c>
      <c r="BK104" s="108" t="str">
        <f t="shared" si="161"/>
        <v/>
      </c>
      <c r="BL104" s="108" t="str">
        <f t="shared" si="161"/>
        <v/>
      </c>
      <c r="BM104" s="108" t="str">
        <f t="shared" si="161"/>
        <v/>
      </c>
      <c r="BN104" s="108" t="str">
        <f t="shared" si="161"/>
        <v/>
      </c>
      <c r="BO104" s="108" t="str">
        <f t="shared" si="161"/>
        <v/>
      </c>
      <c r="BP104" s="108" t="str">
        <f t="shared" si="161"/>
        <v/>
      </c>
      <c r="BQ104" s="108" t="str">
        <f t="shared" si="161"/>
        <v/>
      </c>
      <c r="BR104" s="108" t="str">
        <f t="shared" si="161"/>
        <v/>
      </c>
      <c r="BS104" s="108" t="str">
        <f t="shared" si="162"/>
        <v/>
      </c>
      <c r="BT104" s="108" t="str">
        <f t="shared" si="162"/>
        <v/>
      </c>
      <c r="BU104" s="108" t="str">
        <f t="shared" si="162"/>
        <v/>
      </c>
      <c r="BV104" s="108" t="str">
        <f t="shared" si="162"/>
        <v/>
      </c>
      <c r="BW104" s="108" t="str">
        <f t="shared" si="162"/>
        <v/>
      </c>
      <c r="BX104" s="108" t="str">
        <f t="shared" si="162"/>
        <v/>
      </c>
      <c r="BY104" s="108" t="str">
        <f t="shared" si="162"/>
        <v/>
      </c>
      <c r="BZ104" s="108" t="str">
        <f t="shared" si="162"/>
        <v/>
      </c>
      <c r="CA104" s="108" t="str">
        <f t="shared" si="162"/>
        <v/>
      </c>
      <c r="CB104" s="108" t="str">
        <f t="shared" si="162"/>
        <v/>
      </c>
      <c r="CC104" s="108" t="str">
        <f t="shared" si="163"/>
        <v/>
      </c>
      <c r="CD104" s="108" t="str">
        <f t="shared" si="163"/>
        <v/>
      </c>
      <c r="CE104" s="108" t="str">
        <f t="shared" si="163"/>
        <v/>
      </c>
      <c r="CF104" s="108" t="str">
        <f t="shared" si="163"/>
        <v/>
      </c>
      <c r="CG104" s="108" t="str">
        <f t="shared" si="163"/>
        <v/>
      </c>
      <c r="CH104" s="108" t="str">
        <f t="shared" si="163"/>
        <v/>
      </c>
      <c r="CI104" s="108" t="str">
        <f t="shared" si="163"/>
        <v/>
      </c>
      <c r="CJ104" s="108" t="str">
        <f t="shared" si="163"/>
        <v/>
      </c>
      <c r="CK104" s="108" t="str">
        <f t="shared" si="163"/>
        <v/>
      </c>
      <c r="CL104" s="108" t="str">
        <f t="shared" si="163"/>
        <v/>
      </c>
      <c r="CM104" s="108" t="str">
        <f t="shared" si="164"/>
        <v/>
      </c>
      <c r="CN104" s="108" t="str">
        <f t="shared" si="164"/>
        <v/>
      </c>
      <c r="CO104" s="108" t="str">
        <f t="shared" si="164"/>
        <v/>
      </c>
      <c r="CP104" s="108" t="str">
        <f t="shared" si="164"/>
        <v/>
      </c>
      <c r="CQ104" s="108" t="str">
        <f t="shared" si="164"/>
        <v/>
      </c>
      <c r="CR104" s="109" t="str">
        <f t="shared" si="164"/>
        <v/>
      </c>
      <c r="CS104" s="108" t="str">
        <f t="shared" si="164"/>
        <v/>
      </c>
      <c r="CT104" s="108" t="str">
        <f t="shared" si="164"/>
        <v/>
      </c>
      <c r="CU104" s="108" t="str">
        <f t="shared" si="164"/>
        <v/>
      </c>
      <c r="CV104" s="108" t="str">
        <f t="shared" si="164"/>
        <v/>
      </c>
      <c r="CW104" s="108" t="str">
        <f t="shared" si="165"/>
        <v/>
      </c>
      <c r="CX104" s="108" t="str">
        <f t="shared" si="165"/>
        <v/>
      </c>
      <c r="CY104" s="108" t="str">
        <f t="shared" si="165"/>
        <v/>
      </c>
      <c r="CZ104" s="109" t="str">
        <f t="shared" si="165"/>
        <v/>
      </c>
      <c r="DA104" s="108" t="str">
        <f t="shared" si="165"/>
        <v/>
      </c>
      <c r="DB104" s="108" t="str">
        <f t="shared" si="165"/>
        <v/>
      </c>
      <c r="DC104" s="108" t="str">
        <f t="shared" si="165"/>
        <v/>
      </c>
      <c r="DD104" s="108" t="str">
        <f t="shared" si="165"/>
        <v/>
      </c>
      <c r="DE104" s="108" t="str">
        <f t="shared" si="165"/>
        <v/>
      </c>
      <c r="DF104" s="108" t="str">
        <f t="shared" si="165"/>
        <v/>
      </c>
      <c r="DG104" s="108" t="str">
        <f t="shared" si="166"/>
        <v/>
      </c>
      <c r="DH104" s="109" t="str">
        <f t="shared" si="166"/>
        <v/>
      </c>
      <c r="DI104" s="108" t="str">
        <f t="shared" si="166"/>
        <v/>
      </c>
      <c r="DJ104" s="108" t="str">
        <f t="shared" si="166"/>
        <v/>
      </c>
      <c r="DK104" s="108" t="str">
        <f t="shared" si="166"/>
        <v/>
      </c>
      <c r="DL104" s="108" t="str">
        <f t="shared" si="166"/>
        <v/>
      </c>
      <c r="DM104" s="108" t="str">
        <f t="shared" si="166"/>
        <v/>
      </c>
      <c r="DN104" s="108" t="str">
        <f t="shared" si="166"/>
        <v/>
      </c>
      <c r="DO104" s="109" t="str">
        <f t="shared" si="166"/>
        <v/>
      </c>
      <c r="DP104" s="108" t="str">
        <f t="shared" si="166"/>
        <v/>
      </c>
      <c r="DQ104" s="108" t="str">
        <f t="shared" si="167"/>
        <v/>
      </c>
      <c r="DR104" s="108" t="str">
        <f t="shared" si="167"/>
        <v/>
      </c>
      <c r="DS104" s="108" t="str">
        <f t="shared" si="167"/>
        <v/>
      </c>
      <c r="DT104" s="108" t="str">
        <f t="shared" si="167"/>
        <v/>
      </c>
      <c r="DU104" s="108" t="str">
        <f t="shared" si="167"/>
        <v/>
      </c>
      <c r="DV104" s="108" t="str">
        <f t="shared" si="167"/>
        <v/>
      </c>
      <c r="DW104" s="109" t="str">
        <f t="shared" si="167"/>
        <v/>
      </c>
      <c r="DX104" s="108" t="str">
        <f t="shared" si="167"/>
        <v/>
      </c>
      <c r="DY104" s="108" t="str">
        <f t="shared" si="167"/>
        <v/>
      </c>
      <c r="DZ104" s="108" t="str">
        <f t="shared" si="167"/>
        <v/>
      </c>
      <c r="EA104" s="108" t="str">
        <f t="shared" si="168"/>
        <v/>
      </c>
      <c r="EB104" s="108" t="str">
        <f t="shared" si="168"/>
        <v/>
      </c>
      <c r="EC104" s="108" t="str">
        <f t="shared" si="168"/>
        <v/>
      </c>
      <c r="ED104" s="109" t="str">
        <f t="shared" si="168"/>
        <v/>
      </c>
      <c r="EE104" s="108" t="str">
        <f t="shared" si="168"/>
        <v/>
      </c>
      <c r="EF104" s="108" t="str">
        <f t="shared" si="168"/>
        <v/>
      </c>
      <c r="EG104" s="108" t="str">
        <f t="shared" si="168"/>
        <v/>
      </c>
      <c r="EH104" s="108" t="str">
        <f t="shared" si="168"/>
        <v/>
      </c>
      <c r="EI104" s="108" t="str">
        <f t="shared" si="168"/>
        <v/>
      </c>
      <c r="EJ104" s="108" t="str">
        <f t="shared" si="168"/>
        <v/>
      </c>
      <c r="EK104" s="108" t="str">
        <f t="shared" si="169"/>
        <v/>
      </c>
      <c r="EL104" s="108" t="str">
        <f t="shared" si="169"/>
        <v/>
      </c>
      <c r="EM104" s="108" t="str">
        <f t="shared" si="169"/>
        <v/>
      </c>
      <c r="EN104" s="108" t="str">
        <f t="shared" si="169"/>
        <v/>
      </c>
      <c r="EO104" s="108" t="str">
        <f t="shared" si="169"/>
        <v/>
      </c>
      <c r="EP104" s="108" t="str">
        <f t="shared" si="169"/>
        <v/>
      </c>
      <c r="EQ104" s="108" t="str">
        <f t="shared" si="169"/>
        <v/>
      </c>
      <c r="ER104" s="108" t="str">
        <f t="shared" si="169"/>
        <v/>
      </c>
      <c r="ES104" s="109" t="str">
        <f t="shared" si="169"/>
        <v/>
      </c>
      <c r="ET104" s="108" t="str">
        <f t="shared" si="169"/>
        <v/>
      </c>
      <c r="EU104" s="108" t="str">
        <f t="shared" si="170"/>
        <v/>
      </c>
      <c r="EV104" s="108" t="str">
        <f t="shared" si="170"/>
        <v/>
      </c>
      <c r="EW104" s="108" t="str">
        <f t="shared" si="170"/>
        <v/>
      </c>
      <c r="EX104" s="108" t="str">
        <f t="shared" si="170"/>
        <v/>
      </c>
      <c r="EY104" s="108" t="str">
        <f t="shared" si="170"/>
        <v/>
      </c>
      <c r="EZ104" s="108" t="str">
        <f t="shared" si="170"/>
        <v/>
      </c>
      <c r="FA104" s="108" t="str">
        <f t="shared" si="170"/>
        <v/>
      </c>
      <c r="FB104" s="108" t="str">
        <f t="shared" si="170"/>
        <v/>
      </c>
      <c r="FC104" s="108" t="str">
        <f t="shared" si="170"/>
        <v/>
      </c>
      <c r="FD104" s="108" t="str">
        <f t="shared" si="170"/>
        <v/>
      </c>
      <c r="FE104" s="108" t="str">
        <f t="shared" si="171"/>
        <v/>
      </c>
      <c r="FF104" s="109" t="str">
        <f t="shared" si="171"/>
        <v/>
      </c>
      <c r="FG104" s="108" t="str">
        <f t="shared" si="171"/>
        <v/>
      </c>
      <c r="FH104" s="108" t="str">
        <f t="shared" si="171"/>
        <v/>
      </c>
      <c r="FI104" s="108" t="str">
        <f t="shared" si="171"/>
        <v/>
      </c>
      <c r="FJ104" s="108" t="str">
        <f t="shared" si="171"/>
        <v/>
      </c>
      <c r="FK104" s="108" t="str">
        <f t="shared" si="171"/>
        <v/>
      </c>
      <c r="FL104" s="108" t="str">
        <f t="shared" si="171"/>
        <v/>
      </c>
      <c r="FM104" s="108" t="str">
        <f t="shared" si="171"/>
        <v/>
      </c>
      <c r="FN104" s="108" t="str">
        <f t="shared" si="171"/>
        <v/>
      </c>
      <c r="FO104" s="108" t="str">
        <f t="shared" si="172"/>
        <v/>
      </c>
      <c r="FP104" s="108" t="str">
        <f t="shared" si="172"/>
        <v/>
      </c>
      <c r="FQ104" s="108" t="str">
        <f t="shared" si="172"/>
        <v/>
      </c>
      <c r="FR104" s="108" t="str">
        <f t="shared" si="172"/>
        <v/>
      </c>
      <c r="FS104" s="108" t="str">
        <f t="shared" si="172"/>
        <v/>
      </c>
      <c r="FT104" s="108" t="str">
        <f t="shared" si="172"/>
        <v/>
      </c>
      <c r="FU104" s="108" t="str">
        <f t="shared" si="172"/>
        <v/>
      </c>
      <c r="FV104" s="108" t="str">
        <f t="shared" si="172"/>
        <v/>
      </c>
      <c r="FW104" s="110" t="str">
        <f t="shared" si="172"/>
        <v/>
      </c>
    </row>
    <row r="105" spans="2:179" s="101" customFormat="1" ht="21" customHeight="1" x14ac:dyDescent="0.35">
      <c r="B105" s="27" t="e">
        <f>Portfolio_Daten!#REF!</f>
        <v>#REF!</v>
      </c>
      <c r="C105" s="27">
        <f>Portfolio_Daten!B106</f>
        <v>0</v>
      </c>
      <c r="D105" s="28">
        <f>Portfolio_Daten!E107</f>
        <v>0</v>
      </c>
      <c r="E105" s="31">
        <f>Portfolio_Daten!T107</f>
        <v>0</v>
      </c>
      <c r="F105" s="31">
        <f>Portfolio_Daten!U107</f>
        <v>0</v>
      </c>
      <c r="G105" s="107">
        <f>IF(F105="","",NETWORKDAYS(E105,F105,Parameter!$C$4:$C$51))</f>
        <v>0</v>
      </c>
      <c r="H105" s="29">
        <f>Portfolio_Daten!AG107</f>
        <v>0</v>
      </c>
      <c r="I105" s="33">
        <f>Portfolio_Daten!AI107</f>
        <v>0</v>
      </c>
      <c r="J105" s="106"/>
      <c r="K105" s="108" t="str">
        <f t="shared" si="156"/>
        <v/>
      </c>
      <c r="L105" s="108" t="str">
        <f t="shared" si="156"/>
        <v/>
      </c>
      <c r="M105" s="108" t="str">
        <f t="shared" si="156"/>
        <v/>
      </c>
      <c r="N105" s="108" t="str">
        <f t="shared" si="156"/>
        <v/>
      </c>
      <c r="O105" s="108" t="str">
        <f t="shared" si="156"/>
        <v/>
      </c>
      <c r="P105" s="108" t="str">
        <f t="shared" si="156"/>
        <v/>
      </c>
      <c r="Q105" s="108" t="str">
        <f t="shared" si="156"/>
        <v/>
      </c>
      <c r="R105" s="108" t="str">
        <f t="shared" si="156"/>
        <v/>
      </c>
      <c r="S105" s="108" t="str">
        <f t="shared" si="156"/>
        <v/>
      </c>
      <c r="T105" s="108" t="str">
        <f t="shared" si="156"/>
        <v/>
      </c>
      <c r="U105" s="108" t="str">
        <f t="shared" si="157"/>
        <v/>
      </c>
      <c r="V105" s="108" t="str">
        <f t="shared" si="157"/>
        <v/>
      </c>
      <c r="W105" s="108" t="str">
        <f t="shared" si="157"/>
        <v/>
      </c>
      <c r="X105" s="108" t="str">
        <f t="shared" si="157"/>
        <v/>
      </c>
      <c r="Y105" s="108" t="str">
        <f t="shared" si="157"/>
        <v/>
      </c>
      <c r="Z105" s="108" t="str">
        <f t="shared" si="157"/>
        <v/>
      </c>
      <c r="AA105" s="108" t="str">
        <f t="shared" si="157"/>
        <v/>
      </c>
      <c r="AB105" s="108" t="str">
        <f t="shared" si="157"/>
        <v/>
      </c>
      <c r="AC105" s="108" t="str">
        <f t="shared" si="157"/>
        <v/>
      </c>
      <c r="AD105" s="108" t="str">
        <f t="shared" si="157"/>
        <v/>
      </c>
      <c r="AE105" s="108" t="str">
        <f t="shared" si="158"/>
        <v/>
      </c>
      <c r="AF105" s="108" t="str">
        <f t="shared" si="158"/>
        <v/>
      </c>
      <c r="AG105" s="108" t="str">
        <f t="shared" si="158"/>
        <v/>
      </c>
      <c r="AH105" s="108" t="str">
        <f t="shared" si="158"/>
        <v/>
      </c>
      <c r="AI105" s="108" t="str">
        <f t="shared" si="158"/>
        <v/>
      </c>
      <c r="AJ105" s="108" t="str">
        <f t="shared" si="158"/>
        <v/>
      </c>
      <c r="AK105" s="108" t="str">
        <f t="shared" si="158"/>
        <v/>
      </c>
      <c r="AL105" s="108" t="str">
        <f t="shared" si="158"/>
        <v/>
      </c>
      <c r="AM105" s="108" t="str">
        <f t="shared" si="158"/>
        <v/>
      </c>
      <c r="AN105" s="108" t="str">
        <f t="shared" si="158"/>
        <v/>
      </c>
      <c r="AO105" s="108" t="str">
        <f t="shared" si="159"/>
        <v/>
      </c>
      <c r="AP105" s="108" t="str">
        <f t="shared" si="159"/>
        <v/>
      </c>
      <c r="AQ105" s="108" t="str">
        <f t="shared" si="159"/>
        <v/>
      </c>
      <c r="AR105" s="108" t="str">
        <f t="shared" si="159"/>
        <v/>
      </c>
      <c r="AS105" s="108" t="str">
        <f t="shared" si="159"/>
        <v/>
      </c>
      <c r="AT105" s="108" t="str">
        <f t="shared" si="159"/>
        <v/>
      </c>
      <c r="AU105" s="108" t="str">
        <f t="shared" si="159"/>
        <v/>
      </c>
      <c r="AV105" s="108" t="str">
        <f t="shared" si="159"/>
        <v/>
      </c>
      <c r="AW105" s="108" t="str">
        <f t="shared" si="159"/>
        <v/>
      </c>
      <c r="AX105" s="108" t="str">
        <f t="shared" si="159"/>
        <v/>
      </c>
      <c r="AY105" s="108" t="str">
        <f t="shared" si="160"/>
        <v/>
      </c>
      <c r="AZ105" s="108" t="str">
        <f t="shared" si="160"/>
        <v/>
      </c>
      <c r="BA105" s="108" t="str">
        <f t="shared" si="160"/>
        <v/>
      </c>
      <c r="BB105" s="108" t="str">
        <f t="shared" si="160"/>
        <v/>
      </c>
      <c r="BC105" s="108" t="str">
        <f t="shared" si="160"/>
        <v/>
      </c>
      <c r="BD105" s="108" t="str">
        <f t="shared" si="160"/>
        <v/>
      </c>
      <c r="BE105" s="108" t="str">
        <f t="shared" si="160"/>
        <v/>
      </c>
      <c r="BF105" s="108" t="str">
        <f t="shared" si="160"/>
        <v/>
      </c>
      <c r="BG105" s="108" t="str">
        <f t="shared" si="160"/>
        <v/>
      </c>
      <c r="BH105" s="108" t="str">
        <f t="shared" si="160"/>
        <v/>
      </c>
      <c r="BI105" s="108" t="str">
        <f t="shared" si="161"/>
        <v/>
      </c>
      <c r="BJ105" s="108" t="str">
        <f t="shared" si="161"/>
        <v/>
      </c>
      <c r="BK105" s="108" t="str">
        <f t="shared" si="161"/>
        <v/>
      </c>
      <c r="BL105" s="108" t="str">
        <f t="shared" si="161"/>
        <v/>
      </c>
      <c r="BM105" s="108" t="str">
        <f t="shared" si="161"/>
        <v/>
      </c>
      <c r="BN105" s="108" t="str">
        <f t="shared" si="161"/>
        <v/>
      </c>
      <c r="BO105" s="108" t="str">
        <f t="shared" si="161"/>
        <v/>
      </c>
      <c r="BP105" s="108" t="str">
        <f t="shared" si="161"/>
        <v/>
      </c>
      <c r="BQ105" s="108" t="str">
        <f t="shared" si="161"/>
        <v/>
      </c>
      <c r="BR105" s="108" t="str">
        <f t="shared" si="161"/>
        <v/>
      </c>
      <c r="BS105" s="108" t="str">
        <f t="shared" si="162"/>
        <v/>
      </c>
      <c r="BT105" s="108" t="str">
        <f t="shared" si="162"/>
        <v/>
      </c>
      <c r="BU105" s="108" t="str">
        <f t="shared" si="162"/>
        <v/>
      </c>
      <c r="BV105" s="108" t="str">
        <f t="shared" si="162"/>
        <v/>
      </c>
      <c r="BW105" s="108" t="str">
        <f t="shared" si="162"/>
        <v/>
      </c>
      <c r="BX105" s="108" t="str">
        <f t="shared" si="162"/>
        <v/>
      </c>
      <c r="BY105" s="108" t="str">
        <f t="shared" si="162"/>
        <v/>
      </c>
      <c r="BZ105" s="108" t="str">
        <f t="shared" si="162"/>
        <v/>
      </c>
      <c r="CA105" s="108" t="str">
        <f t="shared" si="162"/>
        <v/>
      </c>
      <c r="CB105" s="108" t="str">
        <f t="shared" si="162"/>
        <v/>
      </c>
      <c r="CC105" s="108" t="str">
        <f t="shared" si="163"/>
        <v/>
      </c>
      <c r="CD105" s="108" t="str">
        <f t="shared" si="163"/>
        <v/>
      </c>
      <c r="CE105" s="108" t="str">
        <f t="shared" si="163"/>
        <v/>
      </c>
      <c r="CF105" s="108" t="str">
        <f t="shared" si="163"/>
        <v/>
      </c>
      <c r="CG105" s="108" t="str">
        <f t="shared" si="163"/>
        <v/>
      </c>
      <c r="CH105" s="108" t="str">
        <f t="shared" si="163"/>
        <v/>
      </c>
      <c r="CI105" s="108" t="str">
        <f t="shared" si="163"/>
        <v/>
      </c>
      <c r="CJ105" s="108" t="str">
        <f t="shared" si="163"/>
        <v/>
      </c>
      <c r="CK105" s="108" t="str">
        <f t="shared" si="163"/>
        <v/>
      </c>
      <c r="CL105" s="108" t="str">
        <f t="shared" si="163"/>
        <v/>
      </c>
      <c r="CM105" s="108" t="str">
        <f t="shared" si="164"/>
        <v/>
      </c>
      <c r="CN105" s="108" t="str">
        <f t="shared" si="164"/>
        <v/>
      </c>
      <c r="CO105" s="108" t="str">
        <f t="shared" si="164"/>
        <v/>
      </c>
      <c r="CP105" s="108" t="str">
        <f t="shared" si="164"/>
        <v/>
      </c>
      <c r="CQ105" s="108" t="str">
        <f t="shared" si="164"/>
        <v/>
      </c>
      <c r="CR105" s="109" t="str">
        <f t="shared" si="164"/>
        <v/>
      </c>
      <c r="CS105" s="108" t="str">
        <f t="shared" si="164"/>
        <v/>
      </c>
      <c r="CT105" s="108" t="str">
        <f t="shared" si="164"/>
        <v/>
      </c>
      <c r="CU105" s="108" t="str">
        <f t="shared" si="164"/>
        <v/>
      </c>
      <c r="CV105" s="108" t="str">
        <f t="shared" si="164"/>
        <v/>
      </c>
      <c r="CW105" s="108" t="str">
        <f t="shared" si="165"/>
        <v/>
      </c>
      <c r="CX105" s="108" t="str">
        <f t="shared" si="165"/>
        <v/>
      </c>
      <c r="CY105" s="108" t="str">
        <f t="shared" si="165"/>
        <v/>
      </c>
      <c r="CZ105" s="109" t="str">
        <f t="shared" si="165"/>
        <v/>
      </c>
      <c r="DA105" s="108" t="str">
        <f t="shared" si="165"/>
        <v/>
      </c>
      <c r="DB105" s="108" t="str">
        <f t="shared" si="165"/>
        <v/>
      </c>
      <c r="DC105" s="108" t="str">
        <f t="shared" si="165"/>
        <v/>
      </c>
      <c r="DD105" s="108" t="str">
        <f t="shared" si="165"/>
        <v/>
      </c>
      <c r="DE105" s="108" t="str">
        <f t="shared" si="165"/>
        <v/>
      </c>
      <c r="DF105" s="108" t="str">
        <f t="shared" si="165"/>
        <v/>
      </c>
      <c r="DG105" s="108" t="str">
        <f t="shared" si="166"/>
        <v/>
      </c>
      <c r="DH105" s="109" t="str">
        <f t="shared" si="166"/>
        <v/>
      </c>
      <c r="DI105" s="108" t="str">
        <f t="shared" si="166"/>
        <v/>
      </c>
      <c r="DJ105" s="108" t="str">
        <f t="shared" si="166"/>
        <v/>
      </c>
      <c r="DK105" s="108" t="str">
        <f t="shared" si="166"/>
        <v/>
      </c>
      <c r="DL105" s="108" t="str">
        <f t="shared" si="166"/>
        <v/>
      </c>
      <c r="DM105" s="108" t="str">
        <f t="shared" si="166"/>
        <v/>
      </c>
      <c r="DN105" s="108" t="str">
        <f t="shared" si="166"/>
        <v/>
      </c>
      <c r="DO105" s="109" t="str">
        <f t="shared" si="166"/>
        <v/>
      </c>
      <c r="DP105" s="108" t="str">
        <f t="shared" si="166"/>
        <v/>
      </c>
      <c r="DQ105" s="108" t="str">
        <f t="shared" si="167"/>
        <v/>
      </c>
      <c r="DR105" s="108" t="str">
        <f t="shared" si="167"/>
        <v/>
      </c>
      <c r="DS105" s="108" t="str">
        <f t="shared" si="167"/>
        <v/>
      </c>
      <c r="DT105" s="108" t="str">
        <f t="shared" si="167"/>
        <v/>
      </c>
      <c r="DU105" s="108" t="str">
        <f t="shared" si="167"/>
        <v/>
      </c>
      <c r="DV105" s="108" t="str">
        <f t="shared" si="167"/>
        <v/>
      </c>
      <c r="DW105" s="109" t="str">
        <f t="shared" si="167"/>
        <v/>
      </c>
      <c r="DX105" s="108" t="str">
        <f t="shared" si="167"/>
        <v/>
      </c>
      <c r="DY105" s="108" t="str">
        <f t="shared" si="167"/>
        <v/>
      </c>
      <c r="DZ105" s="108" t="str">
        <f t="shared" si="167"/>
        <v/>
      </c>
      <c r="EA105" s="108" t="str">
        <f t="shared" si="168"/>
        <v/>
      </c>
      <c r="EB105" s="108" t="str">
        <f t="shared" si="168"/>
        <v/>
      </c>
      <c r="EC105" s="108" t="str">
        <f t="shared" si="168"/>
        <v/>
      </c>
      <c r="ED105" s="109" t="str">
        <f t="shared" si="168"/>
        <v/>
      </c>
      <c r="EE105" s="108" t="str">
        <f t="shared" si="168"/>
        <v/>
      </c>
      <c r="EF105" s="108" t="str">
        <f t="shared" si="168"/>
        <v/>
      </c>
      <c r="EG105" s="108" t="str">
        <f t="shared" si="168"/>
        <v/>
      </c>
      <c r="EH105" s="108" t="str">
        <f t="shared" si="168"/>
        <v/>
      </c>
      <c r="EI105" s="108" t="str">
        <f t="shared" si="168"/>
        <v/>
      </c>
      <c r="EJ105" s="108" t="str">
        <f t="shared" si="168"/>
        <v/>
      </c>
      <c r="EK105" s="108" t="str">
        <f t="shared" si="169"/>
        <v/>
      </c>
      <c r="EL105" s="108" t="str">
        <f t="shared" si="169"/>
        <v/>
      </c>
      <c r="EM105" s="108" t="str">
        <f t="shared" si="169"/>
        <v/>
      </c>
      <c r="EN105" s="108" t="str">
        <f t="shared" si="169"/>
        <v/>
      </c>
      <c r="EO105" s="108" t="str">
        <f t="shared" si="169"/>
        <v/>
      </c>
      <c r="EP105" s="108" t="str">
        <f t="shared" si="169"/>
        <v/>
      </c>
      <c r="EQ105" s="108" t="str">
        <f t="shared" si="169"/>
        <v/>
      </c>
      <c r="ER105" s="108" t="str">
        <f t="shared" si="169"/>
        <v/>
      </c>
      <c r="ES105" s="109" t="str">
        <f t="shared" si="169"/>
        <v/>
      </c>
      <c r="ET105" s="108" t="str">
        <f t="shared" si="169"/>
        <v/>
      </c>
      <c r="EU105" s="108" t="str">
        <f t="shared" si="170"/>
        <v/>
      </c>
      <c r="EV105" s="108" t="str">
        <f t="shared" si="170"/>
        <v/>
      </c>
      <c r="EW105" s="108" t="str">
        <f t="shared" si="170"/>
        <v/>
      </c>
      <c r="EX105" s="108" t="str">
        <f t="shared" si="170"/>
        <v/>
      </c>
      <c r="EY105" s="108" t="str">
        <f t="shared" si="170"/>
        <v/>
      </c>
      <c r="EZ105" s="108" t="str">
        <f t="shared" si="170"/>
        <v/>
      </c>
      <c r="FA105" s="108" t="str">
        <f t="shared" si="170"/>
        <v/>
      </c>
      <c r="FB105" s="108" t="str">
        <f t="shared" si="170"/>
        <v/>
      </c>
      <c r="FC105" s="108" t="str">
        <f t="shared" si="170"/>
        <v/>
      </c>
      <c r="FD105" s="108" t="str">
        <f t="shared" si="170"/>
        <v/>
      </c>
      <c r="FE105" s="108" t="str">
        <f t="shared" si="171"/>
        <v/>
      </c>
      <c r="FF105" s="109" t="str">
        <f t="shared" si="171"/>
        <v/>
      </c>
      <c r="FG105" s="108" t="str">
        <f t="shared" si="171"/>
        <v/>
      </c>
      <c r="FH105" s="108" t="str">
        <f t="shared" si="171"/>
        <v/>
      </c>
      <c r="FI105" s="108" t="str">
        <f t="shared" si="171"/>
        <v/>
      </c>
      <c r="FJ105" s="108" t="str">
        <f t="shared" si="171"/>
        <v/>
      </c>
      <c r="FK105" s="108" t="str">
        <f t="shared" si="171"/>
        <v/>
      </c>
      <c r="FL105" s="108" t="str">
        <f t="shared" si="171"/>
        <v/>
      </c>
      <c r="FM105" s="108" t="str">
        <f t="shared" si="171"/>
        <v/>
      </c>
      <c r="FN105" s="108" t="str">
        <f t="shared" si="171"/>
        <v/>
      </c>
      <c r="FO105" s="108" t="str">
        <f t="shared" si="172"/>
        <v/>
      </c>
      <c r="FP105" s="108" t="str">
        <f t="shared" si="172"/>
        <v/>
      </c>
      <c r="FQ105" s="108" t="str">
        <f t="shared" si="172"/>
        <v/>
      </c>
      <c r="FR105" s="108" t="str">
        <f t="shared" si="172"/>
        <v/>
      </c>
      <c r="FS105" s="108" t="str">
        <f t="shared" si="172"/>
        <v/>
      </c>
      <c r="FT105" s="108" t="str">
        <f t="shared" si="172"/>
        <v/>
      </c>
      <c r="FU105" s="108" t="str">
        <f t="shared" si="172"/>
        <v/>
      </c>
      <c r="FV105" s="108" t="str">
        <f t="shared" si="172"/>
        <v/>
      </c>
      <c r="FW105" s="110" t="str">
        <f t="shared" si="172"/>
        <v/>
      </c>
    </row>
    <row r="106" spans="2:179" s="101" customFormat="1" ht="21" customHeight="1" x14ac:dyDescent="0.35">
      <c r="B106" s="27" t="e">
        <f>Portfolio_Daten!#REF!</f>
        <v>#REF!</v>
      </c>
      <c r="C106" s="27">
        <f>Portfolio_Daten!B107</f>
        <v>0</v>
      </c>
      <c r="D106" s="28">
        <f>Portfolio_Daten!E108</f>
        <v>0</v>
      </c>
      <c r="E106" s="31">
        <f>Portfolio_Daten!T108</f>
        <v>0</v>
      </c>
      <c r="F106" s="31">
        <f>Portfolio_Daten!U108</f>
        <v>0</v>
      </c>
      <c r="G106" s="107">
        <f>IF(F106="","",NETWORKDAYS(E106,F106,Parameter!$C$4:$C$51))</f>
        <v>0</v>
      </c>
      <c r="H106" s="29">
        <f>Portfolio_Daten!AG108</f>
        <v>0</v>
      </c>
      <c r="I106" s="33">
        <f>Portfolio_Daten!AI108</f>
        <v>0</v>
      </c>
      <c r="J106" s="106"/>
      <c r="K106" s="108" t="str">
        <f t="shared" si="156"/>
        <v/>
      </c>
      <c r="L106" s="108" t="str">
        <f t="shared" si="156"/>
        <v/>
      </c>
      <c r="M106" s="108" t="str">
        <f t="shared" si="156"/>
        <v/>
      </c>
      <c r="N106" s="108" t="str">
        <f t="shared" si="156"/>
        <v/>
      </c>
      <c r="O106" s="108" t="str">
        <f t="shared" si="156"/>
        <v/>
      </c>
      <c r="P106" s="108" t="str">
        <f t="shared" si="156"/>
        <v/>
      </c>
      <c r="Q106" s="108" t="str">
        <f t="shared" si="156"/>
        <v/>
      </c>
      <c r="R106" s="108" t="str">
        <f t="shared" si="156"/>
        <v/>
      </c>
      <c r="S106" s="108" t="str">
        <f t="shared" si="156"/>
        <v/>
      </c>
      <c r="T106" s="108" t="str">
        <f t="shared" si="156"/>
        <v/>
      </c>
      <c r="U106" s="108" t="str">
        <f t="shared" si="157"/>
        <v/>
      </c>
      <c r="V106" s="108" t="str">
        <f t="shared" si="157"/>
        <v/>
      </c>
      <c r="W106" s="108" t="str">
        <f t="shared" si="157"/>
        <v/>
      </c>
      <c r="X106" s="108" t="str">
        <f t="shared" si="157"/>
        <v/>
      </c>
      <c r="Y106" s="108" t="str">
        <f t="shared" si="157"/>
        <v/>
      </c>
      <c r="Z106" s="108" t="str">
        <f t="shared" si="157"/>
        <v/>
      </c>
      <c r="AA106" s="108" t="str">
        <f t="shared" si="157"/>
        <v/>
      </c>
      <c r="AB106" s="108" t="str">
        <f t="shared" si="157"/>
        <v/>
      </c>
      <c r="AC106" s="108" t="str">
        <f t="shared" si="157"/>
        <v/>
      </c>
      <c r="AD106" s="108" t="str">
        <f t="shared" si="157"/>
        <v/>
      </c>
      <c r="AE106" s="108" t="str">
        <f t="shared" si="158"/>
        <v/>
      </c>
      <c r="AF106" s="108" t="str">
        <f t="shared" si="158"/>
        <v/>
      </c>
      <c r="AG106" s="108" t="str">
        <f t="shared" si="158"/>
        <v/>
      </c>
      <c r="AH106" s="108" t="str">
        <f t="shared" si="158"/>
        <v/>
      </c>
      <c r="AI106" s="108" t="str">
        <f t="shared" si="158"/>
        <v/>
      </c>
      <c r="AJ106" s="108" t="str">
        <f t="shared" si="158"/>
        <v/>
      </c>
      <c r="AK106" s="108" t="str">
        <f t="shared" si="158"/>
        <v/>
      </c>
      <c r="AL106" s="108" t="str">
        <f t="shared" si="158"/>
        <v/>
      </c>
      <c r="AM106" s="108" t="str">
        <f t="shared" si="158"/>
        <v/>
      </c>
      <c r="AN106" s="108" t="str">
        <f t="shared" si="158"/>
        <v/>
      </c>
      <c r="AO106" s="108" t="str">
        <f t="shared" si="159"/>
        <v/>
      </c>
      <c r="AP106" s="108" t="str">
        <f t="shared" si="159"/>
        <v/>
      </c>
      <c r="AQ106" s="108" t="str">
        <f t="shared" si="159"/>
        <v/>
      </c>
      <c r="AR106" s="108" t="str">
        <f t="shared" si="159"/>
        <v/>
      </c>
      <c r="AS106" s="108" t="str">
        <f t="shared" si="159"/>
        <v/>
      </c>
      <c r="AT106" s="108" t="str">
        <f t="shared" si="159"/>
        <v/>
      </c>
      <c r="AU106" s="108" t="str">
        <f t="shared" si="159"/>
        <v/>
      </c>
      <c r="AV106" s="108" t="str">
        <f t="shared" si="159"/>
        <v/>
      </c>
      <c r="AW106" s="108" t="str">
        <f t="shared" si="159"/>
        <v/>
      </c>
      <c r="AX106" s="108" t="str">
        <f t="shared" si="159"/>
        <v/>
      </c>
      <c r="AY106" s="108" t="str">
        <f t="shared" si="160"/>
        <v/>
      </c>
      <c r="AZ106" s="108" t="str">
        <f t="shared" si="160"/>
        <v/>
      </c>
      <c r="BA106" s="108" t="str">
        <f t="shared" si="160"/>
        <v/>
      </c>
      <c r="BB106" s="108" t="str">
        <f t="shared" si="160"/>
        <v/>
      </c>
      <c r="BC106" s="108" t="str">
        <f t="shared" si="160"/>
        <v/>
      </c>
      <c r="BD106" s="108" t="str">
        <f t="shared" si="160"/>
        <v/>
      </c>
      <c r="BE106" s="108" t="str">
        <f t="shared" si="160"/>
        <v/>
      </c>
      <c r="BF106" s="108" t="str">
        <f t="shared" si="160"/>
        <v/>
      </c>
      <c r="BG106" s="108" t="str">
        <f t="shared" si="160"/>
        <v/>
      </c>
      <c r="BH106" s="108" t="str">
        <f t="shared" si="160"/>
        <v/>
      </c>
      <c r="BI106" s="108" t="str">
        <f t="shared" si="161"/>
        <v/>
      </c>
      <c r="BJ106" s="108" t="str">
        <f t="shared" si="161"/>
        <v/>
      </c>
      <c r="BK106" s="108" t="str">
        <f t="shared" si="161"/>
        <v/>
      </c>
      <c r="BL106" s="108" t="str">
        <f t="shared" si="161"/>
        <v/>
      </c>
      <c r="BM106" s="108" t="str">
        <f t="shared" si="161"/>
        <v/>
      </c>
      <c r="BN106" s="108" t="str">
        <f t="shared" si="161"/>
        <v/>
      </c>
      <c r="BO106" s="108" t="str">
        <f t="shared" si="161"/>
        <v/>
      </c>
      <c r="BP106" s="108" t="str">
        <f t="shared" si="161"/>
        <v/>
      </c>
      <c r="BQ106" s="108" t="str">
        <f t="shared" si="161"/>
        <v/>
      </c>
      <c r="BR106" s="108" t="str">
        <f t="shared" si="161"/>
        <v/>
      </c>
      <c r="BS106" s="108" t="str">
        <f t="shared" si="162"/>
        <v/>
      </c>
      <c r="BT106" s="108" t="str">
        <f t="shared" si="162"/>
        <v/>
      </c>
      <c r="BU106" s="108" t="str">
        <f t="shared" si="162"/>
        <v/>
      </c>
      <c r="BV106" s="108" t="str">
        <f t="shared" si="162"/>
        <v/>
      </c>
      <c r="BW106" s="108" t="str">
        <f t="shared" si="162"/>
        <v/>
      </c>
      <c r="BX106" s="108" t="str">
        <f t="shared" si="162"/>
        <v/>
      </c>
      <c r="BY106" s="108" t="str">
        <f t="shared" si="162"/>
        <v/>
      </c>
      <c r="BZ106" s="108" t="str">
        <f t="shared" si="162"/>
        <v/>
      </c>
      <c r="CA106" s="108" t="str">
        <f t="shared" si="162"/>
        <v/>
      </c>
      <c r="CB106" s="108" t="str">
        <f t="shared" si="162"/>
        <v/>
      </c>
      <c r="CC106" s="108" t="str">
        <f t="shared" si="163"/>
        <v/>
      </c>
      <c r="CD106" s="108" t="str">
        <f t="shared" si="163"/>
        <v/>
      </c>
      <c r="CE106" s="108" t="str">
        <f t="shared" si="163"/>
        <v/>
      </c>
      <c r="CF106" s="108" t="str">
        <f t="shared" si="163"/>
        <v/>
      </c>
      <c r="CG106" s="108" t="str">
        <f t="shared" si="163"/>
        <v/>
      </c>
      <c r="CH106" s="108" t="str">
        <f t="shared" si="163"/>
        <v/>
      </c>
      <c r="CI106" s="108" t="str">
        <f t="shared" si="163"/>
        <v/>
      </c>
      <c r="CJ106" s="108" t="str">
        <f t="shared" si="163"/>
        <v/>
      </c>
      <c r="CK106" s="108" t="str">
        <f t="shared" si="163"/>
        <v/>
      </c>
      <c r="CL106" s="108" t="str">
        <f t="shared" si="163"/>
        <v/>
      </c>
      <c r="CM106" s="108" t="str">
        <f t="shared" si="164"/>
        <v/>
      </c>
      <c r="CN106" s="108" t="str">
        <f t="shared" si="164"/>
        <v/>
      </c>
      <c r="CO106" s="108" t="str">
        <f t="shared" si="164"/>
        <v/>
      </c>
      <c r="CP106" s="108" t="str">
        <f t="shared" si="164"/>
        <v/>
      </c>
      <c r="CQ106" s="108" t="str">
        <f t="shared" si="164"/>
        <v/>
      </c>
      <c r="CR106" s="109" t="str">
        <f t="shared" si="164"/>
        <v/>
      </c>
      <c r="CS106" s="108" t="str">
        <f t="shared" si="164"/>
        <v/>
      </c>
      <c r="CT106" s="108" t="str">
        <f t="shared" si="164"/>
        <v/>
      </c>
      <c r="CU106" s="108" t="str">
        <f t="shared" si="164"/>
        <v/>
      </c>
      <c r="CV106" s="108" t="str">
        <f t="shared" si="164"/>
        <v/>
      </c>
      <c r="CW106" s="108" t="str">
        <f t="shared" si="165"/>
        <v/>
      </c>
      <c r="CX106" s="108" t="str">
        <f t="shared" si="165"/>
        <v/>
      </c>
      <c r="CY106" s="108" t="str">
        <f t="shared" si="165"/>
        <v/>
      </c>
      <c r="CZ106" s="109" t="str">
        <f t="shared" si="165"/>
        <v/>
      </c>
      <c r="DA106" s="108" t="str">
        <f t="shared" si="165"/>
        <v/>
      </c>
      <c r="DB106" s="108" t="str">
        <f t="shared" si="165"/>
        <v/>
      </c>
      <c r="DC106" s="108" t="str">
        <f t="shared" si="165"/>
        <v/>
      </c>
      <c r="DD106" s="108" t="str">
        <f t="shared" si="165"/>
        <v/>
      </c>
      <c r="DE106" s="108" t="str">
        <f t="shared" si="165"/>
        <v/>
      </c>
      <c r="DF106" s="108" t="str">
        <f t="shared" si="165"/>
        <v/>
      </c>
      <c r="DG106" s="108" t="str">
        <f t="shared" si="166"/>
        <v/>
      </c>
      <c r="DH106" s="109" t="str">
        <f t="shared" si="166"/>
        <v/>
      </c>
      <c r="DI106" s="108" t="str">
        <f t="shared" si="166"/>
        <v/>
      </c>
      <c r="DJ106" s="108" t="str">
        <f t="shared" si="166"/>
        <v/>
      </c>
      <c r="DK106" s="108" t="str">
        <f t="shared" si="166"/>
        <v/>
      </c>
      <c r="DL106" s="108" t="str">
        <f t="shared" si="166"/>
        <v/>
      </c>
      <c r="DM106" s="108" t="str">
        <f t="shared" si="166"/>
        <v/>
      </c>
      <c r="DN106" s="108" t="str">
        <f t="shared" si="166"/>
        <v/>
      </c>
      <c r="DO106" s="109" t="str">
        <f t="shared" si="166"/>
        <v/>
      </c>
      <c r="DP106" s="108" t="str">
        <f t="shared" si="166"/>
        <v/>
      </c>
      <c r="DQ106" s="108" t="str">
        <f t="shared" si="167"/>
        <v/>
      </c>
      <c r="DR106" s="108" t="str">
        <f t="shared" si="167"/>
        <v/>
      </c>
      <c r="DS106" s="108" t="str">
        <f t="shared" si="167"/>
        <v/>
      </c>
      <c r="DT106" s="108" t="str">
        <f t="shared" si="167"/>
        <v/>
      </c>
      <c r="DU106" s="108" t="str">
        <f t="shared" si="167"/>
        <v/>
      </c>
      <c r="DV106" s="108" t="str">
        <f t="shared" si="167"/>
        <v/>
      </c>
      <c r="DW106" s="109" t="str">
        <f t="shared" si="167"/>
        <v/>
      </c>
      <c r="DX106" s="108" t="str">
        <f t="shared" si="167"/>
        <v/>
      </c>
      <c r="DY106" s="108" t="str">
        <f t="shared" si="167"/>
        <v/>
      </c>
      <c r="DZ106" s="108" t="str">
        <f t="shared" si="167"/>
        <v/>
      </c>
      <c r="EA106" s="108" t="str">
        <f t="shared" si="168"/>
        <v/>
      </c>
      <c r="EB106" s="108" t="str">
        <f t="shared" si="168"/>
        <v/>
      </c>
      <c r="EC106" s="108" t="str">
        <f t="shared" si="168"/>
        <v/>
      </c>
      <c r="ED106" s="109" t="str">
        <f t="shared" si="168"/>
        <v/>
      </c>
      <c r="EE106" s="108" t="str">
        <f t="shared" si="168"/>
        <v/>
      </c>
      <c r="EF106" s="108" t="str">
        <f t="shared" si="168"/>
        <v/>
      </c>
      <c r="EG106" s="108" t="str">
        <f t="shared" si="168"/>
        <v/>
      </c>
      <c r="EH106" s="108" t="str">
        <f t="shared" si="168"/>
        <v/>
      </c>
      <c r="EI106" s="108" t="str">
        <f t="shared" si="168"/>
        <v/>
      </c>
      <c r="EJ106" s="108" t="str">
        <f t="shared" si="168"/>
        <v/>
      </c>
      <c r="EK106" s="108" t="str">
        <f t="shared" si="169"/>
        <v/>
      </c>
      <c r="EL106" s="108" t="str">
        <f t="shared" si="169"/>
        <v/>
      </c>
      <c r="EM106" s="108" t="str">
        <f t="shared" si="169"/>
        <v/>
      </c>
      <c r="EN106" s="108" t="str">
        <f t="shared" si="169"/>
        <v/>
      </c>
      <c r="EO106" s="108" t="str">
        <f t="shared" si="169"/>
        <v/>
      </c>
      <c r="EP106" s="108" t="str">
        <f t="shared" si="169"/>
        <v/>
      </c>
      <c r="EQ106" s="108" t="str">
        <f t="shared" si="169"/>
        <v/>
      </c>
      <c r="ER106" s="108" t="str">
        <f t="shared" si="169"/>
        <v/>
      </c>
      <c r="ES106" s="109" t="str">
        <f t="shared" si="169"/>
        <v/>
      </c>
      <c r="ET106" s="108" t="str">
        <f t="shared" si="169"/>
        <v/>
      </c>
      <c r="EU106" s="108" t="str">
        <f t="shared" si="170"/>
        <v/>
      </c>
      <c r="EV106" s="108" t="str">
        <f t="shared" si="170"/>
        <v/>
      </c>
      <c r="EW106" s="108" t="str">
        <f t="shared" si="170"/>
        <v/>
      </c>
      <c r="EX106" s="108" t="str">
        <f t="shared" si="170"/>
        <v/>
      </c>
      <c r="EY106" s="108" t="str">
        <f t="shared" si="170"/>
        <v/>
      </c>
      <c r="EZ106" s="108" t="str">
        <f t="shared" si="170"/>
        <v/>
      </c>
      <c r="FA106" s="108" t="str">
        <f t="shared" si="170"/>
        <v/>
      </c>
      <c r="FB106" s="108" t="str">
        <f t="shared" si="170"/>
        <v/>
      </c>
      <c r="FC106" s="108" t="str">
        <f t="shared" si="170"/>
        <v/>
      </c>
      <c r="FD106" s="108" t="str">
        <f t="shared" si="170"/>
        <v/>
      </c>
      <c r="FE106" s="108" t="str">
        <f t="shared" si="171"/>
        <v/>
      </c>
      <c r="FF106" s="109" t="str">
        <f t="shared" si="171"/>
        <v/>
      </c>
      <c r="FG106" s="108" t="str">
        <f t="shared" si="171"/>
        <v/>
      </c>
      <c r="FH106" s="108" t="str">
        <f t="shared" si="171"/>
        <v/>
      </c>
      <c r="FI106" s="108" t="str">
        <f t="shared" si="171"/>
        <v/>
      </c>
      <c r="FJ106" s="108" t="str">
        <f t="shared" si="171"/>
        <v/>
      </c>
      <c r="FK106" s="108" t="str">
        <f t="shared" si="171"/>
        <v/>
      </c>
      <c r="FL106" s="108" t="str">
        <f t="shared" si="171"/>
        <v/>
      </c>
      <c r="FM106" s="108" t="str">
        <f t="shared" si="171"/>
        <v/>
      </c>
      <c r="FN106" s="108" t="str">
        <f t="shared" si="171"/>
        <v/>
      </c>
      <c r="FO106" s="108" t="str">
        <f t="shared" si="172"/>
        <v/>
      </c>
      <c r="FP106" s="108" t="str">
        <f t="shared" si="172"/>
        <v/>
      </c>
      <c r="FQ106" s="108" t="str">
        <f t="shared" si="172"/>
        <v/>
      </c>
      <c r="FR106" s="108" t="str">
        <f t="shared" si="172"/>
        <v/>
      </c>
      <c r="FS106" s="108" t="str">
        <f t="shared" si="172"/>
        <v/>
      </c>
      <c r="FT106" s="108" t="str">
        <f t="shared" si="172"/>
        <v/>
      </c>
      <c r="FU106" s="108" t="str">
        <f t="shared" si="172"/>
        <v/>
      </c>
      <c r="FV106" s="108" t="str">
        <f t="shared" si="172"/>
        <v/>
      </c>
      <c r="FW106" s="110" t="str">
        <f t="shared" si="172"/>
        <v/>
      </c>
    </row>
    <row r="107" spans="2:179" s="101" customFormat="1" ht="21" customHeight="1" x14ac:dyDescent="0.35">
      <c r="B107" s="27" t="e">
        <f>Portfolio_Daten!#REF!</f>
        <v>#REF!</v>
      </c>
      <c r="C107" s="27">
        <f>Portfolio_Daten!B108</f>
        <v>0</v>
      </c>
      <c r="D107" s="28">
        <f>Portfolio_Daten!E109</f>
        <v>0</v>
      </c>
      <c r="E107" s="31">
        <f>Portfolio_Daten!T109</f>
        <v>0</v>
      </c>
      <c r="F107" s="31">
        <f>Portfolio_Daten!U109</f>
        <v>0</v>
      </c>
      <c r="G107" s="107">
        <f>IF(F107="","",NETWORKDAYS(E107,F107,Parameter!$C$4:$C$51))</f>
        <v>0</v>
      </c>
      <c r="H107" s="29">
        <f>Portfolio_Daten!AG109</f>
        <v>0</v>
      </c>
      <c r="I107" s="33">
        <f>Portfolio_Daten!AI109</f>
        <v>0</v>
      </c>
      <c r="J107" s="106"/>
      <c r="K107" s="108" t="str">
        <f t="shared" ref="K107:T114" si="173">IF(K$5=($F107-WEEKDAY($F107,2)+1),"u","")</f>
        <v/>
      </c>
      <c r="L107" s="108" t="str">
        <f t="shared" si="173"/>
        <v/>
      </c>
      <c r="M107" s="108" t="str">
        <f t="shared" si="173"/>
        <v/>
      </c>
      <c r="N107" s="108" t="str">
        <f t="shared" si="173"/>
        <v/>
      </c>
      <c r="O107" s="108" t="str">
        <f t="shared" si="173"/>
        <v/>
      </c>
      <c r="P107" s="108" t="str">
        <f t="shared" si="173"/>
        <v/>
      </c>
      <c r="Q107" s="108" t="str">
        <f t="shared" si="173"/>
        <v/>
      </c>
      <c r="R107" s="108" t="str">
        <f t="shared" si="173"/>
        <v/>
      </c>
      <c r="S107" s="108" t="str">
        <f t="shared" si="173"/>
        <v/>
      </c>
      <c r="T107" s="108" t="str">
        <f t="shared" si="173"/>
        <v/>
      </c>
      <c r="U107" s="108" t="str">
        <f t="shared" ref="U107:AD114" si="174">IF(U$5=($F107-WEEKDAY($F107,2)+1),"u","")</f>
        <v/>
      </c>
      <c r="V107" s="108" t="str">
        <f t="shared" si="174"/>
        <v/>
      </c>
      <c r="W107" s="108" t="str">
        <f t="shared" si="174"/>
        <v/>
      </c>
      <c r="X107" s="108" t="str">
        <f t="shared" si="174"/>
        <v/>
      </c>
      <c r="Y107" s="108" t="str">
        <f t="shared" si="174"/>
        <v/>
      </c>
      <c r="Z107" s="108" t="str">
        <f t="shared" si="174"/>
        <v/>
      </c>
      <c r="AA107" s="108" t="str">
        <f t="shared" si="174"/>
        <v/>
      </c>
      <c r="AB107" s="108" t="str">
        <f t="shared" si="174"/>
        <v/>
      </c>
      <c r="AC107" s="108" t="str">
        <f t="shared" si="174"/>
        <v/>
      </c>
      <c r="AD107" s="108" t="str">
        <f t="shared" si="174"/>
        <v/>
      </c>
      <c r="AE107" s="108" t="str">
        <f t="shared" ref="AE107:AN114" si="175">IF(AE$5=($F107-WEEKDAY($F107,2)+1),"u","")</f>
        <v/>
      </c>
      <c r="AF107" s="108" t="str">
        <f t="shared" si="175"/>
        <v/>
      </c>
      <c r="AG107" s="108" t="str">
        <f t="shared" si="175"/>
        <v/>
      </c>
      <c r="AH107" s="108" t="str">
        <f t="shared" si="175"/>
        <v/>
      </c>
      <c r="AI107" s="108" t="str">
        <f t="shared" si="175"/>
        <v/>
      </c>
      <c r="AJ107" s="108" t="str">
        <f t="shared" si="175"/>
        <v/>
      </c>
      <c r="AK107" s="108" t="str">
        <f t="shared" si="175"/>
        <v/>
      </c>
      <c r="AL107" s="108" t="str">
        <f t="shared" si="175"/>
        <v/>
      </c>
      <c r="AM107" s="108" t="str">
        <f t="shared" si="175"/>
        <v/>
      </c>
      <c r="AN107" s="108" t="str">
        <f t="shared" si="175"/>
        <v/>
      </c>
      <c r="AO107" s="108" t="str">
        <f t="shared" ref="AO107:AX114" si="176">IF(AO$5=($F107-WEEKDAY($F107,2)+1),"u","")</f>
        <v/>
      </c>
      <c r="AP107" s="108" t="str">
        <f t="shared" si="176"/>
        <v/>
      </c>
      <c r="AQ107" s="108" t="str">
        <f t="shared" si="176"/>
        <v/>
      </c>
      <c r="AR107" s="108" t="str">
        <f t="shared" si="176"/>
        <v/>
      </c>
      <c r="AS107" s="108" t="str">
        <f t="shared" si="176"/>
        <v/>
      </c>
      <c r="AT107" s="108" t="str">
        <f t="shared" si="176"/>
        <v/>
      </c>
      <c r="AU107" s="108" t="str">
        <f t="shared" si="176"/>
        <v/>
      </c>
      <c r="AV107" s="108" t="str">
        <f t="shared" si="176"/>
        <v/>
      </c>
      <c r="AW107" s="108" t="str">
        <f t="shared" si="176"/>
        <v/>
      </c>
      <c r="AX107" s="108" t="str">
        <f t="shared" si="176"/>
        <v/>
      </c>
      <c r="AY107" s="108" t="str">
        <f t="shared" ref="AY107:BH114" si="177">IF(AY$5=($F107-WEEKDAY($F107,2)+1),"u","")</f>
        <v/>
      </c>
      <c r="AZ107" s="108" t="str">
        <f t="shared" si="177"/>
        <v/>
      </c>
      <c r="BA107" s="108" t="str">
        <f t="shared" si="177"/>
        <v/>
      </c>
      <c r="BB107" s="108" t="str">
        <f t="shared" si="177"/>
        <v/>
      </c>
      <c r="BC107" s="108" t="str">
        <f t="shared" si="177"/>
        <v/>
      </c>
      <c r="BD107" s="108" t="str">
        <f t="shared" si="177"/>
        <v/>
      </c>
      <c r="BE107" s="108" t="str">
        <f t="shared" si="177"/>
        <v/>
      </c>
      <c r="BF107" s="108" t="str">
        <f t="shared" si="177"/>
        <v/>
      </c>
      <c r="BG107" s="108" t="str">
        <f t="shared" si="177"/>
        <v/>
      </c>
      <c r="BH107" s="108" t="str">
        <f t="shared" si="177"/>
        <v/>
      </c>
      <c r="BI107" s="108" t="str">
        <f t="shared" ref="BI107:BR114" si="178">IF(BI$5=($F107-WEEKDAY($F107,2)+1),"u","")</f>
        <v/>
      </c>
      <c r="BJ107" s="108" t="str">
        <f t="shared" si="178"/>
        <v/>
      </c>
      <c r="BK107" s="108" t="str">
        <f t="shared" si="178"/>
        <v/>
      </c>
      <c r="BL107" s="108" t="str">
        <f t="shared" si="178"/>
        <v/>
      </c>
      <c r="BM107" s="108" t="str">
        <f t="shared" si="178"/>
        <v/>
      </c>
      <c r="BN107" s="108" t="str">
        <f t="shared" si="178"/>
        <v/>
      </c>
      <c r="BO107" s="108" t="str">
        <f t="shared" si="178"/>
        <v/>
      </c>
      <c r="BP107" s="108" t="str">
        <f t="shared" si="178"/>
        <v/>
      </c>
      <c r="BQ107" s="108" t="str">
        <f t="shared" si="178"/>
        <v/>
      </c>
      <c r="BR107" s="108" t="str">
        <f t="shared" si="178"/>
        <v/>
      </c>
      <c r="BS107" s="108" t="str">
        <f t="shared" ref="BS107:CB114" si="179">IF(BS$5=($F107-WEEKDAY($F107,2)+1),"u","")</f>
        <v/>
      </c>
      <c r="BT107" s="108" t="str">
        <f t="shared" si="179"/>
        <v/>
      </c>
      <c r="BU107" s="108" t="str">
        <f t="shared" si="179"/>
        <v/>
      </c>
      <c r="BV107" s="108" t="str">
        <f t="shared" si="179"/>
        <v/>
      </c>
      <c r="BW107" s="108" t="str">
        <f t="shared" si="179"/>
        <v/>
      </c>
      <c r="BX107" s="108" t="str">
        <f t="shared" si="179"/>
        <v/>
      </c>
      <c r="BY107" s="108" t="str">
        <f t="shared" si="179"/>
        <v/>
      </c>
      <c r="BZ107" s="108" t="str">
        <f t="shared" si="179"/>
        <v/>
      </c>
      <c r="CA107" s="108" t="str">
        <f t="shared" si="179"/>
        <v/>
      </c>
      <c r="CB107" s="108" t="str">
        <f t="shared" si="179"/>
        <v/>
      </c>
      <c r="CC107" s="108" t="str">
        <f t="shared" ref="CC107:CL114" si="180">IF(CC$5=($F107-WEEKDAY($F107,2)+1),"u","")</f>
        <v/>
      </c>
      <c r="CD107" s="108" t="str">
        <f t="shared" si="180"/>
        <v/>
      </c>
      <c r="CE107" s="108" t="str">
        <f t="shared" si="180"/>
        <v/>
      </c>
      <c r="CF107" s="108" t="str">
        <f t="shared" si="180"/>
        <v/>
      </c>
      <c r="CG107" s="108" t="str">
        <f t="shared" si="180"/>
        <v/>
      </c>
      <c r="CH107" s="108" t="str">
        <f t="shared" si="180"/>
        <v/>
      </c>
      <c r="CI107" s="108" t="str">
        <f t="shared" si="180"/>
        <v/>
      </c>
      <c r="CJ107" s="108" t="str">
        <f t="shared" si="180"/>
        <v/>
      </c>
      <c r="CK107" s="108" t="str">
        <f t="shared" si="180"/>
        <v/>
      </c>
      <c r="CL107" s="108" t="str">
        <f t="shared" si="180"/>
        <v/>
      </c>
      <c r="CM107" s="108" t="str">
        <f t="shared" ref="CM107:CV114" si="181">IF(CM$5=($F107-WEEKDAY($F107,2)+1),"u","")</f>
        <v/>
      </c>
      <c r="CN107" s="108" t="str">
        <f t="shared" si="181"/>
        <v/>
      </c>
      <c r="CO107" s="108" t="str">
        <f t="shared" si="181"/>
        <v/>
      </c>
      <c r="CP107" s="108" t="str">
        <f t="shared" si="181"/>
        <v/>
      </c>
      <c r="CQ107" s="108" t="str">
        <f t="shared" si="181"/>
        <v/>
      </c>
      <c r="CR107" s="109" t="str">
        <f t="shared" si="181"/>
        <v/>
      </c>
      <c r="CS107" s="108" t="str">
        <f t="shared" si="181"/>
        <v/>
      </c>
      <c r="CT107" s="108" t="str">
        <f t="shared" si="181"/>
        <v/>
      </c>
      <c r="CU107" s="108" t="str">
        <f t="shared" si="181"/>
        <v/>
      </c>
      <c r="CV107" s="108" t="str">
        <f t="shared" si="181"/>
        <v/>
      </c>
      <c r="CW107" s="108" t="str">
        <f t="shared" ref="CW107:DF114" si="182">IF(CW$5=($F107-WEEKDAY($F107,2)+1),"u","")</f>
        <v/>
      </c>
      <c r="CX107" s="108" t="str">
        <f t="shared" si="182"/>
        <v/>
      </c>
      <c r="CY107" s="108" t="str">
        <f t="shared" si="182"/>
        <v/>
      </c>
      <c r="CZ107" s="109" t="str">
        <f t="shared" si="182"/>
        <v/>
      </c>
      <c r="DA107" s="108" t="str">
        <f t="shared" si="182"/>
        <v/>
      </c>
      <c r="DB107" s="108" t="str">
        <f t="shared" si="182"/>
        <v/>
      </c>
      <c r="DC107" s="108" t="str">
        <f t="shared" si="182"/>
        <v/>
      </c>
      <c r="DD107" s="108" t="str">
        <f t="shared" si="182"/>
        <v/>
      </c>
      <c r="DE107" s="108" t="str">
        <f t="shared" si="182"/>
        <v/>
      </c>
      <c r="DF107" s="108" t="str">
        <f t="shared" si="182"/>
        <v/>
      </c>
      <c r="DG107" s="108" t="str">
        <f t="shared" ref="DG107:DP114" si="183">IF(DG$5=($F107-WEEKDAY($F107,2)+1),"u","")</f>
        <v/>
      </c>
      <c r="DH107" s="109" t="str">
        <f t="shared" si="183"/>
        <v/>
      </c>
      <c r="DI107" s="108" t="str">
        <f t="shared" si="183"/>
        <v/>
      </c>
      <c r="DJ107" s="108" t="str">
        <f t="shared" si="183"/>
        <v/>
      </c>
      <c r="DK107" s="108" t="str">
        <f t="shared" si="183"/>
        <v/>
      </c>
      <c r="DL107" s="108" t="str">
        <f t="shared" si="183"/>
        <v/>
      </c>
      <c r="DM107" s="108" t="str">
        <f t="shared" si="183"/>
        <v/>
      </c>
      <c r="DN107" s="108" t="str">
        <f t="shared" si="183"/>
        <v/>
      </c>
      <c r="DO107" s="109" t="str">
        <f t="shared" si="183"/>
        <v/>
      </c>
      <c r="DP107" s="108" t="str">
        <f t="shared" si="183"/>
        <v/>
      </c>
      <c r="DQ107" s="108" t="str">
        <f t="shared" ref="DQ107:DZ114" si="184">IF(DQ$5=($F107-WEEKDAY($F107,2)+1),"u","")</f>
        <v/>
      </c>
      <c r="DR107" s="108" t="str">
        <f t="shared" si="184"/>
        <v/>
      </c>
      <c r="DS107" s="108" t="str">
        <f t="shared" si="184"/>
        <v/>
      </c>
      <c r="DT107" s="108" t="str">
        <f t="shared" si="184"/>
        <v/>
      </c>
      <c r="DU107" s="108" t="str">
        <f t="shared" si="184"/>
        <v/>
      </c>
      <c r="DV107" s="108" t="str">
        <f t="shared" si="184"/>
        <v/>
      </c>
      <c r="DW107" s="109" t="str">
        <f t="shared" si="184"/>
        <v/>
      </c>
      <c r="DX107" s="108" t="str">
        <f t="shared" si="184"/>
        <v/>
      </c>
      <c r="DY107" s="108" t="str">
        <f t="shared" si="184"/>
        <v/>
      </c>
      <c r="DZ107" s="108" t="str">
        <f t="shared" si="184"/>
        <v/>
      </c>
      <c r="EA107" s="108" t="str">
        <f t="shared" ref="EA107:EJ114" si="185">IF(EA$5=($F107-WEEKDAY($F107,2)+1),"u","")</f>
        <v/>
      </c>
      <c r="EB107" s="108" t="str">
        <f t="shared" si="185"/>
        <v/>
      </c>
      <c r="EC107" s="108" t="str">
        <f t="shared" si="185"/>
        <v/>
      </c>
      <c r="ED107" s="109" t="str">
        <f t="shared" si="185"/>
        <v/>
      </c>
      <c r="EE107" s="108" t="str">
        <f t="shared" si="185"/>
        <v/>
      </c>
      <c r="EF107" s="108" t="str">
        <f t="shared" si="185"/>
        <v/>
      </c>
      <c r="EG107" s="108" t="str">
        <f t="shared" si="185"/>
        <v/>
      </c>
      <c r="EH107" s="108" t="str">
        <f t="shared" si="185"/>
        <v/>
      </c>
      <c r="EI107" s="108" t="str">
        <f t="shared" si="185"/>
        <v/>
      </c>
      <c r="EJ107" s="108" t="str">
        <f t="shared" si="185"/>
        <v/>
      </c>
      <c r="EK107" s="108" t="str">
        <f t="shared" ref="EK107:ET114" si="186">IF(EK$5=($F107-WEEKDAY($F107,2)+1),"u","")</f>
        <v/>
      </c>
      <c r="EL107" s="108" t="str">
        <f t="shared" si="186"/>
        <v/>
      </c>
      <c r="EM107" s="108" t="str">
        <f t="shared" si="186"/>
        <v/>
      </c>
      <c r="EN107" s="108" t="str">
        <f t="shared" si="186"/>
        <v/>
      </c>
      <c r="EO107" s="108" t="str">
        <f t="shared" si="186"/>
        <v/>
      </c>
      <c r="EP107" s="108" t="str">
        <f t="shared" si="186"/>
        <v/>
      </c>
      <c r="EQ107" s="108" t="str">
        <f t="shared" si="186"/>
        <v/>
      </c>
      <c r="ER107" s="108" t="str">
        <f t="shared" si="186"/>
        <v/>
      </c>
      <c r="ES107" s="109" t="str">
        <f t="shared" si="186"/>
        <v/>
      </c>
      <c r="ET107" s="108" t="str">
        <f t="shared" si="186"/>
        <v/>
      </c>
      <c r="EU107" s="108" t="str">
        <f t="shared" ref="EU107:FD114" si="187">IF(EU$5=($F107-WEEKDAY($F107,2)+1),"u","")</f>
        <v/>
      </c>
      <c r="EV107" s="108" t="str">
        <f t="shared" si="187"/>
        <v/>
      </c>
      <c r="EW107" s="108" t="str">
        <f t="shared" si="187"/>
        <v/>
      </c>
      <c r="EX107" s="108" t="str">
        <f t="shared" si="187"/>
        <v/>
      </c>
      <c r="EY107" s="108" t="str">
        <f t="shared" si="187"/>
        <v/>
      </c>
      <c r="EZ107" s="108" t="str">
        <f t="shared" si="187"/>
        <v/>
      </c>
      <c r="FA107" s="108" t="str">
        <f t="shared" si="187"/>
        <v/>
      </c>
      <c r="FB107" s="108" t="str">
        <f t="shared" si="187"/>
        <v/>
      </c>
      <c r="FC107" s="108" t="str">
        <f t="shared" si="187"/>
        <v/>
      </c>
      <c r="FD107" s="108" t="str">
        <f t="shared" si="187"/>
        <v/>
      </c>
      <c r="FE107" s="108" t="str">
        <f t="shared" ref="FE107:FN114" si="188">IF(FE$5=($F107-WEEKDAY($F107,2)+1),"u","")</f>
        <v/>
      </c>
      <c r="FF107" s="109" t="str">
        <f t="shared" si="188"/>
        <v/>
      </c>
      <c r="FG107" s="108" t="str">
        <f t="shared" si="188"/>
        <v/>
      </c>
      <c r="FH107" s="108" t="str">
        <f t="shared" si="188"/>
        <v/>
      </c>
      <c r="FI107" s="108" t="str">
        <f t="shared" si="188"/>
        <v/>
      </c>
      <c r="FJ107" s="108" t="str">
        <f t="shared" si="188"/>
        <v/>
      </c>
      <c r="FK107" s="108" t="str">
        <f t="shared" si="188"/>
        <v/>
      </c>
      <c r="FL107" s="108" t="str">
        <f t="shared" si="188"/>
        <v/>
      </c>
      <c r="FM107" s="108" t="str">
        <f t="shared" si="188"/>
        <v/>
      </c>
      <c r="FN107" s="108" t="str">
        <f t="shared" si="188"/>
        <v/>
      </c>
      <c r="FO107" s="108" t="str">
        <f t="shared" ref="FO107:FW114" si="189">IF(FO$5=($F107-WEEKDAY($F107,2)+1),"u","")</f>
        <v/>
      </c>
      <c r="FP107" s="108" t="str">
        <f t="shared" si="189"/>
        <v/>
      </c>
      <c r="FQ107" s="108" t="str">
        <f t="shared" si="189"/>
        <v/>
      </c>
      <c r="FR107" s="108" t="str">
        <f t="shared" si="189"/>
        <v/>
      </c>
      <c r="FS107" s="108" t="str">
        <f t="shared" si="189"/>
        <v/>
      </c>
      <c r="FT107" s="108" t="str">
        <f t="shared" si="189"/>
        <v/>
      </c>
      <c r="FU107" s="108" t="str">
        <f t="shared" si="189"/>
        <v/>
      </c>
      <c r="FV107" s="108" t="str">
        <f t="shared" si="189"/>
        <v/>
      </c>
      <c r="FW107" s="110" t="str">
        <f t="shared" si="189"/>
        <v/>
      </c>
    </row>
    <row r="108" spans="2:179" s="101" customFormat="1" ht="21" customHeight="1" x14ac:dyDescent="0.35">
      <c r="B108" s="27" t="e">
        <f>Portfolio_Daten!#REF!</f>
        <v>#REF!</v>
      </c>
      <c r="C108" s="27">
        <f>Portfolio_Daten!B109</f>
        <v>0</v>
      </c>
      <c r="D108" s="28">
        <f>Portfolio_Daten!E110</f>
        <v>0</v>
      </c>
      <c r="E108" s="31">
        <f>Portfolio_Daten!T110</f>
        <v>0</v>
      </c>
      <c r="F108" s="31">
        <f>Portfolio_Daten!U110</f>
        <v>0</v>
      </c>
      <c r="G108" s="107">
        <f>IF(F108="","",NETWORKDAYS(E108,F108,Parameter!$C$4:$C$51))</f>
        <v>0</v>
      </c>
      <c r="H108" s="29">
        <f>Portfolio_Daten!AG110</f>
        <v>0</v>
      </c>
      <c r="I108" s="33">
        <f>Portfolio_Daten!AI110</f>
        <v>0</v>
      </c>
      <c r="J108" s="106"/>
      <c r="K108" s="108" t="str">
        <f t="shared" si="173"/>
        <v/>
      </c>
      <c r="L108" s="108" t="str">
        <f t="shared" si="173"/>
        <v/>
      </c>
      <c r="M108" s="108" t="str">
        <f t="shared" si="173"/>
        <v/>
      </c>
      <c r="N108" s="108" t="str">
        <f t="shared" si="173"/>
        <v/>
      </c>
      <c r="O108" s="108" t="str">
        <f t="shared" si="173"/>
        <v/>
      </c>
      <c r="P108" s="108" t="str">
        <f t="shared" si="173"/>
        <v/>
      </c>
      <c r="Q108" s="108" t="str">
        <f t="shared" si="173"/>
        <v/>
      </c>
      <c r="R108" s="108" t="str">
        <f t="shared" si="173"/>
        <v/>
      </c>
      <c r="S108" s="108" t="str">
        <f t="shared" si="173"/>
        <v/>
      </c>
      <c r="T108" s="108" t="str">
        <f t="shared" si="173"/>
        <v/>
      </c>
      <c r="U108" s="108" t="str">
        <f t="shared" si="174"/>
        <v/>
      </c>
      <c r="V108" s="108" t="str">
        <f t="shared" si="174"/>
        <v/>
      </c>
      <c r="W108" s="108" t="str">
        <f t="shared" si="174"/>
        <v/>
      </c>
      <c r="X108" s="108" t="str">
        <f t="shared" si="174"/>
        <v/>
      </c>
      <c r="Y108" s="108" t="str">
        <f t="shared" si="174"/>
        <v/>
      </c>
      <c r="Z108" s="108" t="str">
        <f t="shared" si="174"/>
        <v/>
      </c>
      <c r="AA108" s="108" t="str">
        <f t="shared" si="174"/>
        <v/>
      </c>
      <c r="AB108" s="108" t="str">
        <f t="shared" si="174"/>
        <v/>
      </c>
      <c r="AC108" s="108" t="str">
        <f t="shared" si="174"/>
        <v/>
      </c>
      <c r="AD108" s="108" t="str">
        <f t="shared" si="174"/>
        <v/>
      </c>
      <c r="AE108" s="108" t="str">
        <f t="shared" si="175"/>
        <v/>
      </c>
      <c r="AF108" s="108" t="str">
        <f t="shared" si="175"/>
        <v/>
      </c>
      <c r="AG108" s="108" t="str">
        <f t="shared" si="175"/>
        <v/>
      </c>
      <c r="AH108" s="108" t="str">
        <f t="shared" si="175"/>
        <v/>
      </c>
      <c r="AI108" s="108" t="str">
        <f t="shared" si="175"/>
        <v/>
      </c>
      <c r="AJ108" s="108" t="str">
        <f t="shared" si="175"/>
        <v/>
      </c>
      <c r="AK108" s="108" t="str">
        <f t="shared" si="175"/>
        <v/>
      </c>
      <c r="AL108" s="108" t="str">
        <f t="shared" si="175"/>
        <v/>
      </c>
      <c r="AM108" s="108" t="str">
        <f t="shared" si="175"/>
        <v/>
      </c>
      <c r="AN108" s="108" t="str">
        <f t="shared" si="175"/>
        <v/>
      </c>
      <c r="AO108" s="108" t="str">
        <f t="shared" si="176"/>
        <v/>
      </c>
      <c r="AP108" s="108" t="str">
        <f t="shared" si="176"/>
        <v/>
      </c>
      <c r="AQ108" s="108" t="str">
        <f t="shared" si="176"/>
        <v/>
      </c>
      <c r="AR108" s="108" t="str">
        <f t="shared" si="176"/>
        <v/>
      </c>
      <c r="AS108" s="108" t="str">
        <f t="shared" si="176"/>
        <v/>
      </c>
      <c r="AT108" s="108" t="str">
        <f t="shared" si="176"/>
        <v/>
      </c>
      <c r="AU108" s="108" t="str">
        <f t="shared" si="176"/>
        <v/>
      </c>
      <c r="AV108" s="108" t="str">
        <f t="shared" si="176"/>
        <v/>
      </c>
      <c r="AW108" s="108" t="str">
        <f t="shared" si="176"/>
        <v/>
      </c>
      <c r="AX108" s="108" t="str">
        <f t="shared" si="176"/>
        <v/>
      </c>
      <c r="AY108" s="108" t="str">
        <f t="shared" si="177"/>
        <v/>
      </c>
      <c r="AZ108" s="108" t="str">
        <f t="shared" si="177"/>
        <v/>
      </c>
      <c r="BA108" s="108" t="str">
        <f t="shared" si="177"/>
        <v/>
      </c>
      <c r="BB108" s="108" t="str">
        <f t="shared" si="177"/>
        <v/>
      </c>
      <c r="BC108" s="108" t="str">
        <f t="shared" si="177"/>
        <v/>
      </c>
      <c r="BD108" s="108" t="str">
        <f t="shared" si="177"/>
        <v/>
      </c>
      <c r="BE108" s="108" t="str">
        <f t="shared" si="177"/>
        <v/>
      </c>
      <c r="BF108" s="108" t="str">
        <f t="shared" si="177"/>
        <v/>
      </c>
      <c r="BG108" s="108" t="str">
        <f t="shared" si="177"/>
        <v/>
      </c>
      <c r="BH108" s="108" t="str">
        <f t="shared" si="177"/>
        <v/>
      </c>
      <c r="BI108" s="108" t="str">
        <f t="shared" si="178"/>
        <v/>
      </c>
      <c r="BJ108" s="108" t="str">
        <f t="shared" si="178"/>
        <v/>
      </c>
      <c r="BK108" s="108" t="str">
        <f t="shared" si="178"/>
        <v/>
      </c>
      <c r="BL108" s="108" t="str">
        <f t="shared" si="178"/>
        <v/>
      </c>
      <c r="BM108" s="108" t="str">
        <f t="shared" si="178"/>
        <v/>
      </c>
      <c r="BN108" s="108" t="str">
        <f t="shared" si="178"/>
        <v/>
      </c>
      <c r="BO108" s="108" t="str">
        <f t="shared" si="178"/>
        <v/>
      </c>
      <c r="BP108" s="108" t="str">
        <f t="shared" si="178"/>
        <v/>
      </c>
      <c r="BQ108" s="108" t="str">
        <f t="shared" si="178"/>
        <v/>
      </c>
      <c r="BR108" s="108" t="str">
        <f t="shared" si="178"/>
        <v/>
      </c>
      <c r="BS108" s="108" t="str">
        <f t="shared" si="179"/>
        <v/>
      </c>
      <c r="BT108" s="108" t="str">
        <f t="shared" si="179"/>
        <v/>
      </c>
      <c r="BU108" s="108" t="str">
        <f t="shared" si="179"/>
        <v/>
      </c>
      <c r="BV108" s="108" t="str">
        <f t="shared" si="179"/>
        <v/>
      </c>
      <c r="BW108" s="108" t="str">
        <f t="shared" si="179"/>
        <v/>
      </c>
      <c r="BX108" s="108" t="str">
        <f t="shared" si="179"/>
        <v/>
      </c>
      <c r="BY108" s="108" t="str">
        <f t="shared" si="179"/>
        <v/>
      </c>
      <c r="BZ108" s="108" t="str">
        <f t="shared" si="179"/>
        <v/>
      </c>
      <c r="CA108" s="108" t="str">
        <f t="shared" si="179"/>
        <v/>
      </c>
      <c r="CB108" s="108" t="str">
        <f t="shared" si="179"/>
        <v/>
      </c>
      <c r="CC108" s="108" t="str">
        <f t="shared" si="180"/>
        <v/>
      </c>
      <c r="CD108" s="108" t="str">
        <f t="shared" si="180"/>
        <v/>
      </c>
      <c r="CE108" s="108" t="str">
        <f t="shared" si="180"/>
        <v/>
      </c>
      <c r="CF108" s="108" t="str">
        <f t="shared" si="180"/>
        <v/>
      </c>
      <c r="CG108" s="108" t="str">
        <f t="shared" si="180"/>
        <v/>
      </c>
      <c r="CH108" s="108" t="str">
        <f t="shared" si="180"/>
        <v/>
      </c>
      <c r="CI108" s="108" t="str">
        <f t="shared" si="180"/>
        <v/>
      </c>
      <c r="CJ108" s="108" t="str">
        <f t="shared" si="180"/>
        <v/>
      </c>
      <c r="CK108" s="108" t="str">
        <f t="shared" si="180"/>
        <v/>
      </c>
      <c r="CL108" s="108" t="str">
        <f t="shared" si="180"/>
        <v/>
      </c>
      <c r="CM108" s="108" t="str">
        <f t="shared" si="181"/>
        <v/>
      </c>
      <c r="CN108" s="108" t="str">
        <f t="shared" si="181"/>
        <v/>
      </c>
      <c r="CO108" s="108" t="str">
        <f t="shared" si="181"/>
        <v/>
      </c>
      <c r="CP108" s="108" t="str">
        <f t="shared" si="181"/>
        <v/>
      </c>
      <c r="CQ108" s="108" t="str">
        <f t="shared" si="181"/>
        <v/>
      </c>
      <c r="CR108" s="109" t="str">
        <f t="shared" si="181"/>
        <v/>
      </c>
      <c r="CS108" s="108" t="str">
        <f t="shared" si="181"/>
        <v/>
      </c>
      <c r="CT108" s="108" t="str">
        <f t="shared" si="181"/>
        <v/>
      </c>
      <c r="CU108" s="108" t="str">
        <f t="shared" si="181"/>
        <v/>
      </c>
      <c r="CV108" s="108" t="str">
        <f t="shared" si="181"/>
        <v/>
      </c>
      <c r="CW108" s="108" t="str">
        <f t="shared" si="182"/>
        <v/>
      </c>
      <c r="CX108" s="108" t="str">
        <f t="shared" si="182"/>
        <v/>
      </c>
      <c r="CY108" s="108" t="str">
        <f t="shared" si="182"/>
        <v/>
      </c>
      <c r="CZ108" s="109" t="str">
        <f t="shared" si="182"/>
        <v/>
      </c>
      <c r="DA108" s="108" t="str">
        <f t="shared" si="182"/>
        <v/>
      </c>
      <c r="DB108" s="108" t="str">
        <f t="shared" si="182"/>
        <v/>
      </c>
      <c r="DC108" s="108" t="str">
        <f t="shared" si="182"/>
        <v/>
      </c>
      <c r="DD108" s="108" t="str">
        <f t="shared" si="182"/>
        <v/>
      </c>
      <c r="DE108" s="108" t="str">
        <f t="shared" si="182"/>
        <v/>
      </c>
      <c r="DF108" s="108" t="str">
        <f t="shared" si="182"/>
        <v/>
      </c>
      <c r="DG108" s="108" t="str">
        <f t="shared" si="183"/>
        <v/>
      </c>
      <c r="DH108" s="109" t="str">
        <f t="shared" si="183"/>
        <v/>
      </c>
      <c r="DI108" s="108" t="str">
        <f t="shared" si="183"/>
        <v/>
      </c>
      <c r="DJ108" s="108" t="str">
        <f t="shared" si="183"/>
        <v/>
      </c>
      <c r="DK108" s="108" t="str">
        <f t="shared" si="183"/>
        <v/>
      </c>
      <c r="DL108" s="108" t="str">
        <f t="shared" si="183"/>
        <v/>
      </c>
      <c r="DM108" s="108" t="str">
        <f t="shared" si="183"/>
        <v/>
      </c>
      <c r="DN108" s="108" t="str">
        <f t="shared" si="183"/>
        <v/>
      </c>
      <c r="DO108" s="109" t="str">
        <f t="shared" si="183"/>
        <v/>
      </c>
      <c r="DP108" s="108" t="str">
        <f t="shared" si="183"/>
        <v/>
      </c>
      <c r="DQ108" s="108" t="str">
        <f t="shared" si="184"/>
        <v/>
      </c>
      <c r="DR108" s="108" t="str">
        <f t="shared" si="184"/>
        <v/>
      </c>
      <c r="DS108" s="108" t="str">
        <f t="shared" si="184"/>
        <v/>
      </c>
      <c r="DT108" s="108" t="str">
        <f t="shared" si="184"/>
        <v/>
      </c>
      <c r="DU108" s="108" t="str">
        <f t="shared" si="184"/>
        <v/>
      </c>
      <c r="DV108" s="108" t="str">
        <f t="shared" si="184"/>
        <v/>
      </c>
      <c r="DW108" s="109" t="str">
        <f t="shared" si="184"/>
        <v/>
      </c>
      <c r="DX108" s="108" t="str">
        <f t="shared" si="184"/>
        <v/>
      </c>
      <c r="DY108" s="108" t="str">
        <f t="shared" si="184"/>
        <v/>
      </c>
      <c r="DZ108" s="108" t="str">
        <f t="shared" si="184"/>
        <v/>
      </c>
      <c r="EA108" s="108" t="str">
        <f t="shared" si="185"/>
        <v/>
      </c>
      <c r="EB108" s="108" t="str">
        <f t="shared" si="185"/>
        <v/>
      </c>
      <c r="EC108" s="108" t="str">
        <f t="shared" si="185"/>
        <v/>
      </c>
      <c r="ED108" s="109" t="str">
        <f t="shared" si="185"/>
        <v/>
      </c>
      <c r="EE108" s="108" t="str">
        <f t="shared" si="185"/>
        <v/>
      </c>
      <c r="EF108" s="108" t="str">
        <f t="shared" si="185"/>
        <v/>
      </c>
      <c r="EG108" s="108" t="str">
        <f t="shared" si="185"/>
        <v/>
      </c>
      <c r="EH108" s="108" t="str">
        <f t="shared" si="185"/>
        <v/>
      </c>
      <c r="EI108" s="108" t="str">
        <f t="shared" si="185"/>
        <v/>
      </c>
      <c r="EJ108" s="108" t="str">
        <f t="shared" si="185"/>
        <v/>
      </c>
      <c r="EK108" s="108" t="str">
        <f t="shared" si="186"/>
        <v/>
      </c>
      <c r="EL108" s="108" t="str">
        <f t="shared" si="186"/>
        <v/>
      </c>
      <c r="EM108" s="108" t="str">
        <f t="shared" si="186"/>
        <v/>
      </c>
      <c r="EN108" s="108" t="str">
        <f t="shared" si="186"/>
        <v/>
      </c>
      <c r="EO108" s="108" t="str">
        <f t="shared" si="186"/>
        <v/>
      </c>
      <c r="EP108" s="108" t="str">
        <f t="shared" si="186"/>
        <v/>
      </c>
      <c r="EQ108" s="108" t="str">
        <f t="shared" si="186"/>
        <v/>
      </c>
      <c r="ER108" s="108" t="str">
        <f t="shared" si="186"/>
        <v/>
      </c>
      <c r="ES108" s="109" t="str">
        <f t="shared" si="186"/>
        <v/>
      </c>
      <c r="ET108" s="108" t="str">
        <f t="shared" si="186"/>
        <v/>
      </c>
      <c r="EU108" s="108" t="str">
        <f t="shared" si="187"/>
        <v/>
      </c>
      <c r="EV108" s="108" t="str">
        <f t="shared" si="187"/>
        <v/>
      </c>
      <c r="EW108" s="108" t="str">
        <f t="shared" si="187"/>
        <v/>
      </c>
      <c r="EX108" s="108" t="str">
        <f t="shared" si="187"/>
        <v/>
      </c>
      <c r="EY108" s="108" t="str">
        <f t="shared" si="187"/>
        <v/>
      </c>
      <c r="EZ108" s="108" t="str">
        <f t="shared" si="187"/>
        <v/>
      </c>
      <c r="FA108" s="108" t="str">
        <f t="shared" si="187"/>
        <v/>
      </c>
      <c r="FB108" s="108" t="str">
        <f t="shared" si="187"/>
        <v/>
      </c>
      <c r="FC108" s="108" t="str">
        <f t="shared" si="187"/>
        <v/>
      </c>
      <c r="FD108" s="108" t="str">
        <f t="shared" si="187"/>
        <v/>
      </c>
      <c r="FE108" s="108" t="str">
        <f t="shared" si="188"/>
        <v/>
      </c>
      <c r="FF108" s="109" t="str">
        <f t="shared" si="188"/>
        <v/>
      </c>
      <c r="FG108" s="108" t="str">
        <f t="shared" si="188"/>
        <v/>
      </c>
      <c r="FH108" s="108" t="str">
        <f t="shared" si="188"/>
        <v/>
      </c>
      <c r="FI108" s="108" t="str">
        <f t="shared" si="188"/>
        <v/>
      </c>
      <c r="FJ108" s="108" t="str">
        <f t="shared" si="188"/>
        <v/>
      </c>
      <c r="FK108" s="108" t="str">
        <f t="shared" si="188"/>
        <v/>
      </c>
      <c r="FL108" s="108" t="str">
        <f t="shared" si="188"/>
        <v/>
      </c>
      <c r="FM108" s="108" t="str">
        <f t="shared" si="188"/>
        <v/>
      </c>
      <c r="FN108" s="108" t="str">
        <f t="shared" si="188"/>
        <v/>
      </c>
      <c r="FO108" s="108" t="str">
        <f t="shared" si="189"/>
        <v/>
      </c>
      <c r="FP108" s="108" t="str">
        <f t="shared" si="189"/>
        <v/>
      </c>
      <c r="FQ108" s="108" t="str">
        <f t="shared" si="189"/>
        <v/>
      </c>
      <c r="FR108" s="108" t="str">
        <f t="shared" si="189"/>
        <v/>
      </c>
      <c r="FS108" s="108" t="str">
        <f t="shared" si="189"/>
        <v/>
      </c>
      <c r="FT108" s="108" t="str">
        <f t="shared" si="189"/>
        <v/>
      </c>
      <c r="FU108" s="108" t="str">
        <f t="shared" si="189"/>
        <v/>
      </c>
      <c r="FV108" s="108" t="str">
        <f t="shared" si="189"/>
        <v/>
      </c>
      <c r="FW108" s="110" t="str">
        <f t="shared" si="189"/>
        <v/>
      </c>
    </row>
    <row r="109" spans="2:179" s="101" customFormat="1" ht="21" customHeight="1" x14ac:dyDescent="0.35">
      <c r="B109" s="27" t="e">
        <f>Portfolio_Daten!#REF!</f>
        <v>#REF!</v>
      </c>
      <c r="C109" s="27">
        <f>Portfolio_Daten!B110</f>
        <v>0</v>
      </c>
      <c r="D109" s="28">
        <f>Portfolio_Daten!E111</f>
        <v>0</v>
      </c>
      <c r="E109" s="31">
        <f>Portfolio_Daten!T111</f>
        <v>0</v>
      </c>
      <c r="F109" s="31">
        <f>Portfolio_Daten!U111</f>
        <v>0</v>
      </c>
      <c r="G109" s="107">
        <f>IF(F109="","",NETWORKDAYS(E109,F109,Parameter!$C$4:$C$51))</f>
        <v>0</v>
      </c>
      <c r="H109" s="29">
        <f>Portfolio_Daten!AG111</f>
        <v>0</v>
      </c>
      <c r="I109" s="33">
        <f>Portfolio_Daten!AI111</f>
        <v>0</v>
      </c>
      <c r="J109" s="106"/>
      <c r="K109" s="108" t="str">
        <f t="shared" si="173"/>
        <v/>
      </c>
      <c r="L109" s="108" t="str">
        <f t="shared" si="173"/>
        <v/>
      </c>
      <c r="M109" s="108" t="str">
        <f t="shared" si="173"/>
        <v/>
      </c>
      <c r="N109" s="108" t="str">
        <f t="shared" si="173"/>
        <v/>
      </c>
      <c r="O109" s="108" t="str">
        <f t="shared" si="173"/>
        <v/>
      </c>
      <c r="P109" s="108" t="str">
        <f t="shared" si="173"/>
        <v/>
      </c>
      <c r="Q109" s="108" t="str">
        <f t="shared" si="173"/>
        <v/>
      </c>
      <c r="R109" s="108" t="str">
        <f t="shared" si="173"/>
        <v/>
      </c>
      <c r="S109" s="108" t="str">
        <f t="shared" si="173"/>
        <v/>
      </c>
      <c r="T109" s="108" t="str">
        <f t="shared" si="173"/>
        <v/>
      </c>
      <c r="U109" s="108" t="str">
        <f t="shared" si="174"/>
        <v/>
      </c>
      <c r="V109" s="108" t="str">
        <f t="shared" si="174"/>
        <v/>
      </c>
      <c r="W109" s="108" t="str">
        <f t="shared" si="174"/>
        <v/>
      </c>
      <c r="X109" s="108" t="str">
        <f t="shared" si="174"/>
        <v/>
      </c>
      <c r="Y109" s="108" t="str">
        <f t="shared" si="174"/>
        <v/>
      </c>
      <c r="Z109" s="108" t="str">
        <f t="shared" si="174"/>
        <v/>
      </c>
      <c r="AA109" s="108" t="str">
        <f t="shared" si="174"/>
        <v/>
      </c>
      <c r="AB109" s="108" t="str">
        <f t="shared" si="174"/>
        <v/>
      </c>
      <c r="AC109" s="108" t="str">
        <f t="shared" si="174"/>
        <v/>
      </c>
      <c r="AD109" s="108" t="str">
        <f t="shared" si="174"/>
        <v/>
      </c>
      <c r="AE109" s="108" t="str">
        <f t="shared" si="175"/>
        <v/>
      </c>
      <c r="AF109" s="108" t="str">
        <f t="shared" si="175"/>
        <v/>
      </c>
      <c r="AG109" s="108" t="str">
        <f t="shared" si="175"/>
        <v/>
      </c>
      <c r="AH109" s="108" t="str">
        <f t="shared" si="175"/>
        <v/>
      </c>
      <c r="AI109" s="108" t="str">
        <f t="shared" si="175"/>
        <v/>
      </c>
      <c r="AJ109" s="108" t="str">
        <f t="shared" si="175"/>
        <v/>
      </c>
      <c r="AK109" s="108" t="str">
        <f t="shared" si="175"/>
        <v/>
      </c>
      <c r="AL109" s="108" t="str">
        <f t="shared" si="175"/>
        <v/>
      </c>
      <c r="AM109" s="108" t="str">
        <f t="shared" si="175"/>
        <v/>
      </c>
      <c r="AN109" s="108" t="str">
        <f t="shared" si="175"/>
        <v/>
      </c>
      <c r="AO109" s="108" t="str">
        <f t="shared" si="176"/>
        <v/>
      </c>
      <c r="AP109" s="108" t="str">
        <f t="shared" si="176"/>
        <v/>
      </c>
      <c r="AQ109" s="108" t="str">
        <f t="shared" si="176"/>
        <v/>
      </c>
      <c r="AR109" s="108" t="str">
        <f t="shared" si="176"/>
        <v/>
      </c>
      <c r="AS109" s="108" t="str">
        <f t="shared" si="176"/>
        <v/>
      </c>
      <c r="AT109" s="108" t="str">
        <f t="shared" si="176"/>
        <v/>
      </c>
      <c r="AU109" s="108" t="str">
        <f t="shared" si="176"/>
        <v/>
      </c>
      <c r="AV109" s="108" t="str">
        <f t="shared" si="176"/>
        <v/>
      </c>
      <c r="AW109" s="108" t="str">
        <f t="shared" si="176"/>
        <v/>
      </c>
      <c r="AX109" s="108" t="str">
        <f t="shared" si="176"/>
        <v/>
      </c>
      <c r="AY109" s="108" t="str">
        <f t="shared" si="177"/>
        <v/>
      </c>
      <c r="AZ109" s="108" t="str">
        <f t="shared" si="177"/>
        <v/>
      </c>
      <c r="BA109" s="108" t="str">
        <f t="shared" si="177"/>
        <v/>
      </c>
      <c r="BB109" s="108" t="str">
        <f t="shared" si="177"/>
        <v/>
      </c>
      <c r="BC109" s="108" t="str">
        <f t="shared" si="177"/>
        <v/>
      </c>
      <c r="BD109" s="108" t="str">
        <f t="shared" si="177"/>
        <v/>
      </c>
      <c r="BE109" s="108" t="str">
        <f t="shared" si="177"/>
        <v/>
      </c>
      <c r="BF109" s="108" t="str">
        <f t="shared" si="177"/>
        <v/>
      </c>
      <c r="BG109" s="108" t="str">
        <f t="shared" si="177"/>
        <v/>
      </c>
      <c r="BH109" s="108" t="str">
        <f t="shared" si="177"/>
        <v/>
      </c>
      <c r="BI109" s="108" t="str">
        <f t="shared" si="178"/>
        <v/>
      </c>
      <c r="BJ109" s="108" t="str">
        <f t="shared" si="178"/>
        <v/>
      </c>
      <c r="BK109" s="108" t="str">
        <f t="shared" si="178"/>
        <v/>
      </c>
      <c r="BL109" s="108" t="str">
        <f t="shared" si="178"/>
        <v/>
      </c>
      <c r="BM109" s="108" t="str">
        <f t="shared" si="178"/>
        <v/>
      </c>
      <c r="BN109" s="108" t="str">
        <f t="shared" si="178"/>
        <v/>
      </c>
      <c r="BO109" s="108" t="str">
        <f t="shared" si="178"/>
        <v/>
      </c>
      <c r="BP109" s="108" t="str">
        <f t="shared" si="178"/>
        <v/>
      </c>
      <c r="BQ109" s="108" t="str">
        <f t="shared" si="178"/>
        <v/>
      </c>
      <c r="BR109" s="108" t="str">
        <f t="shared" si="178"/>
        <v/>
      </c>
      <c r="BS109" s="108" t="str">
        <f t="shared" si="179"/>
        <v/>
      </c>
      <c r="BT109" s="108" t="str">
        <f t="shared" si="179"/>
        <v/>
      </c>
      <c r="BU109" s="108" t="str">
        <f t="shared" si="179"/>
        <v/>
      </c>
      <c r="BV109" s="108" t="str">
        <f t="shared" si="179"/>
        <v/>
      </c>
      <c r="BW109" s="108" t="str">
        <f t="shared" si="179"/>
        <v/>
      </c>
      <c r="BX109" s="108" t="str">
        <f t="shared" si="179"/>
        <v/>
      </c>
      <c r="BY109" s="108" t="str">
        <f t="shared" si="179"/>
        <v/>
      </c>
      <c r="BZ109" s="108" t="str">
        <f t="shared" si="179"/>
        <v/>
      </c>
      <c r="CA109" s="108" t="str">
        <f t="shared" si="179"/>
        <v/>
      </c>
      <c r="CB109" s="108" t="str">
        <f t="shared" si="179"/>
        <v/>
      </c>
      <c r="CC109" s="108" t="str">
        <f t="shared" si="180"/>
        <v/>
      </c>
      <c r="CD109" s="108" t="str">
        <f t="shared" si="180"/>
        <v/>
      </c>
      <c r="CE109" s="108" t="str">
        <f t="shared" si="180"/>
        <v/>
      </c>
      <c r="CF109" s="108" t="str">
        <f t="shared" si="180"/>
        <v/>
      </c>
      <c r="CG109" s="108" t="str">
        <f t="shared" si="180"/>
        <v/>
      </c>
      <c r="CH109" s="108" t="str">
        <f t="shared" si="180"/>
        <v/>
      </c>
      <c r="CI109" s="108" t="str">
        <f t="shared" si="180"/>
        <v/>
      </c>
      <c r="CJ109" s="108" t="str">
        <f t="shared" si="180"/>
        <v/>
      </c>
      <c r="CK109" s="108" t="str">
        <f t="shared" si="180"/>
        <v/>
      </c>
      <c r="CL109" s="108" t="str">
        <f t="shared" si="180"/>
        <v/>
      </c>
      <c r="CM109" s="108" t="str">
        <f t="shared" si="181"/>
        <v/>
      </c>
      <c r="CN109" s="108" t="str">
        <f t="shared" si="181"/>
        <v/>
      </c>
      <c r="CO109" s="108" t="str">
        <f t="shared" si="181"/>
        <v/>
      </c>
      <c r="CP109" s="108" t="str">
        <f t="shared" si="181"/>
        <v/>
      </c>
      <c r="CQ109" s="108" t="str">
        <f t="shared" si="181"/>
        <v/>
      </c>
      <c r="CR109" s="109" t="str">
        <f t="shared" si="181"/>
        <v/>
      </c>
      <c r="CS109" s="108" t="str">
        <f t="shared" si="181"/>
        <v/>
      </c>
      <c r="CT109" s="108" t="str">
        <f t="shared" si="181"/>
        <v/>
      </c>
      <c r="CU109" s="108" t="str">
        <f t="shared" si="181"/>
        <v/>
      </c>
      <c r="CV109" s="108" t="str">
        <f t="shared" si="181"/>
        <v/>
      </c>
      <c r="CW109" s="108" t="str">
        <f t="shared" si="182"/>
        <v/>
      </c>
      <c r="CX109" s="108" t="str">
        <f t="shared" si="182"/>
        <v/>
      </c>
      <c r="CY109" s="108" t="str">
        <f t="shared" si="182"/>
        <v/>
      </c>
      <c r="CZ109" s="109" t="str">
        <f t="shared" si="182"/>
        <v/>
      </c>
      <c r="DA109" s="108" t="str">
        <f t="shared" si="182"/>
        <v/>
      </c>
      <c r="DB109" s="108" t="str">
        <f t="shared" si="182"/>
        <v/>
      </c>
      <c r="DC109" s="108" t="str">
        <f t="shared" si="182"/>
        <v/>
      </c>
      <c r="DD109" s="108" t="str">
        <f t="shared" si="182"/>
        <v/>
      </c>
      <c r="DE109" s="108" t="str">
        <f t="shared" si="182"/>
        <v/>
      </c>
      <c r="DF109" s="108" t="str">
        <f t="shared" si="182"/>
        <v/>
      </c>
      <c r="DG109" s="108" t="str">
        <f t="shared" si="183"/>
        <v/>
      </c>
      <c r="DH109" s="109" t="str">
        <f t="shared" si="183"/>
        <v/>
      </c>
      <c r="DI109" s="108" t="str">
        <f t="shared" si="183"/>
        <v/>
      </c>
      <c r="DJ109" s="108" t="str">
        <f t="shared" si="183"/>
        <v/>
      </c>
      <c r="DK109" s="108" t="str">
        <f t="shared" si="183"/>
        <v/>
      </c>
      <c r="DL109" s="108" t="str">
        <f t="shared" si="183"/>
        <v/>
      </c>
      <c r="DM109" s="108" t="str">
        <f t="shared" si="183"/>
        <v/>
      </c>
      <c r="DN109" s="108" t="str">
        <f t="shared" si="183"/>
        <v/>
      </c>
      <c r="DO109" s="109" t="str">
        <f t="shared" si="183"/>
        <v/>
      </c>
      <c r="DP109" s="108" t="str">
        <f t="shared" si="183"/>
        <v/>
      </c>
      <c r="DQ109" s="108" t="str">
        <f t="shared" si="184"/>
        <v/>
      </c>
      <c r="DR109" s="108" t="str">
        <f t="shared" si="184"/>
        <v/>
      </c>
      <c r="DS109" s="108" t="str">
        <f t="shared" si="184"/>
        <v/>
      </c>
      <c r="DT109" s="108" t="str">
        <f t="shared" si="184"/>
        <v/>
      </c>
      <c r="DU109" s="108" t="str">
        <f t="shared" si="184"/>
        <v/>
      </c>
      <c r="DV109" s="108" t="str">
        <f t="shared" si="184"/>
        <v/>
      </c>
      <c r="DW109" s="109" t="str">
        <f t="shared" si="184"/>
        <v/>
      </c>
      <c r="DX109" s="108" t="str">
        <f t="shared" si="184"/>
        <v/>
      </c>
      <c r="DY109" s="108" t="str">
        <f t="shared" si="184"/>
        <v/>
      </c>
      <c r="DZ109" s="108" t="str">
        <f t="shared" si="184"/>
        <v/>
      </c>
      <c r="EA109" s="108" t="str">
        <f t="shared" si="185"/>
        <v/>
      </c>
      <c r="EB109" s="108" t="str">
        <f t="shared" si="185"/>
        <v/>
      </c>
      <c r="EC109" s="108" t="str">
        <f t="shared" si="185"/>
        <v/>
      </c>
      <c r="ED109" s="109" t="str">
        <f t="shared" si="185"/>
        <v/>
      </c>
      <c r="EE109" s="108" t="str">
        <f t="shared" si="185"/>
        <v/>
      </c>
      <c r="EF109" s="108" t="str">
        <f t="shared" si="185"/>
        <v/>
      </c>
      <c r="EG109" s="108" t="str">
        <f t="shared" si="185"/>
        <v/>
      </c>
      <c r="EH109" s="108" t="str">
        <f t="shared" si="185"/>
        <v/>
      </c>
      <c r="EI109" s="108" t="str">
        <f t="shared" si="185"/>
        <v/>
      </c>
      <c r="EJ109" s="108" t="str">
        <f t="shared" si="185"/>
        <v/>
      </c>
      <c r="EK109" s="108" t="str">
        <f t="shared" si="186"/>
        <v/>
      </c>
      <c r="EL109" s="108" t="str">
        <f t="shared" si="186"/>
        <v/>
      </c>
      <c r="EM109" s="108" t="str">
        <f t="shared" si="186"/>
        <v/>
      </c>
      <c r="EN109" s="108" t="str">
        <f t="shared" si="186"/>
        <v/>
      </c>
      <c r="EO109" s="108" t="str">
        <f t="shared" si="186"/>
        <v/>
      </c>
      <c r="EP109" s="108" t="str">
        <f t="shared" si="186"/>
        <v/>
      </c>
      <c r="EQ109" s="108" t="str">
        <f t="shared" si="186"/>
        <v/>
      </c>
      <c r="ER109" s="108" t="str">
        <f t="shared" si="186"/>
        <v/>
      </c>
      <c r="ES109" s="109" t="str">
        <f t="shared" si="186"/>
        <v/>
      </c>
      <c r="ET109" s="108" t="str">
        <f t="shared" si="186"/>
        <v/>
      </c>
      <c r="EU109" s="108" t="str">
        <f t="shared" si="187"/>
        <v/>
      </c>
      <c r="EV109" s="108" t="str">
        <f t="shared" si="187"/>
        <v/>
      </c>
      <c r="EW109" s="108" t="str">
        <f t="shared" si="187"/>
        <v/>
      </c>
      <c r="EX109" s="108" t="str">
        <f t="shared" si="187"/>
        <v/>
      </c>
      <c r="EY109" s="108" t="str">
        <f t="shared" si="187"/>
        <v/>
      </c>
      <c r="EZ109" s="108" t="str">
        <f t="shared" si="187"/>
        <v/>
      </c>
      <c r="FA109" s="108" t="str">
        <f t="shared" si="187"/>
        <v/>
      </c>
      <c r="FB109" s="108" t="str">
        <f t="shared" si="187"/>
        <v/>
      </c>
      <c r="FC109" s="108" t="str">
        <f t="shared" si="187"/>
        <v/>
      </c>
      <c r="FD109" s="108" t="str">
        <f t="shared" si="187"/>
        <v/>
      </c>
      <c r="FE109" s="108" t="str">
        <f t="shared" si="188"/>
        <v/>
      </c>
      <c r="FF109" s="109" t="str">
        <f t="shared" si="188"/>
        <v/>
      </c>
      <c r="FG109" s="108" t="str">
        <f t="shared" si="188"/>
        <v/>
      </c>
      <c r="FH109" s="108" t="str">
        <f t="shared" si="188"/>
        <v/>
      </c>
      <c r="FI109" s="108" t="str">
        <f t="shared" si="188"/>
        <v/>
      </c>
      <c r="FJ109" s="108" t="str">
        <f t="shared" si="188"/>
        <v/>
      </c>
      <c r="FK109" s="108" t="str">
        <f t="shared" si="188"/>
        <v/>
      </c>
      <c r="FL109" s="108" t="str">
        <f t="shared" si="188"/>
        <v/>
      </c>
      <c r="FM109" s="108" t="str">
        <f t="shared" si="188"/>
        <v/>
      </c>
      <c r="FN109" s="108" t="str">
        <f t="shared" si="188"/>
        <v/>
      </c>
      <c r="FO109" s="108" t="str">
        <f t="shared" si="189"/>
        <v/>
      </c>
      <c r="FP109" s="108" t="str">
        <f t="shared" si="189"/>
        <v/>
      </c>
      <c r="FQ109" s="108" t="str">
        <f t="shared" si="189"/>
        <v/>
      </c>
      <c r="FR109" s="108" t="str">
        <f t="shared" si="189"/>
        <v/>
      </c>
      <c r="FS109" s="108" t="str">
        <f t="shared" si="189"/>
        <v/>
      </c>
      <c r="FT109" s="108" t="str">
        <f t="shared" si="189"/>
        <v/>
      </c>
      <c r="FU109" s="108" t="str">
        <f t="shared" si="189"/>
        <v/>
      </c>
      <c r="FV109" s="108" t="str">
        <f t="shared" si="189"/>
        <v/>
      </c>
      <c r="FW109" s="110" t="str">
        <f t="shared" si="189"/>
        <v/>
      </c>
    </row>
    <row r="110" spans="2:179" s="101" customFormat="1" ht="21" customHeight="1" x14ac:dyDescent="0.35">
      <c r="B110" s="27" t="e">
        <f>Portfolio_Daten!#REF!</f>
        <v>#REF!</v>
      </c>
      <c r="C110" s="27">
        <f>Portfolio_Daten!B111</f>
        <v>0</v>
      </c>
      <c r="D110" s="28">
        <f>Portfolio_Daten!E112</f>
        <v>0</v>
      </c>
      <c r="E110" s="31">
        <f>Portfolio_Daten!T112</f>
        <v>0</v>
      </c>
      <c r="F110" s="31">
        <f>Portfolio_Daten!U112</f>
        <v>0</v>
      </c>
      <c r="G110" s="107">
        <f>IF(F110="","",NETWORKDAYS(E110,F110,Parameter!$C$4:$C$51))</f>
        <v>0</v>
      </c>
      <c r="H110" s="29">
        <f>Portfolio_Daten!AG112</f>
        <v>0</v>
      </c>
      <c r="I110" s="33">
        <f>Portfolio_Daten!AI112</f>
        <v>0</v>
      </c>
      <c r="J110" s="106"/>
      <c r="K110" s="108" t="str">
        <f t="shared" si="173"/>
        <v/>
      </c>
      <c r="L110" s="108" t="str">
        <f t="shared" si="173"/>
        <v/>
      </c>
      <c r="M110" s="108" t="str">
        <f t="shared" si="173"/>
        <v/>
      </c>
      <c r="N110" s="108" t="str">
        <f t="shared" si="173"/>
        <v/>
      </c>
      <c r="O110" s="108" t="str">
        <f t="shared" si="173"/>
        <v/>
      </c>
      <c r="P110" s="108" t="str">
        <f t="shared" si="173"/>
        <v/>
      </c>
      <c r="Q110" s="108" t="str">
        <f t="shared" si="173"/>
        <v/>
      </c>
      <c r="R110" s="108" t="str">
        <f t="shared" si="173"/>
        <v/>
      </c>
      <c r="S110" s="108" t="str">
        <f t="shared" si="173"/>
        <v/>
      </c>
      <c r="T110" s="108" t="str">
        <f t="shared" si="173"/>
        <v/>
      </c>
      <c r="U110" s="108" t="str">
        <f t="shared" si="174"/>
        <v/>
      </c>
      <c r="V110" s="108" t="str">
        <f t="shared" si="174"/>
        <v/>
      </c>
      <c r="W110" s="108" t="str">
        <f t="shared" si="174"/>
        <v/>
      </c>
      <c r="X110" s="108" t="str">
        <f t="shared" si="174"/>
        <v/>
      </c>
      <c r="Y110" s="108" t="str">
        <f t="shared" si="174"/>
        <v/>
      </c>
      <c r="Z110" s="108" t="str">
        <f t="shared" si="174"/>
        <v/>
      </c>
      <c r="AA110" s="108" t="str">
        <f t="shared" si="174"/>
        <v/>
      </c>
      <c r="AB110" s="108" t="str">
        <f t="shared" si="174"/>
        <v/>
      </c>
      <c r="AC110" s="108" t="str">
        <f t="shared" si="174"/>
        <v/>
      </c>
      <c r="AD110" s="108" t="str">
        <f t="shared" si="174"/>
        <v/>
      </c>
      <c r="AE110" s="108" t="str">
        <f t="shared" si="175"/>
        <v/>
      </c>
      <c r="AF110" s="108" t="str">
        <f t="shared" si="175"/>
        <v/>
      </c>
      <c r="AG110" s="108" t="str">
        <f t="shared" si="175"/>
        <v/>
      </c>
      <c r="AH110" s="108" t="str">
        <f t="shared" si="175"/>
        <v/>
      </c>
      <c r="AI110" s="108" t="str">
        <f t="shared" si="175"/>
        <v/>
      </c>
      <c r="AJ110" s="108" t="str">
        <f t="shared" si="175"/>
        <v/>
      </c>
      <c r="AK110" s="108" t="str">
        <f t="shared" si="175"/>
        <v/>
      </c>
      <c r="AL110" s="108" t="str">
        <f t="shared" si="175"/>
        <v/>
      </c>
      <c r="AM110" s="108" t="str">
        <f t="shared" si="175"/>
        <v/>
      </c>
      <c r="AN110" s="108" t="str">
        <f t="shared" si="175"/>
        <v/>
      </c>
      <c r="AO110" s="108" t="str">
        <f t="shared" si="176"/>
        <v/>
      </c>
      <c r="AP110" s="108" t="str">
        <f t="shared" si="176"/>
        <v/>
      </c>
      <c r="AQ110" s="108" t="str">
        <f t="shared" si="176"/>
        <v/>
      </c>
      <c r="AR110" s="108" t="str">
        <f t="shared" si="176"/>
        <v/>
      </c>
      <c r="AS110" s="108" t="str">
        <f t="shared" si="176"/>
        <v/>
      </c>
      <c r="AT110" s="108" t="str">
        <f t="shared" si="176"/>
        <v/>
      </c>
      <c r="AU110" s="108" t="str">
        <f t="shared" si="176"/>
        <v/>
      </c>
      <c r="AV110" s="108" t="str">
        <f t="shared" si="176"/>
        <v/>
      </c>
      <c r="AW110" s="108" t="str">
        <f t="shared" si="176"/>
        <v/>
      </c>
      <c r="AX110" s="108" t="str">
        <f t="shared" si="176"/>
        <v/>
      </c>
      <c r="AY110" s="108" t="str">
        <f t="shared" si="177"/>
        <v/>
      </c>
      <c r="AZ110" s="108" t="str">
        <f t="shared" si="177"/>
        <v/>
      </c>
      <c r="BA110" s="108" t="str">
        <f t="shared" si="177"/>
        <v/>
      </c>
      <c r="BB110" s="108" t="str">
        <f t="shared" si="177"/>
        <v/>
      </c>
      <c r="BC110" s="108" t="str">
        <f t="shared" si="177"/>
        <v/>
      </c>
      <c r="BD110" s="108" t="str">
        <f t="shared" si="177"/>
        <v/>
      </c>
      <c r="BE110" s="108" t="str">
        <f t="shared" si="177"/>
        <v/>
      </c>
      <c r="BF110" s="108" t="str">
        <f t="shared" si="177"/>
        <v/>
      </c>
      <c r="BG110" s="108" t="str">
        <f t="shared" si="177"/>
        <v/>
      </c>
      <c r="BH110" s="108" t="str">
        <f t="shared" si="177"/>
        <v/>
      </c>
      <c r="BI110" s="108" t="str">
        <f t="shared" si="178"/>
        <v/>
      </c>
      <c r="BJ110" s="108" t="str">
        <f t="shared" si="178"/>
        <v/>
      </c>
      <c r="BK110" s="108" t="str">
        <f t="shared" si="178"/>
        <v/>
      </c>
      <c r="BL110" s="108" t="str">
        <f t="shared" si="178"/>
        <v/>
      </c>
      <c r="BM110" s="108" t="str">
        <f t="shared" si="178"/>
        <v/>
      </c>
      <c r="BN110" s="108" t="str">
        <f t="shared" si="178"/>
        <v/>
      </c>
      <c r="BO110" s="108" t="str">
        <f t="shared" si="178"/>
        <v/>
      </c>
      <c r="BP110" s="108" t="str">
        <f t="shared" si="178"/>
        <v/>
      </c>
      <c r="BQ110" s="108" t="str">
        <f t="shared" si="178"/>
        <v/>
      </c>
      <c r="BR110" s="108" t="str">
        <f t="shared" si="178"/>
        <v/>
      </c>
      <c r="BS110" s="108" t="str">
        <f t="shared" si="179"/>
        <v/>
      </c>
      <c r="BT110" s="108" t="str">
        <f t="shared" si="179"/>
        <v/>
      </c>
      <c r="BU110" s="108" t="str">
        <f t="shared" si="179"/>
        <v/>
      </c>
      <c r="BV110" s="108" t="str">
        <f t="shared" si="179"/>
        <v/>
      </c>
      <c r="BW110" s="108" t="str">
        <f t="shared" si="179"/>
        <v/>
      </c>
      <c r="BX110" s="108" t="str">
        <f t="shared" si="179"/>
        <v/>
      </c>
      <c r="BY110" s="108" t="str">
        <f t="shared" si="179"/>
        <v/>
      </c>
      <c r="BZ110" s="108" t="str">
        <f t="shared" si="179"/>
        <v/>
      </c>
      <c r="CA110" s="108" t="str">
        <f t="shared" si="179"/>
        <v/>
      </c>
      <c r="CB110" s="108" t="str">
        <f t="shared" si="179"/>
        <v/>
      </c>
      <c r="CC110" s="108" t="str">
        <f t="shared" si="180"/>
        <v/>
      </c>
      <c r="CD110" s="108" t="str">
        <f t="shared" si="180"/>
        <v/>
      </c>
      <c r="CE110" s="108" t="str">
        <f t="shared" si="180"/>
        <v/>
      </c>
      <c r="CF110" s="108" t="str">
        <f t="shared" si="180"/>
        <v/>
      </c>
      <c r="CG110" s="108" t="str">
        <f t="shared" si="180"/>
        <v/>
      </c>
      <c r="CH110" s="108" t="str">
        <f t="shared" si="180"/>
        <v/>
      </c>
      <c r="CI110" s="108" t="str">
        <f t="shared" si="180"/>
        <v/>
      </c>
      <c r="CJ110" s="108" t="str">
        <f t="shared" si="180"/>
        <v/>
      </c>
      <c r="CK110" s="108" t="str">
        <f t="shared" si="180"/>
        <v/>
      </c>
      <c r="CL110" s="108" t="str">
        <f t="shared" si="180"/>
        <v/>
      </c>
      <c r="CM110" s="108" t="str">
        <f t="shared" si="181"/>
        <v/>
      </c>
      <c r="CN110" s="108" t="str">
        <f t="shared" si="181"/>
        <v/>
      </c>
      <c r="CO110" s="108" t="str">
        <f t="shared" si="181"/>
        <v/>
      </c>
      <c r="CP110" s="108" t="str">
        <f t="shared" si="181"/>
        <v/>
      </c>
      <c r="CQ110" s="108" t="str">
        <f t="shared" si="181"/>
        <v/>
      </c>
      <c r="CR110" s="109" t="str">
        <f t="shared" si="181"/>
        <v/>
      </c>
      <c r="CS110" s="108" t="str">
        <f t="shared" si="181"/>
        <v/>
      </c>
      <c r="CT110" s="108" t="str">
        <f t="shared" si="181"/>
        <v/>
      </c>
      <c r="CU110" s="108" t="str">
        <f t="shared" si="181"/>
        <v/>
      </c>
      <c r="CV110" s="108" t="str">
        <f t="shared" si="181"/>
        <v/>
      </c>
      <c r="CW110" s="108" t="str">
        <f t="shared" si="182"/>
        <v/>
      </c>
      <c r="CX110" s="108" t="str">
        <f t="shared" si="182"/>
        <v/>
      </c>
      <c r="CY110" s="108" t="str">
        <f t="shared" si="182"/>
        <v/>
      </c>
      <c r="CZ110" s="109" t="str">
        <f t="shared" si="182"/>
        <v/>
      </c>
      <c r="DA110" s="108" t="str">
        <f t="shared" si="182"/>
        <v/>
      </c>
      <c r="DB110" s="108" t="str">
        <f t="shared" si="182"/>
        <v/>
      </c>
      <c r="DC110" s="108" t="str">
        <f t="shared" si="182"/>
        <v/>
      </c>
      <c r="DD110" s="108" t="str">
        <f t="shared" si="182"/>
        <v/>
      </c>
      <c r="DE110" s="108" t="str">
        <f t="shared" si="182"/>
        <v/>
      </c>
      <c r="DF110" s="108" t="str">
        <f t="shared" si="182"/>
        <v/>
      </c>
      <c r="DG110" s="108" t="str">
        <f t="shared" si="183"/>
        <v/>
      </c>
      <c r="DH110" s="109" t="str">
        <f t="shared" si="183"/>
        <v/>
      </c>
      <c r="DI110" s="108" t="str">
        <f t="shared" si="183"/>
        <v/>
      </c>
      <c r="DJ110" s="108" t="str">
        <f t="shared" si="183"/>
        <v/>
      </c>
      <c r="DK110" s="108" t="str">
        <f t="shared" si="183"/>
        <v/>
      </c>
      <c r="DL110" s="108" t="str">
        <f t="shared" si="183"/>
        <v/>
      </c>
      <c r="DM110" s="108" t="str">
        <f t="shared" si="183"/>
        <v/>
      </c>
      <c r="DN110" s="108" t="str">
        <f t="shared" si="183"/>
        <v/>
      </c>
      <c r="DO110" s="109" t="str">
        <f t="shared" si="183"/>
        <v/>
      </c>
      <c r="DP110" s="108" t="str">
        <f t="shared" si="183"/>
        <v/>
      </c>
      <c r="DQ110" s="108" t="str">
        <f t="shared" si="184"/>
        <v/>
      </c>
      <c r="DR110" s="108" t="str">
        <f t="shared" si="184"/>
        <v/>
      </c>
      <c r="DS110" s="108" t="str">
        <f t="shared" si="184"/>
        <v/>
      </c>
      <c r="DT110" s="108" t="str">
        <f t="shared" si="184"/>
        <v/>
      </c>
      <c r="DU110" s="108" t="str">
        <f t="shared" si="184"/>
        <v/>
      </c>
      <c r="DV110" s="108" t="str">
        <f t="shared" si="184"/>
        <v/>
      </c>
      <c r="DW110" s="109" t="str">
        <f t="shared" si="184"/>
        <v/>
      </c>
      <c r="DX110" s="108" t="str">
        <f t="shared" si="184"/>
        <v/>
      </c>
      <c r="DY110" s="108" t="str">
        <f t="shared" si="184"/>
        <v/>
      </c>
      <c r="DZ110" s="108" t="str">
        <f t="shared" si="184"/>
        <v/>
      </c>
      <c r="EA110" s="108" t="str">
        <f t="shared" si="185"/>
        <v/>
      </c>
      <c r="EB110" s="108" t="str">
        <f t="shared" si="185"/>
        <v/>
      </c>
      <c r="EC110" s="108" t="str">
        <f t="shared" si="185"/>
        <v/>
      </c>
      <c r="ED110" s="109" t="str">
        <f t="shared" si="185"/>
        <v/>
      </c>
      <c r="EE110" s="108" t="str">
        <f t="shared" si="185"/>
        <v/>
      </c>
      <c r="EF110" s="108" t="str">
        <f t="shared" si="185"/>
        <v/>
      </c>
      <c r="EG110" s="108" t="str">
        <f t="shared" si="185"/>
        <v/>
      </c>
      <c r="EH110" s="108" t="str">
        <f t="shared" si="185"/>
        <v/>
      </c>
      <c r="EI110" s="108" t="str">
        <f t="shared" si="185"/>
        <v/>
      </c>
      <c r="EJ110" s="108" t="str">
        <f t="shared" si="185"/>
        <v/>
      </c>
      <c r="EK110" s="108" t="str">
        <f t="shared" si="186"/>
        <v/>
      </c>
      <c r="EL110" s="108" t="str">
        <f t="shared" si="186"/>
        <v/>
      </c>
      <c r="EM110" s="108" t="str">
        <f t="shared" si="186"/>
        <v/>
      </c>
      <c r="EN110" s="108" t="str">
        <f t="shared" si="186"/>
        <v/>
      </c>
      <c r="EO110" s="108" t="str">
        <f t="shared" si="186"/>
        <v/>
      </c>
      <c r="EP110" s="108" t="str">
        <f t="shared" si="186"/>
        <v/>
      </c>
      <c r="EQ110" s="108" t="str">
        <f t="shared" si="186"/>
        <v/>
      </c>
      <c r="ER110" s="108" t="str">
        <f t="shared" si="186"/>
        <v/>
      </c>
      <c r="ES110" s="109" t="str">
        <f t="shared" si="186"/>
        <v/>
      </c>
      <c r="ET110" s="108" t="str">
        <f t="shared" si="186"/>
        <v/>
      </c>
      <c r="EU110" s="108" t="str">
        <f t="shared" si="187"/>
        <v/>
      </c>
      <c r="EV110" s="108" t="str">
        <f t="shared" si="187"/>
        <v/>
      </c>
      <c r="EW110" s="108" t="str">
        <f t="shared" si="187"/>
        <v/>
      </c>
      <c r="EX110" s="108" t="str">
        <f t="shared" si="187"/>
        <v/>
      </c>
      <c r="EY110" s="108" t="str">
        <f t="shared" si="187"/>
        <v/>
      </c>
      <c r="EZ110" s="108" t="str">
        <f t="shared" si="187"/>
        <v/>
      </c>
      <c r="FA110" s="108" t="str">
        <f t="shared" si="187"/>
        <v/>
      </c>
      <c r="FB110" s="108" t="str">
        <f t="shared" si="187"/>
        <v/>
      </c>
      <c r="FC110" s="108" t="str">
        <f t="shared" si="187"/>
        <v/>
      </c>
      <c r="FD110" s="108" t="str">
        <f t="shared" si="187"/>
        <v/>
      </c>
      <c r="FE110" s="108" t="str">
        <f t="shared" si="188"/>
        <v/>
      </c>
      <c r="FF110" s="109" t="str">
        <f t="shared" si="188"/>
        <v/>
      </c>
      <c r="FG110" s="108" t="str">
        <f t="shared" si="188"/>
        <v/>
      </c>
      <c r="FH110" s="108" t="str">
        <f t="shared" si="188"/>
        <v/>
      </c>
      <c r="FI110" s="108" t="str">
        <f t="shared" si="188"/>
        <v/>
      </c>
      <c r="FJ110" s="108" t="str">
        <f t="shared" si="188"/>
        <v/>
      </c>
      <c r="FK110" s="108" t="str">
        <f t="shared" si="188"/>
        <v/>
      </c>
      <c r="FL110" s="108" t="str">
        <f t="shared" si="188"/>
        <v/>
      </c>
      <c r="FM110" s="108" t="str">
        <f t="shared" si="188"/>
        <v/>
      </c>
      <c r="FN110" s="108" t="str">
        <f t="shared" si="188"/>
        <v/>
      </c>
      <c r="FO110" s="108" t="str">
        <f t="shared" si="189"/>
        <v/>
      </c>
      <c r="FP110" s="108" t="str">
        <f t="shared" si="189"/>
        <v/>
      </c>
      <c r="FQ110" s="108" t="str">
        <f t="shared" si="189"/>
        <v/>
      </c>
      <c r="FR110" s="108" t="str">
        <f t="shared" si="189"/>
        <v/>
      </c>
      <c r="FS110" s="108" t="str">
        <f t="shared" si="189"/>
        <v/>
      </c>
      <c r="FT110" s="108" t="str">
        <f t="shared" si="189"/>
        <v/>
      </c>
      <c r="FU110" s="108" t="str">
        <f t="shared" si="189"/>
        <v/>
      </c>
      <c r="FV110" s="108" t="str">
        <f t="shared" si="189"/>
        <v/>
      </c>
      <c r="FW110" s="110" t="str">
        <f t="shared" si="189"/>
        <v/>
      </c>
    </row>
    <row r="111" spans="2:179" s="101" customFormat="1" ht="21" customHeight="1" x14ac:dyDescent="0.35">
      <c r="B111" s="27" t="e">
        <f>Portfolio_Daten!#REF!</f>
        <v>#REF!</v>
      </c>
      <c r="C111" s="27">
        <f>Portfolio_Daten!B112</f>
        <v>0</v>
      </c>
      <c r="D111" s="28">
        <f>Portfolio_Daten!E113</f>
        <v>0</v>
      </c>
      <c r="E111" s="31">
        <f>Portfolio_Daten!T113</f>
        <v>0</v>
      </c>
      <c r="F111" s="31">
        <f>Portfolio_Daten!U113</f>
        <v>0</v>
      </c>
      <c r="G111" s="107">
        <f>IF(F111="","",NETWORKDAYS(E111,F111,Parameter!$C$4:$C$51))</f>
        <v>0</v>
      </c>
      <c r="H111" s="29">
        <f>Portfolio_Daten!AG113</f>
        <v>0</v>
      </c>
      <c r="I111" s="33">
        <f>Portfolio_Daten!AI113</f>
        <v>0</v>
      </c>
      <c r="J111" s="106"/>
      <c r="K111" s="108" t="str">
        <f t="shared" si="173"/>
        <v/>
      </c>
      <c r="L111" s="108" t="str">
        <f t="shared" si="173"/>
        <v/>
      </c>
      <c r="M111" s="108" t="str">
        <f t="shared" si="173"/>
        <v/>
      </c>
      <c r="N111" s="108" t="str">
        <f t="shared" si="173"/>
        <v/>
      </c>
      <c r="O111" s="108" t="str">
        <f t="shared" si="173"/>
        <v/>
      </c>
      <c r="P111" s="108" t="str">
        <f t="shared" si="173"/>
        <v/>
      </c>
      <c r="Q111" s="108" t="str">
        <f t="shared" si="173"/>
        <v/>
      </c>
      <c r="R111" s="108" t="str">
        <f t="shared" si="173"/>
        <v/>
      </c>
      <c r="S111" s="108" t="str">
        <f t="shared" si="173"/>
        <v/>
      </c>
      <c r="T111" s="108" t="str">
        <f t="shared" si="173"/>
        <v/>
      </c>
      <c r="U111" s="108" t="str">
        <f t="shared" si="174"/>
        <v/>
      </c>
      <c r="V111" s="108" t="str">
        <f t="shared" si="174"/>
        <v/>
      </c>
      <c r="W111" s="108" t="str">
        <f t="shared" si="174"/>
        <v/>
      </c>
      <c r="X111" s="108" t="str">
        <f t="shared" si="174"/>
        <v/>
      </c>
      <c r="Y111" s="108" t="str">
        <f t="shared" si="174"/>
        <v/>
      </c>
      <c r="Z111" s="108" t="str">
        <f t="shared" si="174"/>
        <v/>
      </c>
      <c r="AA111" s="108" t="str">
        <f t="shared" si="174"/>
        <v/>
      </c>
      <c r="AB111" s="108" t="str">
        <f t="shared" si="174"/>
        <v/>
      </c>
      <c r="AC111" s="108" t="str">
        <f t="shared" si="174"/>
        <v/>
      </c>
      <c r="AD111" s="108" t="str">
        <f t="shared" si="174"/>
        <v/>
      </c>
      <c r="AE111" s="108" t="str">
        <f t="shared" si="175"/>
        <v/>
      </c>
      <c r="AF111" s="108" t="str">
        <f t="shared" si="175"/>
        <v/>
      </c>
      <c r="AG111" s="108" t="str">
        <f t="shared" si="175"/>
        <v/>
      </c>
      <c r="AH111" s="108" t="str">
        <f t="shared" si="175"/>
        <v/>
      </c>
      <c r="AI111" s="108" t="str">
        <f t="shared" si="175"/>
        <v/>
      </c>
      <c r="AJ111" s="108" t="str">
        <f t="shared" si="175"/>
        <v/>
      </c>
      <c r="AK111" s="108" t="str">
        <f t="shared" si="175"/>
        <v/>
      </c>
      <c r="AL111" s="108" t="str">
        <f t="shared" si="175"/>
        <v/>
      </c>
      <c r="AM111" s="108" t="str">
        <f t="shared" si="175"/>
        <v/>
      </c>
      <c r="AN111" s="108" t="str">
        <f t="shared" si="175"/>
        <v/>
      </c>
      <c r="AO111" s="108" t="str">
        <f t="shared" si="176"/>
        <v/>
      </c>
      <c r="AP111" s="108" t="str">
        <f t="shared" si="176"/>
        <v/>
      </c>
      <c r="AQ111" s="108" t="str">
        <f t="shared" si="176"/>
        <v/>
      </c>
      <c r="AR111" s="108" t="str">
        <f t="shared" si="176"/>
        <v/>
      </c>
      <c r="AS111" s="108" t="str">
        <f t="shared" si="176"/>
        <v/>
      </c>
      <c r="AT111" s="108" t="str">
        <f t="shared" si="176"/>
        <v/>
      </c>
      <c r="AU111" s="108" t="str">
        <f t="shared" si="176"/>
        <v/>
      </c>
      <c r="AV111" s="108" t="str">
        <f t="shared" si="176"/>
        <v/>
      </c>
      <c r="AW111" s="108" t="str">
        <f t="shared" si="176"/>
        <v/>
      </c>
      <c r="AX111" s="108" t="str">
        <f t="shared" si="176"/>
        <v/>
      </c>
      <c r="AY111" s="108" t="str">
        <f t="shared" si="177"/>
        <v/>
      </c>
      <c r="AZ111" s="108" t="str">
        <f t="shared" si="177"/>
        <v/>
      </c>
      <c r="BA111" s="108" t="str">
        <f t="shared" si="177"/>
        <v/>
      </c>
      <c r="BB111" s="108" t="str">
        <f t="shared" si="177"/>
        <v/>
      </c>
      <c r="BC111" s="108" t="str">
        <f t="shared" si="177"/>
        <v/>
      </c>
      <c r="BD111" s="108" t="str">
        <f t="shared" si="177"/>
        <v/>
      </c>
      <c r="BE111" s="108" t="str">
        <f t="shared" si="177"/>
        <v/>
      </c>
      <c r="BF111" s="108" t="str">
        <f t="shared" si="177"/>
        <v/>
      </c>
      <c r="BG111" s="108" t="str">
        <f t="shared" si="177"/>
        <v/>
      </c>
      <c r="BH111" s="108" t="str">
        <f t="shared" si="177"/>
        <v/>
      </c>
      <c r="BI111" s="108" t="str">
        <f t="shared" si="178"/>
        <v/>
      </c>
      <c r="BJ111" s="108" t="str">
        <f t="shared" si="178"/>
        <v/>
      </c>
      <c r="BK111" s="108" t="str">
        <f t="shared" si="178"/>
        <v/>
      </c>
      <c r="BL111" s="108" t="str">
        <f t="shared" si="178"/>
        <v/>
      </c>
      <c r="BM111" s="108" t="str">
        <f t="shared" si="178"/>
        <v/>
      </c>
      <c r="BN111" s="108" t="str">
        <f t="shared" si="178"/>
        <v/>
      </c>
      <c r="BO111" s="108" t="str">
        <f t="shared" si="178"/>
        <v/>
      </c>
      <c r="BP111" s="108" t="str">
        <f t="shared" si="178"/>
        <v/>
      </c>
      <c r="BQ111" s="108" t="str">
        <f t="shared" si="178"/>
        <v/>
      </c>
      <c r="BR111" s="108" t="str">
        <f t="shared" si="178"/>
        <v/>
      </c>
      <c r="BS111" s="108" t="str">
        <f t="shared" si="179"/>
        <v/>
      </c>
      <c r="BT111" s="108" t="str">
        <f t="shared" si="179"/>
        <v/>
      </c>
      <c r="BU111" s="108" t="str">
        <f t="shared" si="179"/>
        <v/>
      </c>
      <c r="BV111" s="108" t="str">
        <f t="shared" si="179"/>
        <v/>
      </c>
      <c r="BW111" s="108" t="str">
        <f t="shared" si="179"/>
        <v/>
      </c>
      <c r="BX111" s="108" t="str">
        <f t="shared" si="179"/>
        <v/>
      </c>
      <c r="BY111" s="108" t="str">
        <f t="shared" si="179"/>
        <v/>
      </c>
      <c r="BZ111" s="108" t="str">
        <f t="shared" si="179"/>
        <v/>
      </c>
      <c r="CA111" s="108" t="str">
        <f t="shared" si="179"/>
        <v/>
      </c>
      <c r="CB111" s="108" t="str">
        <f t="shared" si="179"/>
        <v/>
      </c>
      <c r="CC111" s="108" t="str">
        <f t="shared" si="180"/>
        <v/>
      </c>
      <c r="CD111" s="108" t="str">
        <f t="shared" si="180"/>
        <v/>
      </c>
      <c r="CE111" s="108" t="str">
        <f t="shared" si="180"/>
        <v/>
      </c>
      <c r="CF111" s="108" t="str">
        <f t="shared" si="180"/>
        <v/>
      </c>
      <c r="CG111" s="108" t="str">
        <f t="shared" si="180"/>
        <v/>
      </c>
      <c r="CH111" s="108" t="str">
        <f t="shared" si="180"/>
        <v/>
      </c>
      <c r="CI111" s="108" t="str">
        <f t="shared" si="180"/>
        <v/>
      </c>
      <c r="CJ111" s="108" t="str">
        <f t="shared" si="180"/>
        <v/>
      </c>
      <c r="CK111" s="108" t="str">
        <f t="shared" si="180"/>
        <v/>
      </c>
      <c r="CL111" s="108" t="str">
        <f t="shared" si="180"/>
        <v/>
      </c>
      <c r="CM111" s="108" t="str">
        <f t="shared" si="181"/>
        <v/>
      </c>
      <c r="CN111" s="108" t="str">
        <f t="shared" si="181"/>
        <v/>
      </c>
      <c r="CO111" s="108" t="str">
        <f t="shared" si="181"/>
        <v/>
      </c>
      <c r="CP111" s="108" t="str">
        <f t="shared" si="181"/>
        <v/>
      </c>
      <c r="CQ111" s="108" t="str">
        <f t="shared" si="181"/>
        <v/>
      </c>
      <c r="CR111" s="109" t="str">
        <f t="shared" si="181"/>
        <v/>
      </c>
      <c r="CS111" s="108" t="str">
        <f t="shared" si="181"/>
        <v/>
      </c>
      <c r="CT111" s="108" t="str">
        <f t="shared" si="181"/>
        <v/>
      </c>
      <c r="CU111" s="108" t="str">
        <f t="shared" si="181"/>
        <v/>
      </c>
      <c r="CV111" s="108" t="str">
        <f t="shared" si="181"/>
        <v/>
      </c>
      <c r="CW111" s="108" t="str">
        <f t="shared" si="182"/>
        <v/>
      </c>
      <c r="CX111" s="108" t="str">
        <f t="shared" si="182"/>
        <v/>
      </c>
      <c r="CY111" s="108" t="str">
        <f t="shared" si="182"/>
        <v/>
      </c>
      <c r="CZ111" s="109" t="str">
        <f t="shared" si="182"/>
        <v/>
      </c>
      <c r="DA111" s="108" t="str">
        <f t="shared" si="182"/>
        <v/>
      </c>
      <c r="DB111" s="108" t="str">
        <f t="shared" si="182"/>
        <v/>
      </c>
      <c r="DC111" s="108" t="str">
        <f t="shared" si="182"/>
        <v/>
      </c>
      <c r="DD111" s="108" t="str">
        <f t="shared" si="182"/>
        <v/>
      </c>
      <c r="DE111" s="108" t="str">
        <f t="shared" si="182"/>
        <v/>
      </c>
      <c r="DF111" s="108" t="str">
        <f t="shared" si="182"/>
        <v/>
      </c>
      <c r="DG111" s="108" t="str">
        <f t="shared" si="183"/>
        <v/>
      </c>
      <c r="DH111" s="109" t="str">
        <f t="shared" si="183"/>
        <v/>
      </c>
      <c r="DI111" s="108" t="str">
        <f t="shared" si="183"/>
        <v/>
      </c>
      <c r="DJ111" s="108" t="str">
        <f t="shared" si="183"/>
        <v/>
      </c>
      <c r="DK111" s="108" t="str">
        <f t="shared" si="183"/>
        <v/>
      </c>
      <c r="DL111" s="108" t="str">
        <f t="shared" si="183"/>
        <v/>
      </c>
      <c r="DM111" s="108" t="str">
        <f t="shared" si="183"/>
        <v/>
      </c>
      <c r="DN111" s="108" t="str">
        <f t="shared" si="183"/>
        <v/>
      </c>
      <c r="DO111" s="109" t="str">
        <f t="shared" si="183"/>
        <v/>
      </c>
      <c r="DP111" s="108" t="str">
        <f t="shared" si="183"/>
        <v/>
      </c>
      <c r="DQ111" s="108" t="str">
        <f t="shared" si="184"/>
        <v/>
      </c>
      <c r="DR111" s="108" t="str">
        <f t="shared" si="184"/>
        <v/>
      </c>
      <c r="DS111" s="108" t="str">
        <f t="shared" si="184"/>
        <v/>
      </c>
      <c r="DT111" s="108" t="str">
        <f t="shared" si="184"/>
        <v/>
      </c>
      <c r="DU111" s="108" t="str">
        <f t="shared" si="184"/>
        <v/>
      </c>
      <c r="DV111" s="108" t="str">
        <f t="shared" si="184"/>
        <v/>
      </c>
      <c r="DW111" s="109" t="str">
        <f t="shared" si="184"/>
        <v/>
      </c>
      <c r="DX111" s="108" t="str">
        <f t="shared" si="184"/>
        <v/>
      </c>
      <c r="DY111" s="108" t="str">
        <f t="shared" si="184"/>
        <v/>
      </c>
      <c r="DZ111" s="108" t="str">
        <f t="shared" si="184"/>
        <v/>
      </c>
      <c r="EA111" s="108" t="str">
        <f t="shared" si="185"/>
        <v/>
      </c>
      <c r="EB111" s="108" t="str">
        <f t="shared" si="185"/>
        <v/>
      </c>
      <c r="EC111" s="108" t="str">
        <f t="shared" si="185"/>
        <v/>
      </c>
      <c r="ED111" s="109" t="str">
        <f t="shared" si="185"/>
        <v/>
      </c>
      <c r="EE111" s="108" t="str">
        <f t="shared" si="185"/>
        <v/>
      </c>
      <c r="EF111" s="108" t="str">
        <f t="shared" si="185"/>
        <v/>
      </c>
      <c r="EG111" s="108" t="str">
        <f t="shared" si="185"/>
        <v/>
      </c>
      <c r="EH111" s="108" t="str">
        <f t="shared" si="185"/>
        <v/>
      </c>
      <c r="EI111" s="108" t="str">
        <f t="shared" si="185"/>
        <v/>
      </c>
      <c r="EJ111" s="108" t="str">
        <f t="shared" si="185"/>
        <v/>
      </c>
      <c r="EK111" s="108" t="str">
        <f t="shared" si="186"/>
        <v/>
      </c>
      <c r="EL111" s="108" t="str">
        <f t="shared" si="186"/>
        <v/>
      </c>
      <c r="EM111" s="108" t="str">
        <f t="shared" si="186"/>
        <v/>
      </c>
      <c r="EN111" s="108" t="str">
        <f t="shared" si="186"/>
        <v/>
      </c>
      <c r="EO111" s="108" t="str">
        <f t="shared" si="186"/>
        <v/>
      </c>
      <c r="EP111" s="108" t="str">
        <f t="shared" si="186"/>
        <v/>
      </c>
      <c r="EQ111" s="108" t="str">
        <f t="shared" si="186"/>
        <v/>
      </c>
      <c r="ER111" s="108" t="str">
        <f t="shared" si="186"/>
        <v/>
      </c>
      <c r="ES111" s="109" t="str">
        <f t="shared" si="186"/>
        <v/>
      </c>
      <c r="ET111" s="108" t="str">
        <f t="shared" si="186"/>
        <v/>
      </c>
      <c r="EU111" s="108" t="str">
        <f t="shared" si="187"/>
        <v/>
      </c>
      <c r="EV111" s="108" t="str">
        <f t="shared" si="187"/>
        <v/>
      </c>
      <c r="EW111" s="108" t="str">
        <f t="shared" si="187"/>
        <v/>
      </c>
      <c r="EX111" s="108" t="str">
        <f t="shared" si="187"/>
        <v/>
      </c>
      <c r="EY111" s="108" t="str">
        <f t="shared" si="187"/>
        <v/>
      </c>
      <c r="EZ111" s="108" t="str">
        <f t="shared" si="187"/>
        <v/>
      </c>
      <c r="FA111" s="108" t="str">
        <f t="shared" si="187"/>
        <v/>
      </c>
      <c r="FB111" s="108" t="str">
        <f t="shared" si="187"/>
        <v/>
      </c>
      <c r="FC111" s="108" t="str">
        <f t="shared" si="187"/>
        <v/>
      </c>
      <c r="FD111" s="108" t="str">
        <f t="shared" si="187"/>
        <v/>
      </c>
      <c r="FE111" s="108" t="str">
        <f t="shared" si="188"/>
        <v/>
      </c>
      <c r="FF111" s="109" t="str">
        <f t="shared" si="188"/>
        <v/>
      </c>
      <c r="FG111" s="108" t="str">
        <f t="shared" si="188"/>
        <v/>
      </c>
      <c r="FH111" s="108" t="str">
        <f t="shared" si="188"/>
        <v/>
      </c>
      <c r="FI111" s="108" t="str">
        <f t="shared" si="188"/>
        <v/>
      </c>
      <c r="FJ111" s="108" t="str">
        <f t="shared" si="188"/>
        <v/>
      </c>
      <c r="FK111" s="108" t="str">
        <f t="shared" si="188"/>
        <v/>
      </c>
      <c r="FL111" s="108" t="str">
        <f t="shared" si="188"/>
        <v/>
      </c>
      <c r="FM111" s="108" t="str">
        <f t="shared" si="188"/>
        <v/>
      </c>
      <c r="FN111" s="108" t="str">
        <f t="shared" si="188"/>
        <v/>
      </c>
      <c r="FO111" s="108" t="str">
        <f t="shared" si="189"/>
        <v/>
      </c>
      <c r="FP111" s="108" t="str">
        <f t="shared" si="189"/>
        <v/>
      </c>
      <c r="FQ111" s="108" t="str">
        <f t="shared" si="189"/>
        <v/>
      </c>
      <c r="FR111" s="108" t="str">
        <f t="shared" si="189"/>
        <v/>
      </c>
      <c r="FS111" s="108" t="str">
        <f t="shared" si="189"/>
        <v/>
      </c>
      <c r="FT111" s="108" t="str">
        <f t="shared" si="189"/>
        <v/>
      </c>
      <c r="FU111" s="108" t="str">
        <f t="shared" si="189"/>
        <v/>
      </c>
      <c r="FV111" s="108" t="str">
        <f t="shared" si="189"/>
        <v/>
      </c>
      <c r="FW111" s="110" t="str">
        <f t="shared" si="189"/>
        <v/>
      </c>
    </row>
    <row r="112" spans="2:179" s="101" customFormat="1" ht="21" customHeight="1" x14ac:dyDescent="0.35">
      <c r="B112" s="27" t="e">
        <f>Portfolio_Daten!#REF!</f>
        <v>#REF!</v>
      </c>
      <c r="C112" s="27">
        <f>Portfolio_Daten!B113</f>
        <v>0</v>
      </c>
      <c r="D112" s="28">
        <f>Portfolio_Daten!E114</f>
        <v>0</v>
      </c>
      <c r="E112" s="31">
        <f>Portfolio_Daten!T114</f>
        <v>0</v>
      </c>
      <c r="F112" s="31">
        <f>Portfolio_Daten!U114</f>
        <v>0</v>
      </c>
      <c r="G112" s="107">
        <f>IF(F112="","",NETWORKDAYS(E112,F112,Parameter!$C$4:$C$51))</f>
        <v>0</v>
      </c>
      <c r="H112" s="29">
        <f>Portfolio_Daten!AG114</f>
        <v>0</v>
      </c>
      <c r="I112" s="33">
        <f>Portfolio_Daten!AI114</f>
        <v>0</v>
      </c>
      <c r="J112" s="106"/>
      <c r="K112" s="108" t="str">
        <f t="shared" si="173"/>
        <v/>
      </c>
      <c r="L112" s="108" t="str">
        <f t="shared" si="173"/>
        <v/>
      </c>
      <c r="M112" s="108" t="str">
        <f t="shared" si="173"/>
        <v/>
      </c>
      <c r="N112" s="108" t="str">
        <f t="shared" si="173"/>
        <v/>
      </c>
      <c r="O112" s="108" t="str">
        <f t="shared" si="173"/>
        <v/>
      </c>
      <c r="P112" s="108" t="str">
        <f t="shared" si="173"/>
        <v/>
      </c>
      <c r="Q112" s="108" t="str">
        <f t="shared" si="173"/>
        <v/>
      </c>
      <c r="R112" s="108" t="str">
        <f t="shared" si="173"/>
        <v/>
      </c>
      <c r="S112" s="108" t="str">
        <f t="shared" si="173"/>
        <v/>
      </c>
      <c r="T112" s="108" t="str">
        <f t="shared" si="173"/>
        <v/>
      </c>
      <c r="U112" s="108" t="str">
        <f t="shared" si="174"/>
        <v/>
      </c>
      <c r="V112" s="108" t="str">
        <f t="shared" si="174"/>
        <v/>
      </c>
      <c r="W112" s="108" t="str">
        <f t="shared" si="174"/>
        <v/>
      </c>
      <c r="X112" s="108" t="str">
        <f t="shared" si="174"/>
        <v/>
      </c>
      <c r="Y112" s="108" t="str">
        <f t="shared" si="174"/>
        <v/>
      </c>
      <c r="Z112" s="108" t="str">
        <f t="shared" si="174"/>
        <v/>
      </c>
      <c r="AA112" s="108" t="str">
        <f t="shared" si="174"/>
        <v/>
      </c>
      <c r="AB112" s="108" t="str">
        <f t="shared" si="174"/>
        <v/>
      </c>
      <c r="AC112" s="108" t="str">
        <f t="shared" si="174"/>
        <v/>
      </c>
      <c r="AD112" s="108" t="str">
        <f t="shared" si="174"/>
        <v/>
      </c>
      <c r="AE112" s="108" t="str">
        <f t="shared" si="175"/>
        <v/>
      </c>
      <c r="AF112" s="108" t="str">
        <f t="shared" si="175"/>
        <v/>
      </c>
      <c r="AG112" s="108" t="str">
        <f t="shared" si="175"/>
        <v/>
      </c>
      <c r="AH112" s="108" t="str">
        <f t="shared" si="175"/>
        <v/>
      </c>
      <c r="AI112" s="108" t="str">
        <f t="shared" si="175"/>
        <v/>
      </c>
      <c r="AJ112" s="108" t="str">
        <f t="shared" si="175"/>
        <v/>
      </c>
      <c r="AK112" s="108" t="str">
        <f t="shared" si="175"/>
        <v/>
      </c>
      <c r="AL112" s="108" t="str">
        <f t="shared" si="175"/>
        <v/>
      </c>
      <c r="AM112" s="108" t="str">
        <f t="shared" si="175"/>
        <v/>
      </c>
      <c r="AN112" s="108" t="str">
        <f t="shared" si="175"/>
        <v/>
      </c>
      <c r="AO112" s="108" t="str">
        <f t="shared" si="176"/>
        <v/>
      </c>
      <c r="AP112" s="108" t="str">
        <f t="shared" si="176"/>
        <v/>
      </c>
      <c r="AQ112" s="108" t="str">
        <f t="shared" si="176"/>
        <v/>
      </c>
      <c r="AR112" s="108" t="str">
        <f t="shared" si="176"/>
        <v/>
      </c>
      <c r="AS112" s="108" t="str">
        <f t="shared" si="176"/>
        <v/>
      </c>
      <c r="AT112" s="108" t="str">
        <f t="shared" si="176"/>
        <v/>
      </c>
      <c r="AU112" s="108" t="str">
        <f t="shared" si="176"/>
        <v/>
      </c>
      <c r="AV112" s="108" t="str">
        <f t="shared" si="176"/>
        <v/>
      </c>
      <c r="AW112" s="108" t="str">
        <f t="shared" si="176"/>
        <v/>
      </c>
      <c r="AX112" s="108" t="str">
        <f t="shared" si="176"/>
        <v/>
      </c>
      <c r="AY112" s="108" t="str">
        <f t="shared" si="177"/>
        <v/>
      </c>
      <c r="AZ112" s="108" t="str">
        <f t="shared" si="177"/>
        <v/>
      </c>
      <c r="BA112" s="108" t="str">
        <f t="shared" si="177"/>
        <v/>
      </c>
      <c r="BB112" s="108" t="str">
        <f t="shared" si="177"/>
        <v/>
      </c>
      <c r="BC112" s="108" t="str">
        <f t="shared" si="177"/>
        <v/>
      </c>
      <c r="BD112" s="108" t="str">
        <f t="shared" si="177"/>
        <v/>
      </c>
      <c r="BE112" s="108" t="str">
        <f t="shared" si="177"/>
        <v/>
      </c>
      <c r="BF112" s="108" t="str">
        <f t="shared" si="177"/>
        <v/>
      </c>
      <c r="BG112" s="108" t="str">
        <f t="shared" si="177"/>
        <v/>
      </c>
      <c r="BH112" s="108" t="str">
        <f t="shared" si="177"/>
        <v/>
      </c>
      <c r="BI112" s="108" t="str">
        <f t="shared" si="178"/>
        <v/>
      </c>
      <c r="BJ112" s="108" t="str">
        <f t="shared" si="178"/>
        <v/>
      </c>
      <c r="BK112" s="108" t="str">
        <f t="shared" si="178"/>
        <v/>
      </c>
      <c r="BL112" s="108" t="str">
        <f t="shared" si="178"/>
        <v/>
      </c>
      <c r="BM112" s="108" t="str">
        <f t="shared" si="178"/>
        <v/>
      </c>
      <c r="BN112" s="108" t="str">
        <f t="shared" si="178"/>
        <v/>
      </c>
      <c r="BO112" s="108" t="str">
        <f t="shared" si="178"/>
        <v/>
      </c>
      <c r="BP112" s="108" t="str">
        <f t="shared" si="178"/>
        <v/>
      </c>
      <c r="BQ112" s="108" t="str">
        <f t="shared" si="178"/>
        <v/>
      </c>
      <c r="BR112" s="108" t="str">
        <f t="shared" si="178"/>
        <v/>
      </c>
      <c r="BS112" s="108" t="str">
        <f t="shared" si="179"/>
        <v/>
      </c>
      <c r="BT112" s="108" t="str">
        <f t="shared" si="179"/>
        <v/>
      </c>
      <c r="BU112" s="108" t="str">
        <f t="shared" si="179"/>
        <v/>
      </c>
      <c r="BV112" s="108" t="str">
        <f t="shared" si="179"/>
        <v/>
      </c>
      <c r="BW112" s="108" t="str">
        <f t="shared" si="179"/>
        <v/>
      </c>
      <c r="BX112" s="108" t="str">
        <f t="shared" si="179"/>
        <v/>
      </c>
      <c r="BY112" s="108" t="str">
        <f t="shared" si="179"/>
        <v/>
      </c>
      <c r="BZ112" s="108" t="str">
        <f t="shared" si="179"/>
        <v/>
      </c>
      <c r="CA112" s="108" t="str">
        <f t="shared" si="179"/>
        <v/>
      </c>
      <c r="CB112" s="108" t="str">
        <f t="shared" si="179"/>
        <v/>
      </c>
      <c r="CC112" s="108" t="str">
        <f t="shared" si="180"/>
        <v/>
      </c>
      <c r="CD112" s="108" t="str">
        <f t="shared" si="180"/>
        <v/>
      </c>
      <c r="CE112" s="108" t="str">
        <f t="shared" si="180"/>
        <v/>
      </c>
      <c r="CF112" s="108" t="str">
        <f t="shared" si="180"/>
        <v/>
      </c>
      <c r="CG112" s="108" t="str">
        <f t="shared" si="180"/>
        <v/>
      </c>
      <c r="CH112" s="108" t="str">
        <f t="shared" si="180"/>
        <v/>
      </c>
      <c r="CI112" s="108" t="str">
        <f t="shared" si="180"/>
        <v/>
      </c>
      <c r="CJ112" s="108" t="str">
        <f t="shared" si="180"/>
        <v/>
      </c>
      <c r="CK112" s="108" t="str">
        <f t="shared" si="180"/>
        <v/>
      </c>
      <c r="CL112" s="108" t="str">
        <f t="shared" si="180"/>
        <v/>
      </c>
      <c r="CM112" s="108" t="str">
        <f t="shared" si="181"/>
        <v/>
      </c>
      <c r="CN112" s="108" t="str">
        <f t="shared" si="181"/>
        <v/>
      </c>
      <c r="CO112" s="108" t="str">
        <f t="shared" si="181"/>
        <v/>
      </c>
      <c r="CP112" s="108" t="str">
        <f t="shared" si="181"/>
        <v/>
      </c>
      <c r="CQ112" s="108" t="str">
        <f t="shared" si="181"/>
        <v/>
      </c>
      <c r="CR112" s="109" t="str">
        <f t="shared" si="181"/>
        <v/>
      </c>
      <c r="CS112" s="108" t="str">
        <f t="shared" si="181"/>
        <v/>
      </c>
      <c r="CT112" s="108" t="str">
        <f t="shared" si="181"/>
        <v/>
      </c>
      <c r="CU112" s="108" t="str">
        <f t="shared" si="181"/>
        <v/>
      </c>
      <c r="CV112" s="108" t="str">
        <f t="shared" si="181"/>
        <v/>
      </c>
      <c r="CW112" s="108" t="str">
        <f t="shared" si="182"/>
        <v/>
      </c>
      <c r="CX112" s="108" t="str">
        <f t="shared" si="182"/>
        <v/>
      </c>
      <c r="CY112" s="108" t="str">
        <f t="shared" si="182"/>
        <v/>
      </c>
      <c r="CZ112" s="109" t="str">
        <f t="shared" si="182"/>
        <v/>
      </c>
      <c r="DA112" s="108" t="str">
        <f t="shared" si="182"/>
        <v/>
      </c>
      <c r="DB112" s="108" t="str">
        <f t="shared" si="182"/>
        <v/>
      </c>
      <c r="DC112" s="108" t="str">
        <f t="shared" si="182"/>
        <v/>
      </c>
      <c r="DD112" s="108" t="str">
        <f t="shared" si="182"/>
        <v/>
      </c>
      <c r="DE112" s="108" t="str">
        <f t="shared" si="182"/>
        <v/>
      </c>
      <c r="DF112" s="108" t="str">
        <f t="shared" si="182"/>
        <v/>
      </c>
      <c r="DG112" s="108" t="str">
        <f t="shared" si="183"/>
        <v/>
      </c>
      <c r="DH112" s="109" t="str">
        <f t="shared" si="183"/>
        <v/>
      </c>
      <c r="DI112" s="108" t="str">
        <f t="shared" si="183"/>
        <v/>
      </c>
      <c r="DJ112" s="108" t="str">
        <f t="shared" si="183"/>
        <v/>
      </c>
      <c r="DK112" s="108" t="str">
        <f t="shared" si="183"/>
        <v/>
      </c>
      <c r="DL112" s="108" t="str">
        <f t="shared" si="183"/>
        <v/>
      </c>
      <c r="DM112" s="108" t="str">
        <f t="shared" si="183"/>
        <v/>
      </c>
      <c r="DN112" s="108" t="str">
        <f t="shared" si="183"/>
        <v/>
      </c>
      <c r="DO112" s="109" t="str">
        <f t="shared" si="183"/>
        <v/>
      </c>
      <c r="DP112" s="108" t="str">
        <f t="shared" si="183"/>
        <v/>
      </c>
      <c r="DQ112" s="108" t="str">
        <f t="shared" si="184"/>
        <v/>
      </c>
      <c r="DR112" s="108" t="str">
        <f t="shared" si="184"/>
        <v/>
      </c>
      <c r="DS112" s="108" t="str">
        <f t="shared" si="184"/>
        <v/>
      </c>
      <c r="DT112" s="108" t="str">
        <f t="shared" si="184"/>
        <v/>
      </c>
      <c r="DU112" s="108" t="str">
        <f t="shared" si="184"/>
        <v/>
      </c>
      <c r="DV112" s="108" t="str">
        <f t="shared" si="184"/>
        <v/>
      </c>
      <c r="DW112" s="109" t="str">
        <f t="shared" si="184"/>
        <v/>
      </c>
      <c r="DX112" s="108" t="str">
        <f t="shared" si="184"/>
        <v/>
      </c>
      <c r="DY112" s="108" t="str">
        <f t="shared" si="184"/>
        <v/>
      </c>
      <c r="DZ112" s="108" t="str">
        <f t="shared" si="184"/>
        <v/>
      </c>
      <c r="EA112" s="108" t="str">
        <f t="shared" si="185"/>
        <v/>
      </c>
      <c r="EB112" s="108" t="str">
        <f t="shared" si="185"/>
        <v/>
      </c>
      <c r="EC112" s="108" t="str">
        <f t="shared" si="185"/>
        <v/>
      </c>
      <c r="ED112" s="109" t="str">
        <f t="shared" si="185"/>
        <v/>
      </c>
      <c r="EE112" s="108" t="str">
        <f t="shared" si="185"/>
        <v/>
      </c>
      <c r="EF112" s="108" t="str">
        <f t="shared" si="185"/>
        <v/>
      </c>
      <c r="EG112" s="108" t="str">
        <f t="shared" si="185"/>
        <v/>
      </c>
      <c r="EH112" s="108" t="str">
        <f t="shared" si="185"/>
        <v/>
      </c>
      <c r="EI112" s="108" t="str">
        <f t="shared" si="185"/>
        <v/>
      </c>
      <c r="EJ112" s="108" t="str">
        <f t="shared" si="185"/>
        <v/>
      </c>
      <c r="EK112" s="108" t="str">
        <f t="shared" si="186"/>
        <v/>
      </c>
      <c r="EL112" s="108" t="str">
        <f t="shared" si="186"/>
        <v/>
      </c>
      <c r="EM112" s="108" t="str">
        <f t="shared" si="186"/>
        <v/>
      </c>
      <c r="EN112" s="108" t="str">
        <f t="shared" si="186"/>
        <v/>
      </c>
      <c r="EO112" s="108" t="str">
        <f t="shared" si="186"/>
        <v/>
      </c>
      <c r="EP112" s="108" t="str">
        <f t="shared" si="186"/>
        <v/>
      </c>
      <c r="EQ112" s="108" t="str">
        <f t="shared" si="186"/>
        <v/>
      </c>
      <c r="ER112" s="108" t="str">
        <f t="shared" si="186"/>
        <v/>
      </c>
      <c r="ES112" s="109" t="str">
        <f t="shared" si="186"/>
        <v/>
      </c>
      <c r="ET112" s="108" t="str">
        <f t="shared" si="186"/>
        <v/>
      </c>
      <c r="EU112" s="108" t="str">
        <f t="shared" si="187"/>
        <v/>
      </c>
      <c r="EV112" s="108" t="str">
        <f t="shared" si="187"/>
        <v/>
      </c>
      <c r="EW112" s="108" t="str">
        <f t="shared" si="187"/>
        <v/>
      </c>
      <c r="EX112" s="108" t="str">
        <f t="shared" si="187"/>
        <v/>
      </c>
      <c r="EY112" s="108" t="str">
        <f t="shared" si="187"/>
        <v/>
      </c>
      <c r="EZ112" s="108" t="str">
        <f t="shared" si="187"/>
        <v/>
      </c>
      <c r="FA112" s="108" t="str">
        <f t="shared" si="187"/>
        <v/>
      </c>
      <c r="FB112" s="108" t="str">
        <f t="shared" si="187"/>
        <v/>
      </c>
      <c r="FC112" s="108" t="str">
        <f t="shared" si="187"/>
        <v/>
      </c>
      <c r="FD112" s="108" t="str">
        <f t="shared" si="187"/>
        <v/>
      </c>
      <c r="FE112" s="108" t="str">
        <f t="shared" si="188"/>
        <v/>
      </c>
      <c r="FF112" s="109" t="str">
        <f t="shared" si="188"/>
        <v/>
      </c>
      <c r="FG112" s="108" t="str">
        <f t="shared" si="188"/>
        <v/>
      </c>
      <c r="FH112" s="108" t="str">
        <f t="shared" si="188"/>
        <v/>
      </c>
      <c r="FI112" s="108" t="str">
        <f t="shared" si="188"/>
        <v/>
      </c>
      <c r="FJ112" s="108" t="str">
        <f t="shared" si="188"/>
        <v/>
      </c>
      <c r="FK112" s="108" t="str">
        <f t="shared" si="188"/>
        <v/>
      </c>
      <c r="FL112" s="108" t="str">
        <f t="shared" si="188"/>
        <v/>
      </c>
      <c r="FM112" s="108" t="str">
        <f t="shared" si="188"/>
        <v/>
      </c>
      <c r="FN112" s="108" t="str">
        <f t="shared" si="188"/>
        <v/>
      </c>
      <c r="FO112" s="108" t="str">
        <f t="shared" si="189"/>
        <v/>
      </c>
      <c r="FP112" s="108" t="str">
        <f t="shared" si="189"/>
        <v/>
      </c>
      <c r="FQ112" s="108" t="str">
        <f t="shared" si="189"/>
        <v/>
      </c>
      <c r="FR112" s="108" t="str">
        <f t="shared" si="189"/>
        <v/>
      </c>
      <c r="FS112" s="108" t="str">
        <f t="shared" si="189"/>
        <v/>
      </c>
      <c r="FT112" s="108" t="str">
        <f t="shared" si="189"/>
        <v/>
      </c>
      <c r="FU112" s="108" t="str">
        <f t="shared" si="189"/>
        <v/>
      </c>
      <c r="FV112" s="108" t="str">
        <f t="shared" si="189"/>
        <v/>
      </c>
      <c r="FW112" s="110" t="str">
        <f t="shared" si="189"/>
        <v/>
      </c>
    </row>
    <row r="113" spans="1:193" s="101" customFormat="1" ht="21" customHeight="1" x14ac:dyDescent="0.35">
      <c r="B113" s="27" t="e">
        <f>Portfolio_Daten!#REF!</f>
        <v>#REF!</v>
      </c>
      <c r="C113" s="27">
        <f>Portfolio_Daten!B114</f>
        <v>0</v>
      </c>
      <c r="D113" s="28">
        <f>Portfolio_Daten!E115</f>
        <v>0</v>
      </c>
      <c r="E113" s="31">
        <f>Portfolio_Daten!T115</f>
        <v>0</v>
      </c>
      <c r="F113" s="31">
        <f>Portfolio_Daten!U115</f>
        <v>0</v>
      </c>
      <c r="G113" s="107">
        <f>IF(F113="","",NETWORKDAYS(E113,F113,Parameter!$C$4:$C$51))</f>
        <v>0</v>
      </c>
      <c r="H113" s="29">
        <f>Portfolio_Daten!AG115</f>
        <v>0</v>
      </c>
      <c r="I113" s="33">
        <f>Portfolio_Daten!AI115</f>
        <v>0</v>
      </c>
      <c r="J113" s="106"/>
      <c r="K113" s="108" t="str">
        <f t="shared" si="173"/>
        <v/>
      </c>
      <c r="L113" s="108" t="str">
        <f t="shared" si="173"/>
        <v/>
      </c>
      <c r="M113" s="108" t="str">
        <f t="shared" si="173"/>
        <v/>
      </c>
      <c r="N113" s="108" t="str">
        <f t="shared" si="173"/>
        <v/>
      </c>
      <c r="O113" s="108" t="str">
        <f t="shared" si="173"/>
        <v/>
      </c>
      <c r="P113" s="108" t="str">
        <f t="shared" si="173"/>
        <v/>
      </c>
      <c r="Q113" s="108" t="str">
        <f t="shared" si="173"/>
        <v/>
      </c>
      <c r="R113" s="108" t="str">
        <f t="shared" si="173"/>
        <v/>
      </c>
      <c r="S113" s="108" t="str">
        <f t="shared" si="173"/>
        <v/>
      </c>
      <c r="T113" s="108" t="str">
        <f t="shared" si="173"/>
        <v/>
      </c>
      <c r="U113" s="108" t="str">
        <f t="shared" si="174"/>
        <v/>
      </c>
      <c r="V113" s="108" t="str">
        <f t="shared" si="174"/>
        <v/>
      </c>
      <c r="W113" s="108" t="str">
        <f t="shared" si="174"/>
        <v/>
      </c>
      <c r="X113" s="108" t="str">
        <f t="shared" si="174"/>
        <v/>
      </c>
      <c r="Y113" s="108" t="str">
        <f t="shared" si="174"/>
        <v/>
      </c>
      <c r="Z113" s="108" t="str">
        <f t="shared" si="174"/>
        <v/>
      </c>
      <c r="AA113" s="108" t="str">
        <f t="shared" si="174"/>
        <v/>
      </c>
      <c r="AB113" s="108" t="str">
        <f t="shared" si="174"/>
        <v/>
      </c>
      <c r="AC113" s="108" t="str">
        <f t="shared" si="174"/>
        <v/>
      </c>
      <c r="AD113" s="108" t="str">
        <f t="shared" si="174"/>
        <v/>
      </c>
      <c r="AE113" s="108" t="str">
        <f t="shared" si="175"/>
        <v/>
      </c>
      <c r="AF113" s="108" t="str">
        <f t="shared" si="175"/>
        <v/>
      </c>
      <c r="AG113" s="108" t="str">
        <f t="shared" si="175"/>
        <v/>
      </c>
      <c r="AH113" s="108" t="str">
        <f t="shared" si="175"/>
        <v/>
      </c>
      <c r="AI113" s="108" t="str">
        <f t="shared" si="175"/>
        <v/>
      </c>
      <c r="AJ113" s="108" t="str">
        <f t="shared" si="175"/>
        <v/>
      </c>
      <c r="AK113" s="108" t="str">
        <f t="shared" si="175"/>
        <v/>
      </c>
      <c r="AL113" s="108" t="str">
        <f t="shared" si="175"/>
        <v/>
      </c>
      <c r="AM113" s="108" t="str">
        <f t="shared" si="175"/>
        <v/>
      </c>
      <c r="AN113" s="108" t="str">
        <f t="shared" si="175"/>
        <v/>
      </c>
      <c r="AO113" s="108" t="str">
        <f t="shared" si="176"/>
        <v/>
      </c>
      <c r="AP113" s="108" t="str">
        <f t="shared" si="176"/>
        <v/>
      </c>
      <c r="AQ113" s="108" t="str">
        <f t="shared" si="176"/>
        <v/>
      </c>
      <c r="AR113" s="108" t="str">
        <f t="shared" si="176"/>
        <v/>
      </c>
      <c r="AS113" s="108" t="str">
        <f t="shared" si="176"/>
        <v/>
      </c>
      <c r="AT113" s="108" t="str">
        <f t="shared" si="176"/>
        <v/>
      </c>
      <c r="AU113" s="108" t="str">
        <f t="shared" si="176"/>
        <v/>
      </c>
      <c r="AV113" s="108" t="str">
        <f t="shared" si="176"/>
        <v/>
      </c>
      <c r="AW113" s="108" t="str">
        <f t="shared" si="176"/>
        <v/>
      </c>
      <c r="AX113" s="108" t="str">
        <f t="shared" si="176"/>
        <v/>
      </c>
      <c r="AY113" s="108" t="str">
        <f t="shared" si="177"/>
        <v/>
      </c>
      <c r="AZ113" s="108" t="str">
        <f t="shared" si="177"/>
        <v/>
      </c>
      <c r="BA113" s="108" t="str">
        <f t="shared" si="177"/>
        <v/>
      </c>
      <c r="BB113" s="108" t="str">
        <f t="shared" si="177"/>
        <v/>
      </c>
      <c r="BC113" s="108" t="str">
        <f t="shared" si="177"/>
        <v/>
      </c>
      <c r="BD113" s="108" t="str">
        <f t="shared" si="177"/>
        <v/>
      </c>
      <c r="BE113" s="108" t="str">
        <f t="shared" si="177"/>
        <v/>
      </c>
      <c r="BF113" s="108" t="str">
        <f t="shared" si="177"/>
        <v/>
      </c>
      <c r="BG113" s="108" t="str">
        <f t="shared" si="177"/>
        <v/>
      </c>
      <c r="BH113" s="108" t="str">
        <f t="shared" si="177"/>
        <v/>
      </c>
      <c r="BI113" s="108" t="str">
        <f t="shared" si="178"/>
        <v/>
      </c>
      <c r="BJ113" s="108" t="str">
        <f t="shared" si="178"/>
        <v/>
      </c>
      <c r="BK113" s="108" t="str">
        <f t="shared" si="178"/>
        <v/>
      </c>
      <c r="BL113" s="108" t="str">
        <f t="shared" si="178"/>
        <v/>
      </c>
      <c r="BM113" s="108" t="str">
        <f t="shared" si="178"/>
        <v/>
      </c>
      <c r="BN113" s="108" t="str">
        <f t="shared" si="178"/>
        <v/>
      </c>
      <c r="BO113" s="108" t="str">
        <f t="shared" si="178"/>
        <v/>
      </c>
      <c r="BP113" s="108" t="str">
        <f t="shared" si="178"/>
        <v/>
      </c>
      <c r="BQ113" s="108" t="str">
        <f t="shared" si="178"/>
        <v/>
      </c>
      <c r="BR113" s="108" t="str">
        <f t="shared" si="178"/>
        <v/>
      </c>
      <c r="BS113" s="108" t="str">
        <f t="shared" si="179"/>
        <v/>
      </c>
      <c r="BT113" s="108" t="str">
        <f t="shared" si="179"/>
        <v/>
      </c>
      <c r="BU113" s="108" t="str">
        <f t="shared" si="179"/>
        <v/>
      </c>
      <c r="BV113" s="108" t="str">
        <f t="shared" si="179"/>
        <v/>
      </c>
      <c r="BW113" s="108" t="str">
        <f t="shared" si="179"/>
        <v/>
      </c>
      <c r="BX113" s="108" t="str">
        <f t="shared" si="179"/>
        <v/>
      </c>
      <c r="BY113" s="108" t="str">
        <f t="shared" si="179"/>
        <v/>
      </c>
      <c r="BZ113" s="108" t="str">
        <f t="shared" si="179"/>
        <v/>
      </c>
      <c r="CA113" s="108" t="str">
        <f t="shared" si="179"/>
        <v/>
      </c>
      <c r="CB113" s="108" t="str">
        <f t="shared" si="179"/>
        <v/>
      </c>
      <c r="CC113" s="108" t="str">
        <f t="shared" si="180"/>
        <v/>
      </c>
      <c r="CD113" s="108" t="str">
        <f t="shared" si="180"/>
        <v/>
      </c>
      <c r="CE113" s="108" t="str">
        <f t="shared" si="180"/>
        <v/>
      </c>
      <c r="CF113" s="108" t="str">
        <f t="shared" si="180"/>
        <v/>
      </c>
      <c r="CG113" s="108" t="str">
        <f t="shared" si="180"/>
        <v/>
      </c>
      <c r="CH113" s="108" t="str">
        <f t="shared" si="180"/>
        <v/>
      </c>
      <c r="CI113" s="108" t="str">
        <f t="shared" si="180"/>
        <v/>
      </c>
      <c r="CJ113" s="108" t="str">
        <f t="shared" si="180"/>
        <v/>
      </c>
      <c r="CK113" s="108" t="str">
        <f t="shared" si="180"/>
        <v/>
      </c>
      <c r="CL113" s="108" t="str">
        <f t="shared" si="180"/>
        <v/>
      </c>
      <c r="CM113" s="108" t="str">
        <f t="shared" si="181"/>
        <v/>
      </c>
      <c r="CN113" s="108" t="str">
        <f t="shared" si="181"/>
        <v/>
      </c>
      <c r="CO113" s="108" t="str">
        <f t="shared" si="181"/>
        <v/>
      </c>
      <c r="CP113" s="108" t="str">
        <f t="shared" si="181"/>
        <v/>
      </c>
      <c r="CQ113" s="108" t="str">
        <f t="shared" si="181"/>
        <v/>
      </c>
      <c r="CR113" s="109" t="str">
        <f t="shared" si="181"/>
        <v/>
      </c>
      <c r="CS113" s="108" t="str">
        <f t="shared" si="181"/>
        <v/>
      </c>
      <c r="CT113" s="108" t="str">
        <f t="shared" si="181"/>
        <v/>
      </c>
      <c r="CU113" s="108" t="str">
        <f t="shared" si="181"/>
        <v/>
      </c>
      <c r="CV113" s="108" t="str">
        <f t="shared" si="181"/>
        <v/>
      </c>
      <c r="CW113" s="108" t="str">
        <f t="shared" si="182"/>
        <v/>
      </c>
      <c r="CX113" s="108" t="str">
        <f t="shared" si="182"/>
        <v/>
      </c>
      <c r="CY113" s="108" t="str">
        <f t="shared" si="182"/>
        <v/>
      </c>
      <c r="CZ113" s="109" t="str">
        <f t="shared" si="182"/>
        <v/>
      </c>
      <c r="DA113" s="108" t="str">
        <f t="shared" si="182"/>
        <v/>
      </c>
      <c r="DB113" s="108" t="str">
        <f t="shared" si="182"/>
        <v/>
      </c>
      <c r="DC113" s="108" t="str">
        <f t="shared" si="182"/>
        <v/>
      </c>
      <c r="DD113" s="108" t="str">
        <f t="shared" si="182"/>
        <v/>
      </c>
      <c r="DE113" s="108" t="str">
        <f t="shared" si="182"/>
        <v/>
      </c>
      <c r="DF113" s="108" t="str">
        <f t="shared" si="182"/>
        <v/>
      </c>
      <c r="DG113" s="108" t="str">
        <f t="shared" si="183"/>
        <v/>
      </c>
      <c r="DH113" s="109" t="str">
        <f t="shared" si="183"/>
        <v/>
      </c>
      <c r="DI113" s="108" t="str">
        <f t="shared" si="183"/>
        <v/>
      </c>
      <c r="DJ113" s="108" t="str">
        <f t="shared" si="183"/>
        <v/>
      </c>
      <c r="DK113" s="108" t="str">
        <f t="shared" si="183"/>
        <v/>
      </c>
      <c r="DL113" s="108" t="str">
        <f t="shared" si="183"/>
        <v/>
      </c>
      <c r="DM113" s="108" t="str">
        <f t="shared" si="183"/>
        <v/>
      </c>
      <c r="DN113" s="108" t="str">
        <f t="shared" si="183"/>
        <v/>
      </c>
      <c r="DO113" s="109" t="str">
        <f t="shared" si="183"/>
        <v/>
      </c>
      <c r="DP113" s="108" t="str">
        <f t="shared" si="183"/>
        <v/>
      </c>
      <c r="DQ113" s="108" t="str">
        <f t="shared" si="184"/>
        <v/>
      </c>
      <c r="DR113" s="108" t="str">
        <f t="shared" si="184"/>
        <v/>
      </c>
      <c r="DS113" s="108" t="str">
        <f t="shared" si="184"/>
        <v/>
      </c>
      <c r="DT113" s="108" t="str">
        <f t="shared" si="184"/>
        <v/>
      </c>
      <c r="DU113" s="108" t="str">
        <f t="shared" si="184"/>
        <v/>
      </c>
      <c r="DV113" s="108" t="str">
        <f t="shared" si="184"/>
        <v/>
      </c>
      <c r="DW113" s="109" t="str">
        <f t="shared" si="184"/>
        <v/>
      </c>
      <c r="DX113" s="108" t="str">
        <f t="shared" si="184"/>
        <v/>
      </c>
      <c r="DY113" s="108" t="str">
        <f t="shared" si="184"/>
        <v/>
      </c>
      <c r="DZ113" s="108" t="str">
        <f t="shared" si="184"/>
        <v/>
      </c>
      <c r="EA113" s="108" t="str">
        <f t="shared" si="185"/>
        <v/>
      </c>
      <c r="EB113" s="108" t="str">
        <f t="shared" si="185"/>
        <v/>
      </c>
      <c r="EC113" s="108" t="str">
        <f t="shared" si="185"/>
        <v/>
      </c>
      <c r="ED113" s="109" t="str">
        <f t="shared" si="185"/>
        <v/>
      </c>
      <c r="EE113" s="108" t="str">
        <f t="shared" si="185"/>
        <v/>
      </c>
      <c r="EF113" s="108" t="str">
        <f t="shared" si="185"/>
        <v/>
      </c>
      <c r="EG113" s="108" t="str">
        <f t="shared" si="185"/>
        <v/>
      </c>
      <c r="EH113" s="108" t="str">
        <f t="shared" si="185"/>
        <v/>
      </c>
      <c r="EI113" s="108" t="str">
        <f t="shared" si="185"/>
        <v/>
      </c>
      <c r="EJ113" s="108" t="str">
        <f t="shared" si="185"/>
        <v/>
      </c>
      <c r="EK113" s="108" t="str">
        <f t="shared" si="186"/>
        <v/>
      </c>
      <c r="EL113" s="108" t="str">
        <f t="shared" si="186"/>
        <v/>
      </c>
      <c r="EM113" s="108" t="str">
        <f t="shared" si="186"/>
        <v/>
      </c>
      <c r="EN113" s="108" t="str">
        <f t="shared" si="186"/>
        <v/>
      </c>
      <c r="EO113" s="108" t="str">
        <f t="shared" si="186"/>
        <v/>
      </c>
      <c r="EP113" s="108" t="str">
        <f t="shared" si="186"/>
        <v/>
      </c>
      <c r="EQ113" s="108" t="str">
        <f t="shared" si="186"/>
        <v/>
      </c>
      <c r="ER113" s="108" t="str">
        <f t="shared" si="186"/>
        <v/>
      </c>
      <c r="ES113" s="109" t="str">
        <f t="shared" si="186"/>
        <v/>
      </c>
      <c r="ET113" s="108" t="str">
        <f t="shared" si="186"/>
        <v/>
      </c>
      <c r="EU113" s="108" t="str">
        <f t="shared" si="187"/>
        <v/>
      </c>
      <c r="EV113" s="108" t="str">
        <f t="shared" si="187"/>
        <v/>
      </c>
      <c r="EW113" s="108" t="str">
        <f t="shared" si="187"/>
        <v/>
      </c>
      <c r="EX113" s="108" t="str">
        <f t="shared" si="187"/>
        <v/>
      </c>
      <c r="EY113" s="108" t="str">
        <f t="shared" si="187"/>
        <v/>
      </c>
      <c r="EZ113" s="108" t="str">
        <f t="shared" si="187"/>
        <v/>
      </c>
      <c r="FA113" s="108" t="str">
        <f t="shared" si="187"/>
        <v/>
      </c>
      <c r="FB113" s="108" t="str">
        <f t="shared" si="187"/>
        <v/>
      </c>
      <c r="FC113" s="108" t="str">
        <f t="shared" si="187"/>
        <v/>
      </c>
      <c r="FD113" s="108" t="str">
        <f t="shared" si="187"/>
        <v/>
      </c>
      <c r="FE113" s="108" t="str">
        <f t="shared" si="188"/>
        <v/>
      </c>
      <c r="FF113" s="109" t="str">
        <f t="shared" si="188"/>
        <v/>
      </c>
      <c r="FG113" s="108" t="str">
        <f t="shared" si="188"/>
        <v/>
      </c>
      <c r="FH113" s="108" t="str">
        <f t="shared" si="188"/>
        <v/>
      </c>
      <c r="FI113" s="108" t="str">
        <f t="shared" si="188"/>
        <v/>
      </c>
      <c r="FJ113" s="108" t="str">
        <f t="shared" si="188"/>
        <v/>
      </c>
      <c r="FK113" s="108" t="str">
        <f t="shared" si="188"/>
        <v/>
      </c>
      <c r="FL113" s="108" t="str">
        <f t="shared" si="188"/>
        <v/>
      </c>
      <c r="FM113" s="108" t="str">
        <f t="shared" si="188"/>
        <v/>
      </c>
      <c r="FN113" s="108" t="str">
        <f t="shared" si="188"/>
        <v/>
      </c>
      <c r="FO113" s="108" t="str">
        <f t="shared" si="189"/>
        <v/>
      </c>
      <c r="FP113" s="108" t="str">
        <f t="shared" si="189"/>
        <v/>
      </c>
      <c r="FQ113" s="108" t="str">
        <f t="shared" si="189"/>
        <v/>
      </c>
      <c r="FR113" s="108" t="str">
        <f t="shared" si="189"/>
        <v/>
      </c>
      <c r="FS113" s="108" t="str">
        <f t="shared" si="189"/>
        <v/>
      </c>
      <c r="FT113" s="108" t="str">
        <f t="shared" si="189"/>
        <v/>
      </c>
      <c r="FU113" s="108" t="str">
        <f t="shared" si="189"/>
        <v/>
      </c>
      <c r="FV113" s="108" t="str">
        <f t="shared" si="189"/>
        <v/>
      </c>
      <c r="FW113" s="110" t="str">
        <f t="shared" si="189"/>
        <v/>
      </c>
    </row>
    <row r="114" spans="1:193" s="101" customFormat="1" ht="21" customHeight="1" x14ac:dyDescent="0.35">
      <c r="B114" s="27" t="e">
        <f>Portfolio_Daten!#REF!</f>
        <v>#REF!</v>
      </c>
      <c r="C114" s="27">
        <f>Portfolio_Daten!B115</f>
        <v>0</v>
      </c>
      <c r="D114" s="28">
        <f>Portfolio_Daten!E116</f>
        <v>0</v>
      </c>
      <c r="E114" s="31">
        <f>Portfolio_Daten!T116</f>
        <v>0</v>
      </c>
      <c r="F114" s="31">
        <f>Portfolio_Daten!U116</f>
        <v>0</v>
      </c>
      <c r="G114" s="107">
        <f>IF(F114="","",NETWORKDAYS(E114,F114,Parameter!$C$4:$C$51))</f>
        <v>0</v>
      </c>
      <c r="H114" s="29" t="s">
        <v>14</v>
      </c>
      <c r="I114" s="33">
        <f>Portfolio_Daten!AI116</f>
        <v>0</v>
      </c>
      <c r="J114" s="106"/>
      <c r="K114" s="108" t="str">
        <f t="shared" si="173"/>
        <v/>
      </c>
      <c r="L114" s="108" t="str">
        <f t="shared" si="173"/>
        <v/>
      </c>
      <c r="M114" s="108" t="str">
        <f t="shared" si="173"/>
        <v/>
      </c>
      <c r="N114" s="108" t="str">
        <f t="shared" si="173"/>
        <v/>
      </c>
      <c r="O114" s="108" t="str">
        <f t="shared" si="173"/>
        <v/>
      </c>
      <c r="P114" s="108" t="str">
        <f t="shared" si="173"/>
        <v/>
      </c>
      <c r="Q114" s="108" t="str">
        <f t="shared" si="173"/>
        <v/>
      </c>
      <c r="R114" s="108" t="str">
        <f t="shared" si="173"/>
        <v/>
      </c>
      <c r="S114" s="108" t="str">
        <f t="shared" si="173"/>
        <v/>
      </c>
      <c r="T114" s="108" t="str">
        <f t="shared" si="173"/>
        <v/>
      </c>
      <c r="U114" s="108" t="str">
        <f t="shared" si="174"/>
        <v/>
      </c>
      <c r="V114" s="108" t="str">
        <f t="shared" si="174"/>
        <v/>
      </c>
      <c r="W114" s="108" t="str">
        <f t="shared" si="174"/>
        <v/>
      </c>
      <c r="X114" s="108" t="str">
        <f t="shared" si="174"/>
        <v/>
      </c>
      <c r="Y114" s="108" t="str">
        <f t="shared" si="174"/>
        <v/>
      </c>
      <c r="Z114" s="108" t="str">
        <f t="shared" si="174"/>
        <v/>
      </c>
      <c r="AA114" s="108" t="str">
        <f t="shared" si="174"/>
        <v/>
      </c>
      <c r="AB114" s="108" t="str">
        <f t="shared" si="174"/>
        <v/>
      </c>
      <c r="AC114" s="108" t="str">
        <f t="shared" si="174"/>
        <v/>
      </c>
      <c r="AD114" s="108" t="str">
        <f t="shared" si="174"/>
        <v/>
      </c>
      <c r="AE114" s="108" t="str">
        <f t="shared" si="175"/>
        <v/>
      </c>
      <c r="AF114" s="108" t="str">
        <f t="shared" si="175"/>
        <v/>
      </c>
      <c r="AG114" s="108" t="str">
        <f t="shared" si="175"/>
        <v/>
      </c>
      <c r="AH114" s="108" t="str">
        <f t="shared" si="175"/>
        <v/>
      </c>
      <c r="AI114" s="108" t="str">
        <f t="shared" si="175"/>
        <v/>
      </c>
      <c r="AJ114" s="108" t="str">
        <f t="shared" si="175"/>
        <v/>
      </c>
      <c r="AK114" s="108" t="str">
        <f t="shared" si="175"/>
        <v/>
      </c>
      <c r="AL114" s="108" t="str">
        <f t="shared" si="175"/>
        <v/>
      </c>
      <c r="AM114" s="108" t="str">
        <f t="shared" si="175"/>
        <v/>
      </c>
      <c r="AN114" s="108" t="str">
        <f t="shared" si="175"/>
        <v/>
      </c>
      <c r="AO114" s="108" t="str">
        <f t="shared" si="176"/>
        <v/>
      </c>
      <c r="AP114" s="108" t="str">
        <f t="shared" si="176"/>
        <v/>
      </c>
      <c r="AQ114" s="108" t="str">
        <f t="shared" si="176"/>
        <v/>
      </c>
      <c r="AR114" s="108" t="str">
        <f t="shared" si="176"/>
        <v/>
      </c>
      <c r="AS114" s="108" t="str">
        <f t="shared" si="176"/>
        <v/>
      </c>
      <c r="AT114" s="108" t="str">
        <f t="shared" si="176"/>
        <v/>
      </c>
      <c r="AU114" s="108" t="str">
        <f t="shared" si="176"/>
        <v/>
      </c>
      <c r="AV114" s="108" t="str">
        <f t="shared" si="176"/>
        <v/>
      </c>
      <c r="AW114" s="108" t="str">
        <f t="shared" si="176"/>
        <v/>
      </c>
      <c r="AX114" s="108" t="str">
        <f t="shared" si="176"/>
        <v/>
      </c>
      <c r="AY114" s="108" t="str">
        <f t="shared" si="177"/>
        <v/>
      </c>
      <c r="AZ114" s="108" t="str">
        <f t="shared" si="177"/>
        <v/>
      </c>
      <c r="BA114" s="108" t="str">
        <f t="shared" si="177"/>
        <v/>
      </c>
      <c r="BB114" s="108" t="str">
        <f t="shared" si="177"/>
        <v/>
      </c>
      <c r="BC114" s="108" t="str">
        <f t="shared" si="177"/>
        <v/>
      </c>
      <c r="BD114" s="108" t="str">
        <f t="shared" si="177"/>
        <v/>
      </c>
      <c r="BE114" s="108" t="str">
        <f t="shared" si="177"/>
        <v/>
      </c>
      <c r="BF114" s="108" t="str">
        <f t="shared" si="177"/>
        <v/>
      </c>
      <c r="BG114" s="108" t="str">
        <f t="shared" si="177"/>
        <v/>
      </c>
      <c r="BH114" s="108" t="str">
        <f t="shared" si="177"/>
        <v/>
      </c>
      <c r="BI114" s="108" t="str">
        <f t="shared" si="178"/>
        <v/>
      </c>
      <c r="BJ114" s="108" t="str">
        <f t="shared" si="178"/>
        <v/>
      </c>
      <c r="BK114" s="108" t="str">
        <f t="shared" si="178"/>
        <v/>
      </c>
      <c r="BL114" s="108" t="str">
        <f t="shared" si="178"/>
        <v/>
      </c>
      <c r="BM114" s="108" t="str">
        <f t="shared" si="178"/>
        <v/>
      </c>
      <c r="BN114" s="108" t="str">
        <f t="shared" si="178"/>
        <v/>
      </c>
      <c r="BO114" s="108" t="str">
        <f t="shared" si="178"/>
        <v/>
      </c>
      <c r="BP114" s="108" t="str">
        <f t="shared" si="178"/>
        <v/>
      </c>
      <c r="BQ114" s="108" t="str">
        <f t="shared" si="178"/>
        <v/>
      </c>
      <c r="BR114" s="108" t="str">
        <f t="shared" si="178"/>
        <v/>
      </c>
      <c r="BS114" s="108" t="str">
        <f t="shared" si="179"/>
        <v/>
      </c>
      <c r="BT114" s="108" t="str">
        <f t="shared" si="179"/>
        <v/>
      </c>
      <c r="BU114" s="108" t="str">
        <f t="shared" si="179"/>
        <v/>
      </c>
      <c r="BV114" s="108" t="str">
        <f t="shared" si="179"/>
        <v/>
      </c>
      <c r="BW114" s="108" t="str">
        <f t="shared" si="179"/>
        <v/>
      </c>
      <c r="BX114" s="108" t="str">
        <f t="shared" si="179"/>
        <v/>
      </c>
      <c r="BY114" s="108" t="str">
        <f t="shared" si="179"/>
        <v/>
      </c>
      <c r="BZ114" s="108" t="str">
        <f t="shared" si="179"/>
        <v/>
      </c>
      <c r="CA114" s="108" t="str">
        <f t="shared" si="179"/>
        <v/>
      </c>
      <c r="CB114" s="108" t="str">
        <f t="shared" si="179"/>
        <v/>
      </c>
      <c r="CC114" s="108" t="str">
        <f t="shared" si="180"/>
        <v/>
      </c>
      <c r="CD114" s="108" t="str">
        <f t="shared" si="180"/>
        <v/>
      </c>
      <c r="CE114" s="108" t="str">
        <f t="shared" si="180"/>
        <v/>
      </c>
      <c r="CF114" s="108" t="str">
        <f t="shared" si="180"/>
        <v/>
      </c>
      <c r="CG114" s="108" t="str">
        <f t="shared" si="180"/>
        <v/>
      </c>
      <c r="CH114" s="108" t="str">
        <f t="shared" si="180"/>
        <v/>
      </c>
      <c r="CI114" s="108" t="str">
        <f t="shared" si="180"/>
        <v/>
      </c>
      <c r="CJ114" s="108" t="str">
        <f t="shared" si="180"/>
        <v/>
      </c>
      <c r="CK114" s="108" t="str">
        <f t="shared" si="180"/>
        <v/>
      </c>
      <c r="CL114" s="108" t="str">
        <f t="shared" si="180"/>
        <v/>
      </c>
      <c r="CM114" s="108" t="str">
        <f t="shared" si="181"/>
        <v/>
      </c>
      <c r="CN114" s="108" t="str">
        <f t="shared" si="181"/>
        <v/>
      </c>
      <c r="CO114" s="108" t="str">
        <f t="shared" si="181"/>
        <v/>
      </c>
      <c r="CP114" s="108" t="str">
        <f t="shared" si="181"/>
        <v/>
      </c>
      <c r="CQ114" s="108" t="str">
        <f t="shared" si="181"/>
        <v/>
      </c>
      <c r="CR114" s="109" t="str">
        <f t="shared" si="181"/>
        <v/>
      </c>
      <c r="CS114" s="108" t="str">
        <f t="shared" si="181"/>
        <v/>
      </c>
      <c r="CT114" s="108" t="str">
        <f t="shared" si="181"/>
        <v/>
      </c>
      <c r="CU114" s="108" t="str">
        <f t="shared" si="181"/>
        <v/>
      </c>
      <c r="CV114" s="108" t="str">
        <f t="shared" si="181"/>
        <v/>
      </c>
      <c r="CW114" s="108" t="str">
        <f t="shared" si="182"/>
        <v/>
      </c>
      <c r="CX114" s="108" t="str">
        <f t="shared" si="182"/>
        <v/>
      </c>
      <c r="CY114" s="108" t="str">
        <f t="shared" si="182"/>
        <v/>
      </c>
      <c r="CZ114" s="109" t="str">
        <f t="shared" si="182"/>
        <v/>
      </c>
      <c r="DA114" s="108" t="str">
        <f t="shared" si="182"/>
        <v/>
      </c>
      <c r="DB114" s="108" t="str">
        <f t="shared" si="182"/>
        <v/>
      </c>
      <c r="DC114" s="108" t="str">
        <f t="shared" si="182"/>
        <v/>
      </c>
      <c r="DD114" s="108" t="str">
        <f t="shared" si="182"/>
        <v/>
      </c>
      <c r="DE114" s="108" t="str">
        <f t="shared" si="182"/>
        <v/>
      </c>
      <c r="DF114" s="108" t="str">
        <f t="shared" si="182"/>
        <v/>
      </c>
      <c r="DG114" s="108" t="str">
        <f t="shared" si="183"/>
        <v/>
      </c>
      <c r="DH114" s="109" t="str">
        <f t="shared" si="183"/>
        <v/>
      </c>
      <c r="DI114" s="108" t="str">
        <f t="shared" si="183"/>
        <v/>
      </c>
      <c r="DJ114" s="108" t="str">
        <f t="shared" si="183"/>
        <v/>
      </c>
      <c r="DK114" s="108" t="str">
        <f t="shared" si="183"/>
        <v/>
      </c>
      <c r="DL114" s="108" t="str">
        <f t="shared" si="183"/>
        <v/>
      </c>
      <c r="DM114" s="108" t="str">
        <f t="shared" si="183"/>
        <v/>
      </c>
      <c r="DN114" s="108" t="str">
        <f t="shared" si="183"/>
        <v/>
      </c>
      <c r="DO114" s="109" t="str">
        <f t="shared" si="183"/>
        <v/>
      </c>
      <c r="DP114" s="108" t="str">
        <f t="shared" si="183"/>
        <v/>
      </c>
      <c r="DQ114" s="108" t="str">
        <f t="shared" si="184"/>
        <v/>
      </c>
      <c r="DR114" s="108" t="str">
        <f t="shared" si="184"/>
        <v/>
      </c>
      <c r="DS114" s="108" t="str">
        <f t="shared" si="184"/>
        <v/>
      </c>
      <c r="DT114" s="108" t="str">
        <f t="shared" si="184"/>
        <v/>
      </c>
      <c r="DU114" s="108" t="str">
        <f t="shared" si="184"/>
        <v/>
      </c>
      <c r="DV114" s="108" t="str">
        <f t="shared" si="184"/>
        <v/>
      </c>
      <c r="DW114" s="109" t="str">
        <f t="shared" si="184"/>
        <v/>
      </c>
      <c r="DX114" s="108" t="str">
        <f t="shared" si="184"/>
        <v/>
      </c>
      <c r="DY114" s="108" t="str">
        <f t="shared" si="184"/>
        <v/>
      </c>
      <c r="DZ114" s="108" t="str">
        <f t="shared" si="184"/>
        <v/>
      </c>
      <c r="EA114" s="108" t="str">
        <f t="shared" si="185"/>
        <v/>
      </c>
      <c r="EB114" s="108" t="str">
        <f t="shared" si="185"/>
        <v/>
      </c>
      <c r="EC114" s="108" t="str">
        <f t="shared" si="185"/>
        <v/>
      </c>
      <c r="ED114" s="109" t="str">
        <f t="shared" si="185"/>
        <v/>
      </c>
      <c r="EE114" s="108" t="str">
        <f t="shared" si="185"/>
        <v/>
      </c>
      <c r="EF114" s="108" t="str">
        <f t="shared" si="185"/>
        <v/>
      </c>
      <c r="EG114" s="108" t="str">
        <f t="shared" si="185"/>
        <v/>
      </c>
      <c r="EH114" s="108" t="str">
        <f t="shared" si="185"/>
        <v/>
      </c>
      <c r="EI114" s="108" t="str">
        <f t="shared" si="185"/>
        <v/>
      </c>
      <c r="EJ114" s="108" t="str">
        <f t="shared" si="185"/>
        <v/>
      </c>
      <c r="EK114" s="108" t="str">
        <f t="shared" si="186"/>
        <v/>
      </c>
      <c r="EL114" s="108" t="str">
        <f t="shared" si="186"/>
        <v/>
      </c>
      <c r="EM114" s="108" t="str">
        <f t="shared" si="186"/>
        <v/>
      </c>
      <c r="EN114" s="108" t="str">
        <f t="shared" si="186"/>
        <v/>
      </c>
      <c r="EO114" s="108" t="str">
        <f t="shared" si="186"/>
        <v/>
      </c>
      <c r="EP114" s="108" t="str">
        <f t="shared" si="186"/>
        <v/>
      </c>
      <c r="EQ114" s="108" t="str">
        <f t="shared" si="186"/>
        <v/>
      </c>
      <c r="ER114" s="108" t="str">
        <f t="shared" si="186"/>
        <v/>
      </c>
      <c r="ES114" s="109" t="str">
        <f t="shared" si="186"/>
        <v/>
      </c>
      <c r="ET114" s="108" t="str">
        <f t="shared" si="186"/>
        <v/>
      </c>
      <c r="EU114" s="108" t="str">
        <f t="shared" si="187"/>
        <v/>
      </c>
      <c r="EV114" s="108" t="str">
        <f t="shared" si="187"/>
        <v/>
      </c>
      <c r="EW114" s="108" t="str">
        <f t="shared" si="187"/>
        <v/>
      </c>
      <c r="EX114" s="108" t="str">
        <f t="shared" si="187"/>
        <v/>
      </c>
      <c r="EY114" s="108" t="str">
        <f t="shared" si="187"/>
        <v/>
      </c>
      <c r="EZ114" s="108" t="str">
        <f t="shared" si="187"/>
        <v/>
      </c>
      <c r="FA114" s="108" t="str">
        <f t="shared" si="187"/>
        <v/>
      </c>
      <c r="FB114" s="108" t="str">
        <f t="shared" si="187"/>
        <v/>
      </c>
      <c r="FC114" s="108" t="str">
        <f t="shared" si="187"/>
        <v/>
      </c>
      <c r="FD114" s="108" t="str">
        <f t="shared" si="187"/>
        <v/>
      </c>
      <c r="FE114" s="108" t="str">
        <f t="shared" si="188"/>
        <v/>
      </c>
      <c r="FF114" s="109" t="str">
        <f t="shared" si="188"/>
        <v/>
      </c>
      <c r="FG114" s="108" t="str">
        <f t="shared" si="188"/>
        <v/>
      </c>
      <c r="FH114" s="108" t="str">
        <f t="shared" si="188"/>
        <v/>
      </c>
      <c r="FI114" s="108" t="str">
        <f t="shared" si="188"/>
        <v/>
      </c>
      <c r="FJ114" s="108" t="str">
        <f t="shared" si="188"/>
        <v/>
      </c>
      <c r="FK114" s="108" t="str">
        <f t="shared" si="188"/>
        <v/>
      </c>
      <c r="FL114" s="108" t="str">
        <f t="shared" si="188"/>
        <v/>
      </c>
      <c r="FM114" s="108" t="str">
        <f t="shared" si="188"/>
        <v/>
      </c>
      <c r="FN114" s="108" t="str">
        <f t="shared" si="188"/>
        <v/>
      </c>
      <c r="FO114" s="108" t="str">
        <f t="shared" si="189"/>
        <v/>
      </c>
      <c r="FP114" s="108" t="str">
        <f t="shared" si="189"/>
        <v/>
      </c>
      <c r="FQ114" s="108" t="str">
        <f t="shared" si="189"/>
        <v/>
      </c>
      <c r="FR114" s="108" t="str">
        <f t="shared" si="189"/>
        <v/>
      </c>
      <c r="FS114" s="108" t="str">
        <f t="shared" si="189"/>
        <v/>
      </c>
      <c r="FT114" s="108" t="str">
        <f t="shared" si="189"/>
        <v/>
      </c>
      <c r="FU114" s="108" t="str">
        <f t="shared" si="189"/>
        <v/>
      </c>
      <c r="FV114" s="108" t="str">
        <f t="shared" si="189"/>
        <v/>
      </c>
      <c r="FW114" s="110" t="str">
        <f t="shared" si="189"/>
        <v/>
      </c>
    </row>
    <row r="115" spans="1:193" ht="12.65" customHeight="1" x14ac:dyDescent="0.35">
      <c r="A115" s="18"/>
      <c r="B115" s="23"/>
      <c r="C115" s="23"/>
      <c r="D115" s="138"/>
      <c r="E115" s="138"/>
      <c r="F115" s="138"/>
      <c r="G115" s="138"/>
      <c r="H115" s="138"/>
      <c r="I115" s="138"/>
      <c r="J115" s="138"/>
      <c r="K115" s="138"/>
      <c r="L115" s="138"/>
      <c r="M115" s="138"/>
      <c r="N115" s="138"/>
      <c r="O115" s="138"/>
      <c r="P115" s="138"/>
      <c r="Q115" s="138"/>
      <c r="R115" s="138"/>
      <c r="S115" s="138"/>
      <c r="T115" s="138"/>
      <c r="U115" s="138"/>
      <c r="V115" s="138"/>
      <c r="W115" s="138"/>
      <c r="Y115" s="92" t="str">
        <f t="shared" ref="Y115:BD115" si="190">IF(K$5=($N115-WEEKDAY($N115,2)+1),"u","")</f>
        <v/>
      </c>
      <c r="Z115" s="92" t="str">
        <f t="shared" si="190"/>
        <v/>
      </c>
      <c r="AA115" s="92" t="str">
        <f t="shared" si="190"/>
        <v/>
      </c>
      <c r="AB115" s="92" t="str">
        <f t="shared" si="190"/>
        <v/>
      </c>
      <c r="AC115" s="92" t="str">
        <f t="shared" si="190"/>
        <v/>
      </c>
      <c r="AD115" s="92" t="str">
        <f t="shared" si="190"/>
        <v/>
      </c>
      <c r="AE115" s="92" t="str">
        <f t="shared" si="190"/>
        <v/>
      </c>
      <c r="AF115" s="92" t="str">
        <f t="shared" si="190"/>
        <v/>
      </c>
      <c r="AG115" s="92" t="str">
        <f t="shared" si="190"/>
        <v/>
      </c>
      <c r="AH115" s="92" t="str">
        <f t="shared" si="190"/>
        <v/>
      </c>
      <c r="AI115" s="92" t="str">
        <f t="shared" si="190"/>
        <v/>
      </c>
      <c r="AJ115" s="92" t="str">
        <f t="shared" si="190"/>
        <v/>
      </c>
      <c r="AK115" s="92" t="str">
        <f t="shared" si="190"/>
        <v/>
      </c>
      <c r="AL115" s="92" t="str">
        <f t="shared" si="190"/>
        <v/>
      </c>
      <c r="AM115" s="92" t="str">
        <f t="shared" si="190"/>
        <v/>
      </c>
      <c r="AN115" s="92" t="str">
        <f t="shared" si="190"/>
        <v/>
      </c>
      <c r="AO115" s="92" t="str">
        <f t="shared" si="190"/>
        <v/>
      </c>
      <c r="AP115" s="92" t="str">
        <f t="shared" si="190"/>
        <v/>
      </c>
      <c r="AQ115" s="92" t="str">
        <f t="shared" si="190"/>
        <v/>
      </c>
      <c r="AR115" s="92" t="str">
        <f t="shared" si="190"/>
        <v/>
      </c>
      <c r="AS115" s="92" t="str">
        <f t="shared" si="190"/>
        <v/>
      </c>
      <c r="AT115" s="92" t="str">
        <f t="shared" si="190"/>
        <v/>
      </c>
      <c r="AU115" s="92" t="str">
        <f t="shared" si="190"/>
        <v/>
      </c>
      <c r="AV115" s="92" t="str">
        <f t="shared" si="190"/>
        <v/>
      </c>
      <c r="AW115" s="92" t="str">
        <f t="shared" si="190"/>
        <v/>
      </c>
      <c r="AX115" s="92" t="str">
        <f t="shared" si="190"/>
        <v/>
      </c>
      <c r="AY115" s="92" t="str">
        <f t="shared" si="190"/>
        <v/>
      </c>
      <c r="AZ115" s="92" t="str">
        <f t="shared" si="190"/>
        <v/>
      </c>
      <c r="BA115" s="92" t="str">
        <f t="shared" si="190"/>
        <v/>
      </c>
      <c r="BB115" s="92" t="str">
        <f t="shared" si="190"/>
        <v/>
      </c>
      <c r="BC115" s="92" t="str">
        <f t="shared" si="190"/>
        <v/>
      </c>
      <c r="BD115" s="92" t="str">
        <f t="shared" si="190"/>
        <v/>
      </c>
      <c r="BE115" s="92" t="str">
        <f t="shared" ref="BE115:CJ115" si="191">IF(AQ$5=($N115-WEEKDAY($N115,2)+1),"u","")</f>
        <v/>
      </c>
      <c r="BF115" s="92" t="str">
        <f t="shared" si="191"/>
        <v/>
      </c>
      <c r="BG115" s="92" t="str">
        <f t="shared" si="191"/>
        <v/>
      </c>
      <c r="BH115" s="92" t="str">
        <f t="shared" si="191"/>
        <v/>
      </c>
      <c r="BI115" s="92" t="str">
        <f t="shared" si="191"/>
        <v/>
      </c>
      <c r="BJ115" s="92" t="str">
        <f t="shared" si="191"/>
        <v/>
      </c>
      <c r="BK115" s="92" t="str">
        <f t="shared" si="191"/>
        <v/>
      </c>
      <c r="BL115" s="92" t="str">
        <f t="shared" si="191"/>
        <v/>
      </c>
      <c r="BM115" s="92" t="str">
        <f t="shared" si="191"/>
        <v/>
      </c>
      <c r="BN115" s="92" t="str">
        <f t="shared" si="191"/>
        <v/>
      </c>
      <c r="BO115" s="92" t="str">
        <f t="shared" si="191"/>
        <v/>
      </c>
      <c r="BP115" s="92" t="str">
        <f t="shared" si="191"/>
        <v/>
      </c>
      <c r="BQ115" s="92" t="str">
        <f t="shared" si="191"/>
        <v/>
      </c>
      <c r="BR115" s="92" t="str">
        <f t="shared" si="191"/>
        <v/>
      </c>
      <c r="BS115" s="92" t="str">
        <f t="shared" si="191"/>
        <v/>
      </c>
      <c r="BT115" s="92" t="str">
        <f t="shared" si="191"/>
        <v/>
      </c>
      <c r="BU115" s="92" t="str">
        <f t="shared" si="191"/>
        <v/>
      </c>
      <c r="BV115" s="92" t="str">
        <f t="shared" si="191"/>
        <v/>
      </c>
      <c r="BW115" s="92" t="str">
        <f t="shared" si="191"/>
        <v/>
      </c>
      <c r="BX115" s="92" t="str">
        <f t="shared" si="191"/>
        <v/>
      </c>
      <c r="BY115" s="92" t="str">
        <f t="shared" si="191"/>
        <v/>
      </c>
      <c r="BZ115" s="92" t="str">
        <f t="shared" si="191"/>
        <v/>
      </c>
      <c r="CA115" s="92" t="str">
        <f t="shared" si="191"/>
        <v/>
      </c>
      <c r="CB115" s="92" t="str">
        <f t="shared" si="191"/>
        <v/>
      </c>
      <c r="CC115" s="92" t="str">
        <f t="shared" si="191"/>
        <v/>
      </c>
      <c r="CD115" s="92" t="str">
        <f t="shared" si="191"/>
        <v/>
      </c>
      <c r="CE115" s="92" t="str">
        <f t="shared" si="191"/>
        <v/>
      </c>
      <c r="CF115" s="92" t="str">
        <f t="shared" si="191"/>
        <v/>
      </c>
      <c r="CG115" s="92" t="str">
        <f t="shared" si="191"/>
        <v/>
      </c>
      <c r="CH115" s="92" t="str">
        <f t="shared" si="191"/>
        <v/>
      </c>
      <c r="CI115" s="92" t="str">
        <f t="shared" si="191"/>
        <v/>
      </c>
      <c r="CJ115" s="92" t="str">
        <f t="shared" si="191"/>
        <v/>
      </c>
      <c r="CK115" s="92" t="str">
        <f t="shared" ref="CK115:DP115" si="192">IF(BW$5=($N115-WEEKDAY($N115,2)+1),"u","")</f>
        <v/>
      </c>
      <c r="CL115" s="92" t="str">
        <f t="shared" si="192"/>
        <v/>
      </c>
      <c r="CM115" s="92" t="str">
        <f t="shared" si="192"/>
        <v/>
      </c>
      <c r="CN115" s="92" t="str">
        <f t="shared" si="192"/>
        <v/>
      </c>
      <c r="CO115" s="92" t="str">
        <f t="shared" si="192"/>
        <v/>
      </c>
      <c r="CP115" s="92" t="str">
        <f t="shared" si="192"/>
        <v/>
      </c>
      <c r="CQ115" s="92" t="str">
        <f t="shared" si="192"/>
        <v/>
      </c>
      <c r="CR115" s="92" t="str">
        <f t="shared" si="192"/>
        <v/>
      </c>
      <c r="CS115" s="92" t="str">
        <f t="shared" si="192"/>
        <v/>
      </c>
      <c r="CT115" s="92" t="str">
        <f t="shared" si="192"/>
        <v/>
      </c>
      <c r="CU115" s="92" t="str">
        <f t="shared" si="192"/>
        <v/>
      </c>
      <c r="CV115" s="92" t="str">
        <f t="shared" si="192"/>
        <v/>
      </c>
      <c r="CW115" s="92" t="str">
        <f t="shared" si="192"/>
        <v/>
      </c>
      <c r="CX115" s="92" t="str">
        <f t="shared" si="192"/>
        <v/>
      </c>
      <c r="CY115" s="92" t="str">
        <f t="shared" si="192"/>
        <v/>
      </c>
      <c r="CZ115" s="92" t="str">
        <f t="shared" si="192"/>
        <v/>
      </c>
      <c r="DA115" s="92" t="str">
        <f t="shared" si="192"/>
        <v/>
      </c>
      <c r="DB115" s="92" t="str">
        <f t="shared" si="192"/>
        <v/>
      </c>
      <c r="DC115" s="92" t="str">
        <f t="shared" si="192"/>
        <v/>
      </c>
      <c r="DD115" s="92" t="str">
        <f t="shared" si="192"/>
        <v/>
      </c>
      <c r="DE115" s="92" t="str">
        <f t="shared" si="192"/>
        <v/>
      </c>
      <c r="DF115" s="93" t="str">
        <f t="shared" si="192"/>
        <v/>
      </c>
      <c r="DG115" s="92" t="str">
        <f t="shared" si="192"/>
        <v/>
      </c>
      <c r="DH115" s="92" t="str">
        <f t="shared" si="192"/>
        <v/>
      </c>
      <c r="DI115" s="92" t="str">
        <f t="shared" si="192"/>
        <v/>
      </c>
      <c r="DJ115" s="92" t="str">
        <f t="shared" si="192"/>
        <v/>
      </c>
      <c r="DK115" s="92" t="str">
        <f t="shared" si="192"/>
        <v/>
      </c>
      <c r="DL115" s="92" t="str">
        <f t="shared" si="192"/>
        <v/>
      </c>
      <c r="DM115" s="92" t="str">
        <f t="shared" si="192"/>
        <v/>
      </c>
      <c r="DN115" s="93" t="str">
        <f t="shared" si="192"/>
        <v/>
      </c>
      <c r="DO115" s="92" t="str">
        <f t="shared" si="192"/>
        <v/>
      </c>
      <c r="DP115" s="92" t="str">
        <f t="shared" si="192"/>
        <v/>
      </c>
      <c r="DQ115" s="92" t="str">
        <f t="shared" ref="DQ115:EV115" si="193">IF(DC$5=($N115-WEEKDAY($N115,2)+1),"u","")</f>
        <v/>
      </c>
      <c r="DR115" s="92" t="str">
        <f t="shared" si="193"/>
        <v/>
      </c>
      <c r="DS115" s="92" t="str">
        <f t="shared" si="193"/>
        <v/>
      </c>
      <c r="DT115" s="92" t="str">
        <f t="shared" si="193"/>
        <v/>
      </c>
      <c r="DU115" s="92" t="str">
        <f t="shared" si="193"/>
        <v/>
      </c>
      <c r="DV115" s="93" t="str">
        <f t="shared" si="193"/>
        <v/>
      </c>
      <c r="DW115" s="92" t="str">
        <f t="shared" si="193"/>
        <v/>
      </c>
      <c r="DX115" s="92" t="str">
        <f t="shared" si="193"/>
        <v/>
      </c>
      <c r="DY115" s="92" t="str">
        <f t="shared" si="193"/>
        <v/>
      </c>
      <c r="DZ115" s="92" t="str">
        <f t="shared" si="193"/>
        <v/>
      </c>
      <c r="EA115" s="92" t="str">
        <f t="shared" si="193"/>
        <v/>
      </c>
      <c r="EB115" s="92" t="str">
        <f t="shared" si="193"/>
        <v/>
      </c>
      <c r="EC115" s="93" t="str">
        <f t="shared" si="193"/>
        <v/>
      </c>
      <c r="ED115" s="92" t="str">
        <f t="shared" si="193"/>
        <v/>
      </c>
      <c r="EE115" s="92" t="str">
        <f t="shared" si="193"/>
        <v/>
      </c>
      <c r="EF115" s="92" t="str">
        <f t="shared" si="193"/>
        <v/>
      </c>
      <c r="EG115" s="92" t="str">
        <f t="shared" si="193"/>
        <v/>
      </c>
      <c r="EH115" s="92" t="str">
        <f t="shared" si="193"/>
        <v/>
      </c>
      <c r="EI115" s="92" t="str">
        <f t="shared" si="193"/>
        <v/>
      </c>
      <c r="EJ115" s="92" t="str">
        <f t="shared" si="193"/>
        <v/>
      </c>
      <c r="EK115" s="93" t="str">
        <f t="shared" si="193"/>
        <v/>
      </c>
      <c r="EL115" s="92" t="str">
        <f t="shared" si="193"/>
        <v/>
      </c>
      <c r="EM115" s="92" t="str">
        <f t="shared" si="193"/>
        <v/>
      </c>
      <c r="EN115" s="92" t="str">
        <f t="shared" si="193"/>
        <v/>
      </c>
      <c r="EO115" s="92" t="str">
        <f t="shared" si="193"/>
        <v/>
      </c>
      <c r="EP115" s="92" t="str">
        <f t="shared" si="193"/>
        <v/>
      </c>
      <c r="EQ115" s="92" t="str">
        <f t="shared" si="193"/>
        <v/>
      </c>
      <c r="ER115" s="93" t="str">
        <f t="shared" si="193"/>
        <v/>
      </c>
      <c r="ES115" s="92" t="str">
        <f t="shared" si="193"/>
        <v/>
      </c>
      <c r="ET115" s="92" t="str">
        <f t="shared" si="193"/>
        <v/>
      </c>
      <c r="EU115" s="92" t="str">
        <f t="shared" si="193"/>
        <v/>
      </c>
      <c r="EV115" s="92" t="str">
        <f t="shared" si="193"/>
        <v/>
      </c>
      <c r="EW115" s="92" t="str">
        <f t="shared" ref="EW115:GB115" si="194">IF(EI$5=($N115-WEEKDAY($N115,2)+1),"u","")</f>
        <v/>
      </c>
      <c r="EX115" s="92" t="str">
        <f t="shared" si="194"/>
        <v/>
      </c>
      <c r="EY115" s="92" t="str">
        <f t="shared" si="194"/>
        <v/>
      </c>
      <c r="EZ115" s="92" t="str">
        <f t="shared" si="194"/>
        <v/>
      </c>
      <c r="FA115" s="92" t="str">
        <f t="shared" si="194"/>
        <v/>
      </c>
      <c r="FB115" s="92" t="str">
        <f t="shared" si="194"/>
        <v/>
      </c>
      <c r="FC115" s="92" t="str">
        <f t="shared" si="194"/>
        <v/>
      </c>
      <c r="FD115" s="92" t="str">
        <f t="shared" si="194"/>
        <v/>
      </c>
      <c r="FE115" s="92" t="str">
        <f t="shared" si="194"/>
        <v/>
      </c>
      <c r="FF115" s="92" t="str">
        <f t="shared" si="194"/>
        <v/>
      </c>
      <c r="FG115" s="93" t="str">
        <f t="shared" si="194"/>
        <v/>
      </c>
      <c r="FH115" s="92" t="str">
        <f t="shared" si="194"/>
        <v/>
      </c>
      <c r="FI115" s="92" t="str">
        <f t="shared" si="194"/>
        <v/>
      </c>
      <c r="FJ115" s="92" t="str">
        <f t="shared" si="194"/>
        <v/>
      </c>
      <c r="FK115" s="92" t="str">
        <f t="shared" si="194"/>
        <v/>
      </c>
      <c r="FL115" s="92" t="str">
        <f t="shared" si="194"/>
        <v/>
      </c>
      <c r="FM115" s="92" t="str">
        <f t="shared" si="194"/>
        <v/>
      </c>
      <c r="FN115" s="92" t="str">
        <f t="shared" si="194"/>
        <v/>
      </c>
      <c r="FO115" s="92" t="str">
        <f t="shared" si="194"/>
        <v/>
      </c>
      <c r="FP115" s="92" t="str">
        <f t="shared" si="194"/>
        <v/>
      </c>
      <c r="FQ115" s="92" t="str">
        <f t="shared" si="194"/>
        <v/>
      </c>
      <c r="FR115" s="92" t="str">
        <f t="shared" si="194"/>
        <v/>
      </c>
      <c r="FS115" s="92" t="str">
        <f t="shared" si="194"/>
        <v/>
      </c>
      <c r="FT115" s="93" t="str">
        <f t="shared" si="194"/>
        <v/>
      </c>
      <c r="FU115" s="92" t="str">
        <f t="shared" si="194"/>
        <v/>
      </c>
      <c r="FV115" s="92" t="str">
        <f t="shared" si="194"/>
        <v/>
      </c>
      <c r="FW115" s="35" t="str">
        <f t="shared" si="194"/>
        <v/>
      </c>
      <c r="FX115" s="46" t="str">
        <f t="shared" si="194"/>
        <v/>
      </c>
      <c r="FY115" s="47" t="str">
        <f t="shared" si="194"/>
        <v/>
      </c>
      <c r="FZ115" s="35" t="str">
        <f t="shared" si="194"/>
        <v/>
      </c>
      <c r="GA115" s="35" t="str">
        <f t="shared" si="194"/>
        <v/>
      </c>
      <c r="GB115" s="35" t="str">
        <f t="shared" si="194"/>
        <v/>
      </c>
      <c r="GC115" s="35" t="str">
        <f t="shared" ref="GC115:GK115" si="195">IF(FO$5=($N115-WEEKDAY($N115,2)+1),"u","")</f>
        <v/>
      </c>
      <c r="GD115" s="35" t="str">
        <f t="shared" si="195"/>
        <v/>
      </c>
      <c r="GE115" s="35" t="str">
        <f t="shared" si="195"/>
        <v/>
      </c>
      <c r="GF115" s="35" t="str">
        <f t="shared" si="195"/>
        <v/>
      </c>
      <c r="GG115" s="35" t="str">
        <f t="shared" si="195"/>
        <v/>
      </c>
      <c r="GH115" s="35" t="str">
        <f t="shared" si="195"/>
        <v/>
      </c>
      <c r="GI115" s="35" t="str">
        <f t="shared" si="195"/>
        <v/>
      </c>
      <c r="GJ115" s="35" t="str">
        <f t="shared" si="195"/>
        <v/>
      </c>
      <c r="GK115" s="35" t="str">
        <f t="shared" si="195"/>
        <v/>
      </c>
    </row>
    <row r="116" spans="1:193" s="1" customFormat="1" x14ac:dyDescent="0.35">
      <c r="B116" s="5" t="s">
        <v>8</v>
      </c>
      <c r="C116" s="5"/>
      <c r="D116" s="4" t="str">
        <f>Portfolio_Daten!E121</f>
        <v>Achtung: Zusätzliche Zeilen müssen innerhalb der bestehenden Tabelle eingefügt werden. Nur so bleiben die Formeln und Formatierungen erhalten! Zusätzliche Zeile und Formeln im Tabellenblatt "Zeitleiste" nachziehen.</v>
      </c>
      <c r="E116" s="8"/>
      <c r="F116" s="4"/>
      <c r="G116" s="4"/>
      <c r="H116" s="4"/>
      <c r="I116" s="4"/>
      <c r="J116" s="4"/>
      <c r="K116" s="4"/>
      <c r="L116" s="4"/>
      <c r="M116" s="4"/>
      <c r="N116" s="4"/>
      <c r="O116" s="4"/>
      <c r="P116" s="4"/>
      <c r="Q116" s="4"/>
      <c r="R116" s="4"/>
      <c r="S116" s="4"/>
      <c r="T116" s="4"/>
      <c r="U116" s="4"/>
      <c r="V116" s="4"/>
      <c r="W116" s="4"/>
    </row>
    <row r="117" spans="1:193" x14ac:dyDescent="0.35">
      <c r="B117" s="2"/>
      <c r="C117" s="2"/>
      <c r="D117" s="2"/>
      <c r="E117" s="7"/>
      <c r="F117" s="2"/>
      <c r="G117" s="2"/>
      <c r="H117" s="2"/>
      <c r="I117" s="2"/>
      <c r="J117" s="2"/>
      <c r="K117" s="2"/>
      <c r="L117" s="2"/>
      <c r="M117" s="2"/>
      <c r="N117" s="2"/>
      <c r="O117" s="2"/>
      <c r="P117" s="2"/>
      <c r="Q117" s="2"/>
      <c r="R117" s="2"/>
      <c r="S117" s="2"/>
      <c r="T117" s="2"/>
      <c r="U117" s="2"/>
      <c r="V117" s="2"/>
      <c r="W117" s="2"/>
    </row>
  </sheetData>
  <mergeCells count="54">
    <mergeCell ref="DS4:DW4"/>
    <mergeCell ref="B1:F1"/>
    <mergeCell ref="D115:W115"/>
    <mergeCell ref="EX4:FA4"/>
    <mergeCell ref="FB4:FF4"/>
    <mergeCell ref="BX4:CA4"/>
    <mergeCell ref="CB4:CE4"/>
    <mergeCell ref="CF4:CJ4"/>
    <mergeCell ref="CK4:CN4"/>
    <mergeCell ref="CO4:CS4"/>
    <mergeCell ref="CT4:CW4"/>
    <mergeCell ref="AX4:BA4"/>
    <mergeCell ref="BB4:BE4"/>
    <mergeCell ref="BF4:BJ4"/>
    <mergeCell ref="BK4:BN4"/>
    <mergeCell ref="BO4:BR4"/>
    <mergeCell ref="CX4:DA4"/>
    <mergeCell ref="DB4:DF4"/>
    <mergeCell ref="DG4:DJ4"/>
    <mergeCell ref="DK4:DN4"/>
    <mergeCell ref="DO4:DR4"/>
    <mergeCell ref="FP4:FS4"/>
    <mergeCell ref="FT4:FW4"/>
    <mergeCell ref="DX4:EA4"/>
    <mergeCell ref="EB4:EF4"/>
    <mergeCell ref="EG4:EJ4"/>
    <mergeCell ref="EK4:EN4"/>
    <mergeCell ref="EO4:ES4"/>
    <mergeCell ref="ET4:EW4"/>
    <mergeCell ref="FK4:FO4"/>
    <mergeCell ref="FG4:FJ4"/>
    <mergeCell ref="BS4:BW4"/>
    <mergeCell ref="FK3:FW3"/>
    <mergeCell ref="K4:N4"/>
    <mergeCell ref="O4:R4"/>
    <mergeCell ref="S4:W4"/>
    <mergeCell ref="X4:AA4"/>
    <mergeCell ref="AB4:AE4"/>
    <mergeCell ref="AF4:AJ4"/>
    <mergeCell ref="AK4:AN4"/>
    <mergeCell ref="AO4:AR4"/>
    <mergeCell ref="AS4:AW4"/>
    <mergeCell ref="CK3:CW3"/>
    <mergeCell ref="CX3:DJ3"/>
    <mergeCell ref="DK3:DW3"/>
    <mergeCell ref="DX3:EJ3"/>
    <mergeCell ref="EK3:EW3"/>
    <mergeCell ref="EX3:FJ3"/>
    <mergeCell ref="BX3:CJ3"/>
    <mergeCell ref="K3:W3"/>
    <mergeCell ref="X3:AJ3"/>
    <mergeCell ref="AK3:AW3"/>
    <mergeCell ref="AX3:BJ3"/>
    <mergeCell ref="BK3:BW3"/>
  </mergeCells>
  <conditionalFormatting sqref="H7:H114">
    <cfRule type="cellIs" dxfId="13" priority="9" operator="equal">
      <formula>"Abgeschlossen"</formula>
    </cfRule>
    <cfRule type="containsText" dxfId="12" priority="10" operator="containsText" text="Blockiert">
      <formula>NOT(ISERROR(SEARCH("Blockiert",H7)))</formula>
    </cfRule>
  </conditionalFormatting>
  <conditionalFormatting sqref="K7:FW114">
    <cfRule type="expression" dxfId="11" priority="156">
      <formula>AND($H7="Blockiert",$I7&gt;0,K$5&lt;=($E7+($F7-$E7)*$I7)-WEEKDAY(($E7+($F7-$E7)*$I7),2)+1,K$5&gt;=$E7-WEEKDAY($E7,2)+1)</formula>
    </cfRule>
    <cfRule type="expression" dxfId="10" priority="157">
      <formula>AND($H7="Abgeschlossen",K$5=$F7-WEEKDAY($F7,2)+1)</formula>
    </cfRule>
    <cfRule type="expression" dxfId="9" priority="158">
      <formula>AND($I7&gt;0,K$5&lt;=($E7+($F7-$E7)*$I7)-WEEKDAY(($E7+($F7-$E7)*$I7),2)+1,K$5&gt;=$E7-WEEKDAY($E7,2)+1)</formula>
    </cfRule>
    <cfRule type="expression" dxfId="8" priority="159">
      <formula>AND(K$5&gt;=$E7-(WEEKDAY($E7,2)+1),K$5&lt;=$F7)</formula>
    </cfRule>
    <cfRule type="expression" dxfId="7" priority="160">
      <formula>K$5=(TODAY()-WEEKDAY(TODAY(),2)+1)</formula>
    </cfRule>
  </conditionalFormatting>
  <conditionalFormatting sqref="Y115:GK115">
    <cfRule type="expression" dxfId="6" priority="151">
      <formula>AND($R115="Blockiert",$W115&gt;0,K$5&lt;=($M115+($N115-$M115)*$W115)-WEEKDAY(($M115+($N115-$M115)*$W115),2)+1,K$5&gt;=$M115-WEEKDAY($M115,2)+1)</formula>
    </cfRule>
    <cfRule type="expression" dxfId="5" priority="152">
      <formula>AND($R115="Abgeschlossen",K$5=$N115-WEEKDAY($N115,2)+1)</formula>
    </cfRule>
    <cfRule type="expression" dxfId="4" priority="153">
      <formula>AND($W115&gt;0,K$5&lt;=($M115+($N115-$M115)*$W115)-WEEKDAY(($M115+($N115-$M115)*$W115),2)+1,K$5&gt;=$M115-WEEKDAY($M115,2)+1)</formula>
    </cfRule>
    <cfRule type="expression" dxfId="3" priority="154">
      <formula>AND(K$5&gt;=$M115-(WEEKDAY($M115,2)+1),K$5&lt;=$N115)</formula>
    </cfRule>
    <cfRule type="expression" dxfId="2" priority="155">
      <formula>K$5=(TODAY()-WEEKDAY(TODAY(),2)+1)</formula>
    </cfRule>
  </conditionalFormatting>
  <pageMargins left="0.7" right="0.7" top="0.78740157499999996" bottom="0.78740157499999996" header="0.3" footer="0.3"/>
  <legacyDrawing r:id="rId1"/>
  <tableParts count="1">
    <tablePart r:id="rId2"/>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BA0F7557-44CF-42AC-B7E5-6D43BB280F91}">
          <x14:formula1>
            <xm:f>Parameter!$P$4:$P$9</xm:f>
          </x14:formula1>
          <xm:sqref>H7:H114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78929-2840-4FC0-82B9-07FF66A7592C}">
  <sheetPr>
    <tabColor rgb="FF339966"/>
    <pageSetUpPr fitToPage="1"/>
  </sheetPr>
  <dimension ref="A1:X1"/>
  <sheetViews>
    <sheetView showGridLines="0" zoomScale="70" zoomScaleNormal="70" workbookViewId="0">
      <pane ySplit="1" topLeftCell="A2" activePane="bottomLeft" state="frozen"/>
      <selection pane="bottomLeft" activeCell="X43" sqref="B1:X43"/>
    </sheetView>
  </sheetViews>
  <sheetFormatPr baseColWidth="10" defaultRowHeight="14.5" x14ac:dyDescent="0.35"/>
  <cols>
    <col min="1" max="1" width="12.26953125" customWidth="1"/>
    <col min="22" max="22" width="11.1796875" customWidth="1"/>
    <col min="23" max="23" width="4.81640625" customWidth="1"/>
    <col min="24" max="24" width="10.81640625" customWidth="1"/>
  </cols>
  <sheetData>
    <row r="1" spans="1:24" ht="34" customHeight="1" x14ac:dyDescent="0.35">
      <c r="A1" s="22"/>
      <c r="B1" s="22" t="s">
        <v>231</v>
      </c>
      <c r="C1" s="22"/>
      <c r="D1" s="22"/>
      <c r="E1" s="22"/>
      <c r="F1" s="22"/>
      <c r="G1" s="22"/>
      <c r="H1" s="22"/>
      <c r="I1" s="22"/>
      <c r="J1" s="22"/>
      <c r="K1" s="22"/>
      <c r="L1" s="22"/>
      <c r="M1" s="22"/>
      <c r="N1" s="22"/>
      <c r="O1" s="22"/>
      <c r="P1" s="22"/>
      <c r="Q1" s="22"/>
      <c r="R1" s="22"/>
      <c r="S1" s="22"/>
      <c r="T1" s="69" t="s">
        <v>110</v>
      </c>
      <c r="U1" s="136">
        <f>Arbeitsbereich!M1</f>
        <v>46099</v>
      </c>
      <c r="V1" s="136"/>
      <c r="W1" s="136"/>
      <c r="X1" s="136"/>
    </row>
  </sheetData>
  <mergeCells count="2">
    <mergeCell ref="U1:V1"/>
    <mergeCell ref="W1:X1"/>
  </mergeCells>
  <pageMargins left="0.70866141732283472" right="0.70866141732283472" top="0.78740157480314965" bottom="0.78740157480314965" header="0.31496062992125984" footer="0.31496062992125984"/>
  <pageSetup paperSize="9" scale="48" fitToHeight="0" orientation="landscape" r:id="rId1"/>
  <rowBreaks count="1" manualBreakCount="1">
    <brk id="3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70752-C180-4B01-88F1-AE56DE9B9D2D}">
  <sheetPr>
    <tabColor rgb="FF339966"/>
    <pageSetUpPr fitToPage="1"/>
  </sheetPr>
  <dimension ref="A1:X1"/>
  <sheetViews>
    <sheetView showGridLines="0" zoomScale="50" zoomScaleNormal="50" workbookViewId="0">
      <pane ySplit="1" topLeftCell="A2" activePane="bottomLeft" state="frozen"/>
      <selection pane="bottomLeft" activeCell="P48" sqref="P48"/>
    </sheetView>
  </sheetViews>
  <sheetFormatPr baseColWidth="10" defaultRowHeight="14.5" x14ac:dyDescent="0.35"/>
  <cols>
    <col min="1" max="1" width="13.54296875" customWidth="1"/>
    <col min="22" max="22" width="11.1796875" customWidth="1"/>
    <col min="23" max="23" width="4.81640625" customWidth="1"/>
    <col min="24" max="24" width="10.81640625" customWidth="1"/>
  </cols>
  <sheetData>
    <row r="1" spans="1:24" ht="34" customHeight="1" x14ac:dyDescent="0.35">
      <c r="A1" s="22"/>
      <c r="B1" s="22" t="s">
        <v>233</v>
      </c>
      <c r="C1" s="22"/>
      <c r="D1" s="22"/>
      <c r="E1" s="22"/>
      <c r="F1" s="22"/>
      <c r="G1" s="22"/>
      <c r="H1" s="22"/>
      <c r="I1" s="22"/>
      <c r="J1" s="22"/>
      <c r="K1" s="22"/>
      <c r="L1" s="22"/>
      <c r="M1" s="22"/>
      <c r="N1" s="22"/>
      <c r="O1" s="22"/>
      <c r="P1" s="22"/>
      <c r="Q1" s="22"/>
      <c r="R1" s="22"/>
      <c r="S1" s="22"/>
      <c r="T1" s="69" t="s">
        <v>110</v>
      </c>
      <c r="U1" s="136">
        <f>Arbeitsbereich!M1</f>
        <v>46099</v>
      </c>
      <c r="V1" s="136"/>
      <c r="W1" s="136"/>
      <c r="X1" s="136"/>
    </row>
  </sheetData>
  <mergeCells count="2">
    <mergeCell ref="U1:V1"/>
    <mergeCell ref="W1:X1"/>
  </mergeCells>
  <pageMargins left="0.70866141732283472" right="0.70866141732283472" top="0.78740157480314965" bottom="0.78740157480314965" header="0.31496062992125984" footer="0.31496062992125984"/>
  <pageSetup paperSize="9" scale="48" fitToHeight="0" orientation="landscape" r:id="rId1"/>
  <rowBreaks count="1" manualBreakCount="1">
    <brk id="3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374BF-7FED-42D0-89A8-24A71C0E37BC}">
  <sheetPr>
    <tabColor rgb="FF339966"/>
    <pageSetUpPr fitToPage="1"/>
  </sheetPr>
  <dimension ref="A1:V1"/>
  <sheetViews>
    <sheetView showGridLines="0" zoomScale="55" zoomScaleNormal="55" workbookViewId="0">
      <selection activeCell="L34" sqref="L34"/>
    </sheetView>
  </sheetViews>
  <sheetFormatPr baseColWidth="10" defaultRowHeight="14.5" x14ac:dyDescent="0.35"/>
  <cols>
    <col min="1" max="1" width="1.54296875" customWidth="1"/>
    <col min="22" max="22" width="16.81640625" bestFit="1" customWidth="1"/>
  </cols>
  <sheetData>
    <row r="1" spans="1:22" ht="34" customHeight="1" x14ac:dyDescent="0.35">
      <c r="A1" s="22"/>
      <c r="B1" s="22" t="s">
        <v>234</v>
      </c>
      <c r="C1" s="22"/>
      <c r="D1" s="22"/>
      <c r="E1" s="22"/>
      <c r="F1" s="22"/>
      <c r="G1" s="22"/>
      <c r="H1" s="22"/>
      <c r="I1" s="22"/>
      <c r="J1" s="22"/>
      <c r="K1" s="22"/>
      <c r="L1" s="22"/>
      <c r="M1" s="22"/>
      <c r="N1" s="22"/>
      <c r="O1" s="22"/>
      <c r="P1" s="22"/>
      <c r="Q1" s="22"/>
      <c r="R1" s="22"/>
      <c r="S1" s="66"/>
      <c r="T1" s="66"/>
      <c r="U1" s="69" t="s">
        <v>110</v>
      </c>
      <c r="V1" s="67">
        <f>Arbeitsbereich!M1</f>
        <v>46099</v>
      </c>
    </row>
  </sheetData>
  <pageMargins left="0.7" right="0.7" top="0.78740157499999996" bottom="0.78740157499999996" header="0.3" footer="0.3"/>
  <pageSetup paperSize="9" scale="5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86AE9-80CE-4315-A4EE-D9DC3E2158D7}">
  <sheetPr>
    <tabColor rgb="FF339966"/>
    <pageSetUpPr fitToPage="1"/>
  </sheetPr>
  <dimension ref="B1:AB1"/>
  <sheetViews>
    <sheetView showGridLines="0" zoomScale="40" zoomScaleNormal="40" workbookViewId="0">
      <selection activeCell="S46" sqref="S46"/>
    </sheetView>
  </sheetViews>
  <sheetFormatPr baseColWidth="10" defaultColWidth="10.81640625" defaultRowHeight="14" x14ac:dyDescent="0.3"/>
  <cols>
    <col min="1" max="1" width="37" style="2" customWidth="1"/>
    <col min="2" max="2" width="4.1796875" style="2" customWidth="1"/>
    <col min="3" max="27" width="10.81640625" style="2"/>
    <col min="28" max="28" width="17.1796875" style="2" bestFit="1" customWidth="1"/>
    <col min="29" max="16384" width="10.81640625" style="2"/>
  </cols>
  <sheetData>
    <row r="1" spans="2:28" ht="34" customHeight="1" x14ac:dyDescent="0.3">
      <c r="B1" s="22"/>
      <c r="C1" s="22" t="s">
        <v>232</v>
      </c>
      <c r="D1" s="22"/>
      <c r="E1" s="22"/>
      <c r="F1" s="22"/>
      <c r="G1" s="22"/>
      <c r="H1" s="22"/>
      <c r="I1" s="22"/>
      <c r="J1" s="22"/>
      <c r="K1" s="22"/>
      <c r="L1" s="22"/>
      <c r="M1" s="22"/>
      <c r="N1" s="22"/>
      <c r="O1" s="22"/>
      <c r="P1" s="22"/>
      <c r="Q1" s="22"/>
      <c r="R1" s="22"/>
      <c r="S1" s="22"/>
      <c r="T1" s="22"/>
      <c r="U1" s="22"/>
      <c r="V1" s="22"/>
      <c r="W1" s="22"/>
      <c r="X1" s="22"/>
      <c r="Y1" s="66"/>
      <c r="Z1" s="66"/>
      <c r="AA1" s="69" t="s">
        <v>110</v>
      </c>
      <c r="AB1" s="67">
        <f>Arbeitsbereich!M1</f>
        <v>46099</v>
      </c>
    </row>
  </sheetData>
  <pageMargins left="0.7" right="0.7" top="0.78740157499999996" bottom="0.78740157499999996" header="0.3" footer="0.3"/>
  <pageSetup paperSize="9" scale="55" orientation="landscape"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42965-B022-478B-A664-51BD2E31EA84}">
  <sheetPr>
    <tabColor theme="3" tint="0.249977111117893"/>
  </sheetPr>
  <dimension ref="A1:AA118"/>
  <sheetViews>
    <sheetView showGridLines="0" zoomScale="70" zoomScaleNormal="70" workbookViewId="0">
      <pane xSplit="2" ySplit="4" topLeftCell="C5" activePane="bottomRight" state="frozen"/>
      <selection pane="topRight" activeCell="C1" sqref="C1"/>
      <selection pane="bottomLeft" activeCell="A6" sqref="A6"/>
      <selection pane="bottomRight" activeCell="F28" sqref="F28"/>
    </sheetView>
  </sheetViews>
  <sheetFormatPr baseColWidth="10" defaultRowHeight="14.5" x14ac:dyDescent="0.35"/>
  <cols>
    <col min="1" max="1" width="1.7265625" customWidth="1"/>
    <col min="2" max="2" width="13.54296875" customWidth="1"/>
    <col min="3" max="3" width="39.26953125" customWidth="1"/>
    <col min="4" max="4" width="28.81640625" style="6" customWidth="1"/>
    <col min="5" max="6" width="15.453125" customWidth="1"/>
    <col min="7" max="7" width="16.7265625" bestFit="1" customWidth="1"/>
    <col min="8" max="9" width="30.26953125" customWidth="1"/>
    <col min="10" max="10" width="12.54296875" style="58" customWidth="1"/>
    <col min="11" max="13" width="14.54296875" customWidth="1"/>
    <col min="14" max="197" width="3.54296875" customWidth="1"/>
  </cols>
  <sheetData>
    <row r="1" spans="1:14" ht="41.15" customHeight="1" x14ac:dyDescent="0.35">
      <c r="A1" s="53"/>
      <c r="B1" s="20" t="s">
        <v>77</v>
      </c>
      <c r="C1" s="22"/>
      <c r="D1" s="49"/>
      <c r="E1" s="49"/>
      <c r="F1" s="49"/>
      <c r="G1" s="53"/>
      <c r="H1" s="68" t="s">
        <v>111</v>
      </c>
      <c r="I1" s="71">
        <f>Arbeitsbereich!M1</f>
        <v>46099</v>
      </c>
      <c r="J1" s="70"/>
      <c r="K1" s="70"/>
      <c r="L1" s="53"/>
      <c r="M1" s="53"/>
      <c r="N1" s="53"/>
    </row>
    <row r="2" spans="1:14" ht="8.15" customHeight="1" x14ac:dyDescent="0.35"/>
    <row r="3" spans="1:14" ht="18" x14ac:dyDescent="0.35">
      <c r="B3" s="2"/>
      <c r="C3" s="48" t="s">
        <v>56</v>
      </c>
      <c r="D3" s="52">
        <f ca="1">TODAY()</f>
        <v>46091</v>
      </c>
      <c r="E3" s="2"/>
      <c r="F3" s="2"/>
      <c r="G3" s="48" t="s">
        <v>12</v>
      </c>
      <c r="H3" s="37">
        <f>Portfolio_Daten!L3</f>
        <v>0</v>
      </c>
      <c r="I3" s="37"/>
      <c r="J3" s="51"/>
      <c r="K3" s="37"/>
      <c r="L3" s="37"/>
      <c r="M3" s="37"/>
      <c r="N3" s="3"/>
    </row>
    <row r="4" spans="1:14" ht="36.65" customHeight="1" x14ac:dyDescent="0.35">
      <c r="B4" s="24" t="s">
        <v>44</v>
      </c>
      <c r="C4" s="25" t="s">
        <v>9</v>
      </c>
      <c r="D4" s="25" t="s">
        <v>38</v>
      </c>
      <c r="E4" s="25" t="s">
        <v>78</v>
      </c>
      <c r="F4" s="25" t="s">
        <v>79</v>
      </c>
      <c r="G4" s="25" t="s">
        <v>63</v>
      </c>
      <c r="H4" s="26" t="s">
        <v>114</v>
      </c>
      <c r="I4" s="26" t="s">
        <v>80</v>
      </c>
      <c r="J4" s="26" t="s">
        <v>49</v>
      </c>
    </row>
    <row r="5" spans="1:14" ht="21" customHeight="1" x14ac:dyDescent="0.35">
      <c r="B5" s="27" t="e">
        <f>Portfolio_Daten!#REF!</f>
        <v>#REF!</v>
      </c>
      <c r="C5" s="28" t="str">
        <f>Portfolio_Daten!E5</f>
        <v>Zentrale Beschaffung Labormaterialien</v>
      </c>
      <c r="D5" s="28" t="e">
        <f>#REF!</f>
        <v>#REF!</v>
      </c>
      <c r="E5" s="32" t="e">
        <f>VLOOKUP(D5,Parameter!#REF!,2,FALSE)</f>
        <v>#REF!</v>
      </c>
      <c r="F5" s="32" t="e">
        <f ca="1">Tabelle145[[#This Row],[Projektart für Pipeline]]+RAND()*0.9-0.1</f>
        <v>#REF!</v>
      </c>
      <c r="G5" s="29" t="str">
        <f>Portfolio_Daten!AG5</f>
        <v>In Arbeit</v>
      </c>
      <c r="H5" s="32">
        <f>VLOOKUP(G5,Parameter!$P$4:$Q$9,2,FALSE)</f>
        <v>3</v>
      </c>
      <c r="I5" s="60">
        <f ca="1">Tabelle145[[#This Row],[Projektphase für Pipeline]]+RAND()*0.9-0.1</f>
        <v>3.6985501844591249</v>
      </c>
      <c r="J5" s="33">
        <f>Portfolio_Daten!AI5</f>
        <v>0.33</v>
      </c>
    </row>
    <row r="6" spans="1:14" ht="21" customHeight="1" x14ac:dyDescent="0.35">
      <c r="B6" s="27" t="e">
        <f>Portfolio_Daten!#REF!</f>
        <v>#REF!</v>
      </c>
      <c r="C6" s="28" t="str">
        <f>Portfolio_Daten!E6</f>
        <v>Digitale Lehr- und Prüfungsorganisation</v>
      </c>
      <c r="D6" s="28" t="e">
        <f>#REF!</f>
        <v>#REF!</v>
      </c>
      <c r="E6" s="32" t="e">
        <f>VLOOKUP(D6,Parameter!#REF!,2,FALSE)</f>
        <v>#REF!</v>
      </c>
      <c r="F6" s="32" t="e">
        <f ca="1">Tabelle145[[#This Row],[Projektart für Pipeline]]+RAND()*0.9-0.1</f>
        <v>#REF!</v>
      </c>
      <c r="G6" s="29" t="str">
        <f>Portfolio_Daten!AG6</f>
        <v>Planung</v>
      </c>
      <c r="H6" s="32">
        <f>VLOOKUP(G6,Parameter!$P$4:$Q$9,2,FALSE)</f>
        <v>2</v>
      </c>
      <c r="I6" s="60">
        <f ca="1">Tabelle145[[#This Row],[Projektphase für Pipeline]]+RAND()*0.9-0.1</f>
        <v>2.0121114771849715</v>
      </c>
      <c r="J6" s="33">
        <f>Portfolio_Daten!AI6</f>
        <v>0</v>
      </c>
    </row>
    <row r="7" spans="1:14" ht="21" customHeight="1" x14ac:dyDescent="0.35">
      <c r="B7" s="27" t="e">
        <f>Portfolio_Daten!#REF!</f>
        <v>#REF!</v>
      </c>
      <c r="C7" s="28" t="str">
        <f>Portfolio_Daten!E7</f>
        <v>Einführung Erweiterungsstudium Meereskrabben</v>
      </c>
      <c r="D7" s="28" t="e">
        <f>#REF!</f>
        <v>#REF!</v>
      </c>
      <c r="E7" s="32" t="e">
        <f>VLOOKUP(D7,Parameter!#REF!,2,FALSE)</f>
        <v>#REF!</v>
      </c>
      <c r="F7" s="32" t="e">
        <f ca="1">Tabelle145[[#This Row],[Projektart für Pipeline]]+RAND()*0.9-0.1</f>
        <v>#REF!</v>
      </c>
      <c r="G7" s="29" t="str">
        <f>Portfolio_Daten!AG7</f>
        <v>Idee erfasst/noch nicht gestartet</v>
      </c>
      <c r="H7" s="32">
        <f>VLOOKUP(G7,Parameter!$P$4:$Q$9,2,FALSE)</f>
        <v>1</v>
      </c>
      <c r="I7" s="60">
        <f ca="1">Tabelle145[[#This Row],[Projektphase für Pipeline]]+RAND()*0.9-0.1</f>
        <v>1.7450981070091813</v>
      </c>
      <c r="J7" s="33">
        <f>Portfolio_Daten!AI7</f>
        <v>0</v>
      </c>
    </row>
    <row r="8" spans="1:14" ht="21" customHeight="1" x14ac:dyDescent="0.35">
      <c r="B8" s="27" t="e">
        <f>Portfolio_Daten!#REF!</f>
        <v>#REF!</v>
      </c>
      <c r="C8" s="28" t="str">
        <f>Portfolio_Daten!E8</f>
        <v>Neubau „Elefantenhaus“ – Trainings- und Untersuchungszentrum für Großsäuger</v>
      </c>
      <c r="D8" s="28" t="e">
        <f>#REF!</f>
        <v>#REF!</v>
      </c>
      <c r="E8" s="32" t="e">
        <f>VLOOKUP(D8,Parameter!#REF!,2,FALSE)</f>
        <v>#REF!</v>
      </c>
      <c r="F8" s="32" t="e">
        <f ca="1">Tabelle145[[#This Row],[Projektart für Pipeline]]+RAND()*0.9-0.1</f>
        <v>#REF!</v>
      </c>
      <c r="G8" s="29" t="str">
        <f>Portfolio_Daten!AG8</f>
        <v>Planung</v>
      </c>
      <c r="H8" s="32">
        <f>VLOOKUP(G8,Parameter!$P$4:$Q$9,2,FALSE)</f>
        <v>2</v>
      </c>
      <c r="I8" s="60">
        <f ca="1">Tabelle145[[#This Row],[Projektphase für Pipeline]]+RAND()*0.9-0.1</f>
        <v>2.3328893897893961</v>
      </c>
      <c r="J8" s="33">
        <f>Portfolio_Daten!AI8</f>
        <v>0.1</v>
      </c>
    </row>
    <row r="9" spans="1:14" ht="21" customHeight="1" x14ac:dyDescent="0.35">
      <c r="B9" s="27" t="e">
        <f>Portfolio_Daten!#REF!</f>
        <v>#REF!</v>
      </c>
      <c r="C9" s="28">
        <f>Portfolio_Daten!E9</f>
        <v>0</v>
      </c>
      <c r="D9" s="28" t="e">
        <f>#REF!</f>
        <v>#REF!</v>
      </c>
      <c r="E9" s="32" t="e">
        <f>VLOOKUP(D9,Parameter!#REF!,2,FALSE)</f>
        <v>#REF!</v>
      </c>
      <c r="F9" s="32" t="e">
        <f ca="1">Tabelle145[[#This Row],[Projektart für Pipeline]]+RAND()*0.9-0.1</f>
        <v>#REF!</v>
      </c>
      <c r="G9" s="29">
        <f>Portfolio_Daten!AG9</f>
        <v>0</v>
      </c>
      <c r="H9" s="32" t="e">
        <f>VLOOKUP(G9,Parameter!$P$4:$Q$9,2,FALSE)</f>
        <v>#N/A</v>
      </c>
      <c r="I9" s="60" t="e">
        <f ca="1">Tabelle145[[#This Row],[Projektphase für Pipeline]]+RAND()*0.9-0.1</f>
        <v>#N/A</v>
      </c>
      <c r="J9" s="33">
        <f>Portfolio_Daten!AI9</f>
        <v>0</v>
      </c>
    </row>
    <row r="10" spans="1:14" ht="21" customHeight="1" x14ac:dyDescent="0.35">
      <c r="B10" s="27" t="e">
        <f>Portfolio_Daten!#REF!</f>
        <v>#REF!</v>
      </c>
      <c r="C10" s="28">
        <f>Portfolio_Daten!E10</f>
        <v>0</v>
      </c>
      <c r="D10" s="28" t="e">
        <f>#REF!</f>
        <v>#REF!</v>
      </c>
      <c r="E10" s="32" t="e">
        <f>VLOOKUP(D10,Parameter!#REF!,2,FALSE)</f>
        <v>#REF!</v>
      </c>
      <c r="F10" s="32" t="e">
        <f ca="1">Tabelle145[[#This Row],[Projektart für Pipeline]]+RAND()*0.9-0.1</f>
        <v>#REF!</v>
      </c>
      <c r="G10" s="29">
        <f>Portfolio_Daten!AG10</f>
        <v>0</v>
      </c>
      <c r="H10" s="32" t="e">
        <f>VLOOKUP(G10,Parameter!$P$4:$Q$9,2,FALSE)</f>
        <v>#N/A</v>
      </c>
      <c r="I10" s="60" t="e">
        <f ca="1">Tabelle145[[#This Row],[Projektphase für Pipeline]]+RAND()*0.9-0.1</f>
        <v>#N/A</v>
      </c>
      <c r="J10" s="33">
        <f>Portfolio_Daten!AI10</f>
        <v>0</v>
      </c>
    </row>
    <row r="11" spans="1:14" ht="21" customHeight="1" x14ac:dyDescent="0.35">
      <c r="B11" s="27" t="e">
        <f>Portfolio_Daten!#REF!</f>
        <v>#REF!</v>
      </c>
      <c r="C11" s="28">
        <f>Portfolio_Daten!E11</f>
        <v>0</v>
      </c>
      <c r="D11" s="28" t="e">
        <f>#REF!</f>
        <v>#REF!</v>
      </c>
      <c r="E11" s="32" t="e">
        <f>VLOOKUP(D11,Parameter!#REF!,2,FALSE)</f>
        <v>#REF!</v>
      </c>
      <c r="F11" s="32" t="e">
        <f ca="1">Tabelle145[[#This Row],[Projektart für Pipeline]]+RAND()*0.9-0.1</f>
        <v>#REF!</v>
      </c>
      <c r="G11" s="29">
        <f>Portfolio_Daten!AG11</f>
        <v>0</v>
      </c>
      <c r="H11" s="32" t="e">
        <f>VLOOKUP(G11,Parameter!$P$4:$Q$9,2,FALSE)</f>
        <v>#N/A</v>
      </c>
      <c r="I11" s="60" t="e">
        <f ca="1">Tabelle145[[#This Row],[Projektphase für Pipeline]]+RAND()*0.9-0.1</f>
        <v>#N/A</v>
      </c>
      <c r="J11" s="33">
        <f>Portfolio_Daten!AI11</f>
        <v>0</v>
      </c>
    </row>
    <row r="12" spans="1:14" ht="21" customHeight="1" x14ac:dyDescent="0.35">
      <c r="B12" s="27" t="e">
        <f>Portfolio_Daten!#REF!</f>
        <v>#REF!</v>
      </c>
      <c r="C12" s="28">
        <f>Portfolio_Daten!E12</f>
        <v>0</v>
      </c>
      <c r="D12" s="28" t="e">
        <f>#REF!</f>
        <v>#REF!</v>
      </c>
      <c r="E12" s="32" t="e">
        <f>VLOOKUP(D12,Parameter!#REF!,2,FALSE)</f>
        <v>#REF!</v>
      </c>
      <c r="F12" s="32" t="e">
        <f ca="1">Tabelle145[[#This Row],[Projektart für Pipeline]]+RAND()*0.9-0.1</f>
        <v>#REF!</v>
      </c>
      <c r="G12" s="29">
        <f>Portfolio_Daten!AG12</f>
        <v>0</v>
      </c>
      <c r="H12" s="32" t="e">
        <f>VLOOKUP(G12,Parameter!$P$4:$Q$9,2,FALSE)</f>
        <v>#N/A</v>
      </c>
      <c r="I12" s="60" t="e">
        <f ca="1">Tabelle145[[#This Row],[Projektphase für Pipeline]]+RAND()*0.9-0.1</f>
        <v>#N/A</v>
      </c>
      <c r="J12" s="33">
        <f>Portfolio_Daten!AI12</f>
        <v>0</v>
      </c>
    </row>
    <row r="13" spans="1:14" ht="21" customHeight="1" x14ac:dyDescent="0.35">
      <c r="B13" s="27" t="e">
        <f>Portfolio_Daten!#REF!</f>
        <v>#REF!</v>
      </c>
      <c r="C13" s="28">
        <f>Portfolio_Daten!E13</f>
        <v>0</v>
      </c>
      <c r="D13" s="28" t="e">
        <f>#REF!</f>
        <v>#REF!</v>
      </c>
      <c r="E13" s="32" t="e">
        <f>VLOOKUP(D13,Parameter!#REF!,2,FALSE)</f>
        <v>#REF!</v>
      </c>
      <c r="F13" s="32" t="e">
        <f ca="1">Tabelle145[[#This Row],[Projektart für Pipeline]]+RAND()*0.9-0.1</f>
        <v>#REF!</v>
      </c>
      <c r="G13" s="29">
        <f>Portfolio_Daten!AG13</f>
        <v>0</v>
      </c>
      <c r="H13" s="32" t="e">
        <f>VLOOKUP(G13,Parameter!$P$4:$Q$9,2,FALSE)</f>
        <v>#N/A</v>
      </c>
      <c r="I13" s="60" t="e">
        <f ca="1">Tabelle145[[#This Row],[Projektphase für Pipeline]]+RAND()*0.9-0.1</f>
        <v>#N/A</v>
      </c>
      <c r="J13" s="33">
        <f>Portfolio_Daten!AI13</f>
        <v>0</v>
      </c>
    </row>
    <row r="14" spans="1:14" ht="21" customHeight="1" x14ac:dyDescent="0.35">
      <c r="B14" s="27" t="e">
        <f>Portfolio_Daten!#REF!</f>
        <v>#REF!</v>
      </c>
      <c r="C14" s="28">
        <f>Portfolio_Daten!E14</f>
        <v>0</v>
      </c>
      <c r="D14" s="28" t="e">
        <f>#REF!</f>
        <v>#REF!</v>
      </c>
      <c r="E14" s="32" t="e">
        <f>VLOOKUP(D14,Parameter!#REF!,2,FALSE)</f>
        <v>#REF!</v>
      </c>
      <c r="F14" s="32" t="e">
        <f ca="1">Tabelle145[[#This Row],[Projektart für Pipeline]]+RAND()*0.9-0.1</f>
        <v>#REF!</v>
      </c>
      <c r="G14" s="29">
        <f>Portfolio_Daten!AG14</f>
        <v>0</v>
      </c>
      <c r="H14" s="32" t="e">
        <f>VLOOKUP(G14,Parameter!$P$4:$Q$9,2,FALSE)</f>
        <v>#N/A</v>
      </c>
      <c r="I14" s="60" t="e">
        <f ca="1">Tabelle145[[#This Row],[Projektphase für Pipeline]]+RAND()*0.9-0.1</f>
        <v>#N/A</v>
      </c>
      <c r="J14" s="33">
        <f>Portfolio_Daten!AI14</f>
        <v>0</v>
      </c>
    </row>
    <row r="15" spans="1:14" ht="21" customHeight="1" x14ac:dyDescent="0.35">
      <c r="B15" s="27" t="e">
        <f>Portfolio_Daten!#REF!</f>
        <v>#REF!</v>
      </c>
      <c r="C15" s="28">
        <f>Portfolio_Daten!E15</f>
        <v>0</v>
      </c>
      <c r="D15" s="28" t="e">
        <f>#REF!</f>
        <v>#REF!</v>
      </c>
      <c r="E15" s="32" t="e">
        <f>VLOOKUP(D15,Parameter!#REF!,2,FALSE)</f>
        <v>#REF!</v>
      </c>
      <c r="F15" s="32" t="e">
        <f ca="1">Tabelle145[[#This Row],[Projektart für Pipeline]]+RAND()*0.9-0.1</f>
        <v>#REF!</v>
      </c>
      <c r="G15" s="29">
        <f>Portfolio_Daten!AG15</f>
        <v>0</v>
      </c>
      <c r="H15" s="32" t="e">
        <f>VLOOKUP(G15,Parameter!$P$4:$Q$9,2,FALSE)</f>
        <v>#N/A</v>
      </c>
      <c r="I15" s="60" t="e">
        <f ca="1">Tabelle145[[#This Row],[Projektphase für Pipeline]]+RAND()*0.9-0.1</f>
        <v>#N/A</v>
      </c>
      <c r="J15" s="33">
        <f>Portfolio_Daten!AI15</f>
        <v>0</v>
      </c>
    </row>
    <row r="16" spans="1:14" ht="21" customHeight="1" x14ac:dyDescent="0.35">
      <c r="B16" s="27" t="e">
        <f>Portfolio_Daten!#REF!</f>
        <v>#REF!</v>
      </c>
      <c r="C16" s="28">
        <f>Portfolio_Daten!E16</f>
        <v>0</v>
      </c>
      <c r="D16" s="28" t="e">
        <f>#REF!</f>
        <v>#REF!</v>
      </c>
      <c r="E16" s="32" t="e">
        <f>VLOOKUP(D16,Parameter!#REF!,2,FALSE)</f>
        <v>#REF!</v>
      </c>
      <c r="F16" s="32" t="e">
        <f ca="1">Tabelle145[[#This Row],[Projektart für Pipeline]]+RAND()*0.9-0.1</f>
        <v>#REF!</v>
      </c>
      <c r="G16" s="29">
        <f>Portfolio_Daten!AG16</f>
        <v>0</v>
      </c>
      <c r="H16" s="32" t="e">
        <f>VLOOKUP(G16,Parameter!$P$4:$Q$9,2,FALSE)</f>
        <v>#N/A</v>
      </c>
      <c r="I16" s="60" t="e">
        <f ca="1">Tabelle145[[#This Row],[Projektphase für Pipeline]]+RAND()*0.9-0.1</f>
        <v>#N/A</v>
      </c>
      <c r="J16" s="33">
        <f>Portfolio_Daten!AI16</f>
        <v>0</v>
      </c>
    </row>
    <row r="17" spans="2:10" ht="21" customHeight="1" x14ac:dyDescent="0.35">
      <c r="B17" s="27" t="e">
        <f>Portfolio_Daten!#REF!</f>
        <v>#REF!</v>
      </c>
      <c r="C17" s="28">
        <f>Portfolio_Daten!E17</f>
        <v>0</v>
      </c>
      <c r="D17" s="28" t="e">
        <f>#REF!</f>
        <v>#REF!</v>
      </c>
      <c r="E17" s="32" t="e">
        <f>VLOOKUP(D17,Parameter!#REF!,2,FALSE)</f>
        <v>#REF!</v>
      </c>
      <c r="F17" s="32" t="e">
        <f ca="1">Tabelle145[[#This Row],[Projektart für Pipeline]]+RAND()*0.9-0.1</f>
        <v>#REF!</v>
      </c>
      <c r="G17" s="29">
        <f>Portfolio_Daten!AG17</f>
        <v>0</v>
      </c>
      <c r="H17" s="32" t="e">
        <f>VLOOKUP(G17,Parameter!$P$4:$Q$9,2,FALSE)</f>
        <v>#N/A</v>
      </c>
      <c r="I17" s="60" t="e">
        <f ca="1">Tabelle145[[#This Row],[Projektphase für Pipeline]]+RAND()*0.9-0.1</f>
        <v>#N/A</v>
      </c>
      <c r="J17" s="33">
        <f>Portfolio_Daten!AI17</f>
        <v>0</v>
      </c>
    </row>
    <row r="18" spans="2:10" ht="21" customHeight="1" x14ac:dyDescent="0.35">
      <c r="B18" s="27" t="e">
        <f>Portfolio_Daten!#REF!</f>
        <v>#REF!</v>
      </c>
      <c r="C18" s="28">
        <f>Portfolio_Daten!E19</f>
        <v>0</v>
      </c>
      <c r="D18" s="28" t="e">
        <f>#REF!</f>
        <v>#REF!</v>
      </c>
      <c r="E18" s="32" t="e">
        <f>VLOOKUP(D18,Parameter!#REF!,2,FALSE)</f>
        <v>#REF!</v>
      </c>
      <c r="F18" s="32" t="e">
        <f ca="1">Tabelle145[[#This Row],[Projektart für Pipeline]]+RAND()*0.9-0.1</f>
        <v>#REF!</v>
      </c>
      <c r="G18" s="29">
        <f>Portfolio_Daten!AG19</f>
        <v>0</v>
      </c>
      <c r="H18" s="32" t="e">
        <f>VLOOKUP(G18,Parameter!$P$4:$Q$9,2,FALSE)</f>
        <v>#N/A</v>
      </c>
      <c r="I18" s="60" t="e">
        <f ca="1">Tabelle145[[#This Row],[Projektphase für Pipeline]]+RAND()*0.9-0.1</f>
        <v>#N/A</v>
      </c>
      <c r="J18" s="33">
        <f>Portfolio_Daten!AI19</f>
        <v>0</v>
      </c>
    </row>
    <row r="19" spans="2:10" ht="21" customHeight="1" x14ac:dyDescent="0.35">
      <c r="B19" s="27" t="e">
        <f>Portfolio_Daten!#REF!</f>
        <v>#REF!</v>
      </c>
      <c r="C19" s="28">
        <f>Portfolio_Daten!E20</f>
        <v>0</v>
      </c>
      <c r="D19" s="28" t="e">
        <f>#REF!</f>
        <v>#REF!</v>
      </c>
      <c r="E19" s="32" t="e">
        <f>VLOOKUP(D19,Parameter!#REF!,2,FALSE)</f>
        <v>#REF!</v>
      </c>
      <c r="F19" s="32" t="e">
        <f ca="1">Tabelle145[[#This Row],[Projektart für Pipeline]]+RAND()*0.9-0.1</f>
        <v>#REF!</v>
      </c>
      <c r="G19" s="29">
        <f>Portfolio_Daten!AG20</f>
        <v>0</v>
      </c>
      <c r="H19" s="32" t="e">
        <f>VLOOKUP(G19,Parameter!$P$4:$Q$9,2,FALSE)</f>
        <v>#N/A</v>
      </c>
      <c r="I19" s="60" t="e">
        <f ca="1">Tabelle145[[#This Row],[Projektphase für Pipeline]]+RAND()*0.9-0.1</f>
        <v>#N/A</v>
      </c>
      <c r="J19" s="33">
        <f>Portfolio_Daten!AI20</f>
        <v>0</v>
      </c>
    </row>
    <row r="20" spans="2:10" ht="21" customHeight="1" x14ac:dyDescent="0.35">
      <c r="B20" s="27" t="e">
        <f>Portfolio_Daten!#REF!</f>
        <v>#REF!</v>
      </c>
      <c r="C20" s="28">
        <f>Portfolio_Daten!E21</f>
        <v>0</v>
      </c>
      <c r="D20" s="28" t="e">
        <f>#REF!</f>
        <v>#REF!</v>
      </c>
      <c r="E20" s="32" t="e">
        <f>VLOOKUP(D20,Parameter!#REF!,2,FALSE)</f>
        <v>#REF!</v>
      </c>
      <c r="F20" s="32" t="e">
        <f ca="1">Tabelle145[[#This Row],[Projektart für Pipeline]]+RAND()*0.9-0.1</f>
        <v>#REF!</v>
      </c>
      <c r="G20" s="29">
        <f>Portfolio_Daten!AG21</f>
        <v>0</v>
      </c>
      <c r="H20" s="32" t="e">
        <f>VLOOKUP(G20,Parameter!$P$4:$Q$9,2,FALSE)</f>
        <v>#N/A</v>
      </c>
      <c r="I20" s="60" t="e">
        <f ca="1">Tabelle145[[#This Row],[Projektphase für Pipeline]]+RAND()*0.9-0.1</f>
        <v>#N/A</v>
      </c>
      <c r="J20" s="33">
        <f>Portfolio_Daten!AI21</f>
        <v>0</v>
      </c>
    </row>
    <row r="21" spans="2:10" ht="21" customHeight="1" x14ac:dyDescent="0.35">
      <c r="B21" s="27" t="e">
        <f>Portfolio_Daten!#REF!</f>
        <v>#REF!</v>
      </c>
      <c r="C21" s="28">
        <f>Portfolio_Daten!E22</f>
        <v>0</v>
      </c>
      <c r="D21" s="28" t="e">
        <f>#REF!</f>
        <v>#REF!</v>
      </c>
      <c r="E21" s="32" t="e">
        <f>VLOOKUP(D21,Parameter!#REF!,2,FALSE)</f>
        <v>#REF!</v>
      </c>
      <c r="F21" s="32" t="e">
        <f ca="1">Tabelle145[[#This Row],[Projektart für Pipeline]]+RAND()*0.9-0.1</f>
        <v>#REF!</v>
      </c>
      <c r="G21" s="29">
        <f>Portfolio_Daten!AG22</f>
        <v>0</v>
      </c>
      <c r="H21" s="32" t="e">
        <f>VLOOKUP(G21,Parameter!$P$4:$Q$9,2,FALSE)</f>
        <v>#N/A</v>
      </c>
      <c r="I21" s="60" t="e">
        <f ca="1">Tabelle145[[#This Row],[Projektphase für Pipeline]]+RAND()*0.9-0.1</f>
        <v>#N/A</v>
      </c>
      <c r="J21" s="33">
        <f>Portfolio_Daten!AI22</f>
        <v>0</v>
      </c>
    </row>
    <row r="22" spans="2:10" ht="21" customHeight="1" x14ac:dyDescent="0.35">
      <c r="B22" s="27" t="e">
        <f>Portfolio_Daten!#REF!</f>
        <v>#REF!</v>
      </c>
      <c r="C22" s="28">
        <f>Portfolio_Daten!E23</f>
        <v>0</v>
      </c>
      <c r="D22" s="28" t="e">
        <f>#REF!</f>
        <v>#REF!</v>
      </c>
      <c r="E22" s="32" t="e">
        <f>VLOOKUP(D22,Parameter!#REF!,2,FALSE)</f>
        <v>#REF!</v>
      </c>
      <c r="F22" s="32" t="e">
        <f ca="1">Tabelle145[[#This Row],[Projektart für Pipeline]]+RAND()*0.9-0.1</f>
        <v>#REF!</v>
      </c>
      <c r="G22" s="29">
        <f>Portfolio_Daten!AG23</f>
        <v>0</v>
      </c>
      <c r="H22" s="32" t="e">
        <f>VLOOKUP(G22,Parameter!$P$4:$Q$9,2,FALSE)</f>
        <v>#N/A</v>
      </c>
      <c r="I22" s="60" t="e">
        <f ca="1">Tabelle145[[#This Row],[Projektphase für Pipeline]]+RAND()*0.9-0.1</f>
        <v>#N/A</v>
      </c>
      <c r="J22" s="33">
        <f>Portfolio_Daten!AI23</f>
        <v>0</v>
      </c>
    </row>
    <row r="23" spans="2:10" ht="21" customHeight="1" x14ac:dyDescent="0.35">
      <c r="B23" s="27" t="e">
        <f>Portfolio_Daten!#REF!</f>
        <v>#REF!</v>
      </c>
      <c r="C23" s="28">
        <f>Portfolio_Daten!E24</f>
        <v>0</v>
      </c>
      <c r="D23" s="28" t="e">
        <f>#REF!</f>
        <v>#REF!</v>
      </c>
      <c r="E23" s="32" t="e">
        <f>VLOOKUP(D23,Parameter!#REF!,2,FALSE)</f>
        <v>#REF!</v>
      </c>
      <c r="F23" s="32" t="e">
        <f ca="1">Tabelle145[[#This Row],[Projektart für Pipeline]]+RAND()*0.9-0.1</f>
        <v>#REF!</v>
      </c>
      <c r="G23" s="29">
        <f>Portfolio_Daten!AG24</f>
        <v>0</v>
      </c>
      <c r="H23" s="32" t="e">
        <f>VLOOKUP(G23,Parameter!$P$4:$Q$9,2,FALSE)</f>
        <v>#N/A</v>
      </c>
      <c r="I23" s="60" t="e">
        <f ca="1">Tabelle145[[#This Row],[Projektphase für Pipeline]]+RAND()*0.9-0.1</f>
        <v>#N/A</v>
      </c>
      <c r="J23" s="33">
        <f>Portfolio_Daten!AI24</f>
        <v>0</v>
      </c>
    </row>
    <row r="24" spans="2:10" ht="21" customHeight="1" x14ac:dyDescent="0.35">
      <c r="B24" s="27" t="e">
        <f>Portfolio_Daten!#REF!</f>
        <v>#REF!</v>
      </c>
      <c r="C24" s="28">
        <f>Portfolio_Daten!E25</f>
        <v>0</v>
      </c>
      <c r="D24" s="28" t="e">
        <f>#REF!</f>
        <v>#REF!</v>
      </c>
      <c r="E24" s="32" t="e">
        <f>VLOOKUP(D24,Parameter!#REF!,2,FALSE)</f>
        <v>#REF!</v>
      </c>
      <c r="F24" s="32" t="e">
        <f ca="1">Tabelle145[[#This Row],[Projektart für Pipeline]]+RAND()*0.9-0.1</f>
        <v>#REF!</v>
      </c>
      <c r="G24" s="29">
        <f>Portfolio_Daten!AG25</f>
        <v>0</v>
      </c>
      <c r="H24" s="32" t="e">
        <f>VLOOKUP(G24,Parameter!$P$4:$Q$9,2,FALSE)</f>
        <v>#N/A</v>
      </c>
      <c r="I24" s="60" t="e">
        <f ca="1">Tabelle145[[#This Row],[Projektphase für Pipeline]]+RAND()*0.9-0.1</f>
        <v>#N/A</v>
      </c>
      <c r="J24" s="33">
        <f>Portfolio_Daten!AI25</f>
        <v>0</v>
      </c>
    </row>
    <row r="25" spans="2:10" ht="21" customHeight="1" x14ac:dyDescent="0.35">
      <c r="B25" s="27" t="e">
        <f>Portfolio_Daten!#REF!</f>
        <v>#REF!</v>
      </c>
      <c r="C25" s="28">
        <f>Portfolio_Daten!E26</f>
        <v>0</v>
      </c>
      <c r="D25" s="28" t="e">
        <f>#REF!</f>
        <v>#REF!</v>
      </c>
      <c r="E25" s="32" t="e">
        <f>VLOOKUP(D25,Parameter!#REF!,2,FALSE)</f>
        <v>#REF!</v>
      </c>
      <c r="F25" s="32" t="e">
        <f ca="1">Tabelle145[[#This Row],[Projektart für Pipeline]]+RAND()*0.9-0.1</f>
        <v>#REF!</v>
      </c>
      <c r="G25" s="29">
        <f>Portfolio_Daten!AG26</f>
        <v>0</v>
      </c>
      <c r="H25" s="32" t="e">
        <f>VLOOKUP(G25,Parameter!$P$4:$Q$9,2,FALSE)</f>
        <v>#N/A</v>
      </c>
      <c r="I25" s="60" t="e">
        <f ca="1">Tabelle145[[#This Row],[Projektphase für Pipeline]]+RAND()*0.9-0.1</f>
        <v>#N/A</v>
      </c>
      <c r="J25" s="33">
        <f>Portfolio_Daten!AI26</f>
        <v>0</v>
      </c>
    </row>
    <row r="26" spans="2:10" ht="21" customHeight="1" x14ac:dyDescent="0.35">
      <c r="B26" s="27" t="e">
        <f>Portfolio_Daten!#REF!</f>
        <v>#REF!</v>
      </c>
      <c r="C26" s="28">
        <f>Portfolio_Daten!E27</f>
        <v>0</v>
      </c>
      <c r="D26" s="28" t="e">
        <f>#REF!</f>
        <v>#REF!</v>
      </c>
      <c r="E26" s="32" t="e">
        <f>VLOOKUP(D26,Parameter!#REF!,2,FALSE)</f>
        <v>#REF!</v>
      </c>
      <c r="F26" s="32" t="e">
        <f ca="1">Tabelle145[[#This Row],[Projektart für Pipeline]]+RAND()*0.9-0.1</f>
        <v>#REF!</v>
      </c>
      <c r="G26" s="29">
        <f>Portfolio_Daten!AG27</f>
        <v>0</v>
      </c>
      <c r="H26" s="32" t="e">
        <f>VLOOKUP(G26,Parameter!$P$4:$Q$9,2,FALSE)</f>
        <v>#N/A</v>
      </c>
      <c r="I26" s="60" t="e">
        <f ca="1">Tabelle145[[#This Row],[Projektphase für Pipeline]]+RAND()*0.9-0.1</f>
        <v>#N/A</v>
      </c>
      <c r="J26" s="33">
        <f>Portfolio_Daten!AI27</f>
        <v>0</v>
      </c>
    </row>
    <row r="27" spans="2:10" ht="21" customHeight="1" x14ac:dyDescent="0.35">
      <c r="B27" s="27" t="e">
        <f>Portfolio_Daten!#REF!</f>
        <v>#REF!</v>
      </c>
      <c r="C27" s="28">
        <f>Portfolio_Daten!E28</f>
        <v>0</v>
      </c>
      <c r="D27" s="28" t="e">
        <f>#REF!</f>
        <v>#REF!</v>
      </c>
      <c r="E27" s="32" t="e">
        <f>VLOOKUP(D27,Parameter!#REF!,2,FALSE)</f>
        <v>#REF!</v>
      </c>
      <c r="F27" s="32" t="e">
        <f ca="1">Tabelle145[[#This Row],[Projektart für Pipeline]]+RAND()*0.9-0.1</f>
        <v>#REF!</v>
      </c>
      <c r="G27" s="29">
        <f>Portfolio_Daten!AG28</f>
        <v>0</v>
      </c>
      <c r="H27" s="32" t="e">
        <f>VLOOKUP(G27,Parameter!$P$4:$Q$9,2,FALSE)</f>
        <v>#N/A</v>
      </c>
      <c r="I27" s="60" t="e">
        <f ca="1">Tabelle145[[#This Row],[Projektphase für Pipeline]]+RAND()*0.9-0.1</f>
        <v>#N/A</v>
      </c>
      <c r="J27" s="33">
        <f>Portfolio_Daten!AI28</f>
        <v>0</v>
      </c>
    </row>
    <row r="28" spans="2:10" ht="21" customHeight="1" x14ac:dyDescent="0.35">
      <c r="B28" s="27" t="e">
        <f>Portfolio_Daten!#REF!</f>
        <v>#REF!</v>
      </c>
      <c r="C28" s="28">
        <f>Portfolio_Daten!E29</f>
        <v>0</v>
      </c>
      <c r="D28" s="28" t="e">
        <f>#REF!</f>
        <v>#REF!</v>
      </c>
      <c r="E28" s="32" t="e">
        <f>VLOOKUP(D28,Parameter!#REF!,2,FALSE)</f>
        <v>#REF!</v>
      </c>
      <c r="F28" s="32" t="e">
        <f ca="1">Tabelle145[[#This Row],[Projektart für Pipeline]]+RAND()*0.9-0.1</f>
        <v>#REF!</v>
      </c>
      <c r="G28" s="29">
        <f>Portfolio_Daten!AG29</f>
        <v>0</v>
      </c>
      <c r="H28" s="32" t="e">
        <f>VLOOKUP(G28,Parameter!$P$4:$Q$9,2,FALSE)</f>
        <v>#N/A</v>
      </c>
      <c r="I28" s="60" t="e">
        <f ca="1">Tabelle145[[#This Row],[Projektphase für Pipeline]]+RAND()*0.9-0.1</f>
        <v>#N/A</v>
      </c>
      <c r="J28" s="33">
        <f>Portfolio_Daten!AI29</f>
        <v>0</v>
      </c>
    </row>
    <row r="29" spans="2:10" ht="21" customHeight="1" x14ac:dyDescent="0.35">
      <c r="B29" s="27" t="e">
        <f>Portfolio_Daten!#REF!</f>
        <v>#REF!</v>
      </c>
      <c r="C29" s="28">
        <f>Portfolio_Daten!E30</f>
        <v>0</v>
      </c>
      <c r="D29" s="28" t="e">
        <f>#REF!</f>
        <v>#REF!</v>
      </c>
      <c r="E29" s="32" t="e">
        <f>VLOOKUP(D29,Parameter!#REF!,2,FALSE)</f>
        <v>#REF!</v>
      </c>
      <c r="F29" s="32" t="e">
        <f ca="1">Tabelle145[[#This Row],[Projektart für Pipeline]]+RAND()*0.9-0.1</f>
        <v>#REF!</v>
      </c>
      <c r="G29" s="29">
        <f>Portfolio_Daten!AG30</f>
        <v>0</v>
      </c>
      <c r="H29" s="32" t="e">
        <f>VLOOKUP(G29,Parameter!$P$4:$Q$9,2,FALSE)</f>
        <v>#N/A</v>
      </c>
      <c r="I29" s="60" t="e">
        <f ca="1">Tabelle145[[#This Row],[Projektphase für Pipeline]]+RAND()*0.9-0.1</f>
        <v>#N/A</v>
      </c>
      <c r="J29" s="33">
        <f>Portfolio_Daten!AI30</f>
        <v>0</v>
      </c>
    </row>
    <row r="30" spans="2:10" ht="21" customHeight="1" x14ac:dyDescent="0.35">
      <c r="B30" s="27" t="e">
        <f>Portfolio_Daten!#REF!</f>
        <v>#REF!</v>
      </c>
      <c r="C30" s="28">
        <f>Portfolio_Daten!E31</f>
        <v>0</v>
      </c>
      <c r="D30" s="28" t="e">
        <f>#REF!</f>
        <v>#REF!</v>
      </c>
      <c r="E30" s="32" t="e">
        <f>VLOOKUP(D30,Parameter!#REF!,2,FALSE)</f>
        <v>#REF!</v>
      </c>
      <c r="F30" s="32" t="e">
        <f ca="1">Tabelle145[[#This Row],[Projektart für Pipeline]]+RAND()*0.9-0.1</f>
        <v>#REF!</v>
      </c>
      <c r="G30" s="29">
        <f>Portfolio_Daten!AG31</f>
        <v>0</v>
      </c>
      <c r="H30" s="32" t="e">
        <f>VLOOKUP(G30,Parameter!$P$4:$Q$9,2,FALSE)</f>
        <v>#N/A</v>
      </c>
      <c r="I30" s="60" t="e">
        <f ca="1">Tabelle145[[#This Row],[Projektphase für Pipeline]]+RAND()*0.9-0.1</f>
        <v>#N/A</v>
      </c>
      <c r="J30" s="33">
        <f>Portfolio_Daten!AI31</f>
        <v>0</v>
      </c>
    </row>
    <row r="31" spans="2:10" ht="21" customHeight="1" x14ac:dyDescent="0.35">
      <c r="B31" s="27" t="e">
        <f>Portfolio_Daten!#REF!</f>
        <v>#REF!</v>
      </c>
      <c r="C31" s="28">
        <f>Portfolio_Daten!E32</f>
        <v>0</v>
      </c>
      <c r="D31" s="28" t="e">
        <f>#REF!</f>
        <v>#REF!</v>
      </c>
      <c r="E31" s="32" t="e">
        <f>VLOOKUP(D31,Parameter!#REF!,2,FALSE)</f>
        <v>#REF!</v>
      </c>
      <c r="F31" s="32" t="e">
        <f ca="1">Tabelle145[[#This Row],[Projektart für Pipeline]]+RAND()*0.9-0.1</f>
        <v>#REF!</v>
      </c>
      <c r="G31" s="29">
        <f>Portfolio_Daten!AG32</f>
        <v>0</v>
      </c>
      <c r="H31" s="32" t="e">
        <f>VLOOKUP(G31,Parameter!$P$4:$Q$9,2,FALSE)</f>
        <v>#N/A</v>
      </c>
      <c r="I31" s="60" t="e">
        <f ca="1">Tabelle145[[#This Row],[Projektphase für Pipeline]]+RAND()*0.9-0.1</f>
        <v>#N/A</v>
      </c>
      <c r="J31" s="33">
        <f>Portfolio_Daten!AI32</f>
        <v>0</v>
      </c>
    </row>
    <row r="32" spans="2:10" ht="21" customHeight="1" x14ac:dyDescent="0.35">
      <c r="B32" s="27" t="e">
        <f>Portfolio_Daten!#REF!</f>
        <v>#REF!</v>
      </c>
      <c r="C32" s="28">
        <f>Portfolio_Daten!E33</f>
        <v>0</v>
      </c>
      <c r="D32" s="28" t="e">
        <f>#REF!</f>
        <v>#REF!</v>
      </c>
      <c r="E32" s="32" t="e">
        <f>VLOOKUP(D32,Parameter!#REF!,2,FALSE)</f>
        <v>#REF!</v>
      </c>
      <c r="F32" s="32" t="e">
        <f ca="1">Tabelle145[[#This Row],[Projektart für Pipeline]]+RAND()*0.9-0.1</f>
        <v>#REF!</v>
      </c>
      <c r="G32" s="29">
        <f>Portfolio_Daten!AG33</f>
        <v>0</v>
      </c>
      <c r="H32" s="32" t="e">
        <f>VLOOKUP(G32,Parameter!$P$4:$Q$9,2,FALSE)</f>
        <v>#N/A</v>
      </c>
      <c r="I32" s="60" t="e">
        <f ca="1">Tabelle145[[#This Row],[Projektphase für Pipeline]]+RAND()*0.9-0.1</f>
        <v>#N/A</v>
      </c>
      <c r="J32" s="33">
        <f>Portfolio_Daten!AI33</f>
        <v>0</v>
      </c>
    </row>
    <row r="33" spans="2:10" ht="21" customHeight="1" x14ac:dyDescent="0.35">
      <c r="B33" s="27" t="e">
        <f>Portfolio_Daten!#REF!</f>
        <v>#REF!</v>
      </c>
      <c r="C33" s="28">
        <f>Portfolio_Daten!E34</f>
        <v>0</v>
      </c>
      <c r="D33" s="28" t="e">
        <f>#REF!</f>
        <v>#REF!</v>
      </c>
      <c r="E33" s="32" t="e">
        <f>VLOOKUP(D33,Parameter!#REF!,2,FALSE)</f>
        <v>#REF!</v>
      </c>
      <c r="F33" s="32" t="e">
        <f ca="1">Tabelle145[[#This Row],[Projektart für Pipeline]]+RAND()*0.9-0.1</f>
        <v>#REF!</v>
      </c>
      <c r="G33" s="29">
        <f>Portfolio_Daten!AG34</f>
        <v>0</v>
      </c>
      <c r="H33" s="32" t="e">
        <f>VLOOKUP(G33,Parameter!$P$4:$Q$9,2,FALSE)</f>
        <v>#N/A</v>
      </c>
      <c r="I33" s="60" t="e">
        <f ca="1">Tabelle145[[#This Row],[Projektphase für Pipeline]]+RAND()*0.9-0.1</f>
        <v>#N/A</v>
      </c>
      <c r="J33" s="33">
        <f>Portfolio_Daten!AI34</f>
        <v>0</v>
      </c>
    </row>
    <row r="34" spans="2:10" ht="21" customHeight="1" x14ac:dyDescent="0.35">
      <c r="B34" s="27" t="e">
        <f>Portfolio_Daten!#REF!</f>
        <v>#REF!</v>
      </c>
      <c r="C34" s="28">
        <f>Portfolio_Daten!E35</f>
        <v>0</v>
      </c>
      <c r="D34" s="28" t="e">
        <f>#REF!</f>
        <v>#REF!</v>
      </c>
      <c r="E34" s="32" t="e">
        <f>VLOOKUP(D34,Parameter!#REF!,2,FALSE)</f>
        <v>#REF!</v>
      </c>
      <c r="F34" s="32" t="e">
        <f ca="1">Tabelle145[[#This Row],[Projektart für Pipeline]]+RAND()*0.9-0.1</f>
        <v>#REF!</v>
      </c>
      <c r="G34" s="29">
        <f>Portfolio_Daten!AG35</f>
        <v>0</v>
      </c>
      <c r="H34" s="32" t="e">
        <f>VLOOKUP(G34,Parameter!$P$4:$Q$9,2,FALSE)</f>
        <v>#N/A</v>
      </c>
      <c r="I34" s="60" t="e">
        <f ca="1">Tabelle145[[#This Row],[Projektphase für Pipeline]]+RAND()*0.9-0.1</f>
        <v>#N/A</v>
      </c>
      <c r="J34" s="33">
        <f>Portfolio_Daten!AI35</f>
        <v>0</v>
      </c>
    </row>
    <row r="35" spans="2:10" ht="21" customHeight="1" x14ac:dyDescent="0.35">
      <c r="B35" s="27" t="e">
        <f>Portfolio_Daten!#REF!</f>
        <v>#REF!</v>
      </c>
      <c r="C35" s="28">
        <f>Portfolio_Daten!E36</f>
        <v>0</v>
      </c>
      <c r="D35" s="28" t="e">
        <f>#REF!</f>
        <v>#REF!</v>
      </c>
      <c r="E35" s="32" t="e">
        <f>VLOOKUP(D35,Parameter!#REF!,2,FALSE)</f>
        <v>#REF!</v>
      </c>
      <c r="F35" s="32" t="e">
        <f ca="1">Tabelle145[[#This Row],[Projektart für Pipeline]]+RAND()*0.9-0.1</f>
        <v>#REF!</v>
      </c>
      <c r="G35" s="29">
        <f>Portfolio_Daten!AG36</f>
        <v>0</v>
      </c>
      <c r="H35" s="32" t="e">
        <f>VLOOKUP(G35,Parameter!$P$4:$Q$9,2,FALSE)</f>
        <v>#N/A</v>
      </c>
      <c r="I35" s="60" t="e">
        <f ca="1">Tabelle145[[#This Row],[Projektphase für Pipeline]]+RAND()*0.9-0.1</f>
        <v>#N/A</v>
      </c>
      <c r="J35" s="33">
        <f>Portfolio_Daten!AI36</f>
        <v>0</v>
      </c>
    </row>
    <row r="36" spans="2:10" ht="21" customHeight="1" x14ac:dyDescent="0.35">
      <c r="B36" s="27" t="e">
        <f>Portfolio_Daten!#REF!</f>
        <v>#REF!</v>
      </c>
      <c r="C36" s="28">
        <f>Portfolio_Daten!E37</f>
        <v>0</v>
      </c>
      <c r="D36" s="28" t="e">
        <f>#REF!</f>
        <v>#REF!</v>
      </c>
      <c r="E36" s="32" t="e">
        <f>VLOOKUP(D36,Parameter!#REF!,2,FALSE)</f>
        <v>#REF!</v>
      </c>
      <c r="F36" s="32" t="e">
        <f ca="1">Tabelle145[[#This Row],[Projektart für Pipeline]]+RAND()*0.9-0.1</f>
        <v>#REF!</v>
      </c>
      <c r="G36" s="29">
        <f>Portfolio_Daten!AG37</f>
        <v>0</v>
      </c>
      <c r="H36" s="32" t="e">
        <f>VLOOKUP(G36,Parameter!$P$4:$Q$9,2,FALSE)</f>
        <v>#N/A</v>
      </c>
      <c r="I36" s="60" t="e">
        <f ca="1">Tabelle145[[#This Row],[Projektphase für Pipeline]]+RAND()*0.9-0.1</f>
        <v>#N/A</v>
      </c>
      <c r="J36" s="33">
        <f>Portfolio_Daten!AI37</f>
        <v>0</v>
      </c>
    </row>
    <row r="37" spans="2:10" ht="21" customHeight="1" x14ac:dyDescent="0.35">
      <c r="B37" s="27" t="e">
        <f>Portfolio_Daten!#REF!</f>
        <v>#REF!</v>
      </c>
      <c r="C37" s="28">
        <f>Portfolio_Daten!E38</f>
        <v>0</v>
      </c>
      <c r="D37" s="28" t="e">
        <f>#REF!</f>
        <v>#REF!</v>
      </c>
      <c r="E37" s="32" t="e">
        <f>VLOOKUP(D37,Parameter!#REF!,2,FALSE)</f>
        <v>#REF!</v>
      </c>
      <c r="F37" s="32" t="e">
        <f ca="1">Tabelle145[[#This Row],[Projektart für Pipeline]]+RAND()*0.9-0.1</f>
        <v>#REF!</v>
      </c>
      <c r="G37" s="29">
        <f>Portfolio_Daten!AG38</f>
        <v>0</v>
      </c>
      <c r="H37" s="32" t="e">
        <f>VLOOKUP(G37,Parameter!$P$4:$Q$9,2,FALSE)</f>
        <v>#N/A</v>
      </c>
      <c r="I37" s="60" t="e">
        <f ca="1">Tabelle145[[#This Row],[Projektphase für Pipeline]]+RAND()*0.9-0.1</f>
        <v>#N/A</v>
      </c>
      <c r="J37" s="33">
        <f>Portfolio_Daten!AI38</f>
        <v>0</v>
      </c>
    </row>
    <row r="38" spans="2:10" ht="21" customHeight="1" x14ac:dyDescent="0.35">
      <c r="B38" s="27" t="e">
        <f>Portfolio_Daten!#REF!</f>
        <v>#REF!</v>
      </c>
      <c r="C38" s="28">
        <f>Portfolio_Daten!E39</f>
        <v>0</v>
      </c>
      <c r="D38" s="28" t="e">
        <f>#REF!</f>
        <v>#REF!</v>
      </c>
      <c r="E38" s="32" t="e">
        <f>VLOOKUP(D38,Parameter!#REF!,2,FALSE)</f>
        <v>#REF!</v>
      </c>
      <c r="F38" s="32" t="e">
        <f ca="1">Tabelle145[[#This Row],[Projektart für Pipeline]]+RAND()*0.9-0.1</f>
        <v>#REF!</v>
      </c>
      <c r="G38" s="29">
        <f>Portfolio_Daten!AG39</f>
        <v>0</v>
      </c>
      <c r="H38" s="32" t="e">
        <f>VLOOKUP(G38,Parameter!$P$4:$Q$9,2,FALSE)</f>
        <v>#N/A</v>
      </c>
      <c r="I38" s="60" t="e">
        <f ca="1">Tabelle145[[#This Row],[Projektphase für Pipeline]]+RAND()*0.9-0.1</f>
        <v>#N/A</v>
      </c>
      <c r="J38" s="33">
        <f>Portfolio_Daten!AI39</f>
        <v>0</v>
      </c>
    </row>
    <row r="39" spans="2:10" ht="21" customHeight="1" x14ac:dyDescent="0.35">
      <c r="B39" s="27" t="e">
        <f>Portfolio_Daten!#REF!</f>
        <v>#REF!</v>
      </c>
      <c r="C39" s="28">
        <f>Portfolio_Daten!E40</f>
        <v>0</v>
      </c>
      <c r="D39" s="28" t="e">
        <f>#REF!</f>
        <v>#REF!</v>
      </c>
      <c r="E39" s="32" t="e">
        <f>VLOOKUP(D39,Parameter!#REF!,2,FALSE)</f>
        <v>#REF!</v>
      </c>
      <c r="F39" s="32" t="e">
        <f ca="1">Tabelle145[[#This Row],[Projektart für Pipeline]]+RAND()*0.9-0.1</f>
        <v>#REF!</v>
      </c>
      <c r="G39" s="29">
        <f>Portfolio_Daten!AG40</f>
        <v>0</v>
      </c>
      <c r="H39" s="32" t="e">
        <f>VLOOKUP(G39,Parameter!$P$4:$Q$9,2,FALSE)</f>
        <v>#N/A</v>
      </c>
      <c r="I39" s="60" t="e">
        <f ca="1">Tabelle145[[#This Row],[Projektphase für Pipeline]]+RAND()*0.9-0.1</f>
        <v>#N/A</v>
      </c>
      <c r="J39" s="33">
        <f>Portfolio_Daten!AI40</f>
        <v>0</v>
      </c>
    </row>
    <row r="40" spans="2:10" ht="21" customHeight="1" x14ac:dyDescent="0.35">
      <c r="B40" s="27" t="e">
        <f>Portfolio_Daten!#REF!</f>
        <v>#REF!</v>
      </c>
      <c r="C40" s="28">
        <f>Portfolio_Daten!E41</f>
        <v>0</v>
      </c>
      <c r="D40" s="28" t="e">
        <f>#REF!</f>
        <v>#REF!</v>
      </c>
      <c r="E40" s="32" t="e">
        <f>VLOOKUP(D40,Parameter!#REF!,2,FALSE)</f>
        <v>#REF!</v>
      </c>
      <c r="F40" s="32" t="e">
        <f ca="1">Tabelle145[[#This Row],[Projektart für Pipeline]]+RAND()*0.9-0.1</f>
        <v>#REF!</v>
      </c>
      <c r="G40" s="29">
        <f>Portfolio_Daten!AG41</f>
        <v>0</v>
      </c>
      <c r="H40" s="32" t="e">
        <f>VLOOKUP(G40,Parameter!$P$4:$Q$9,2,FALSE)</f>
        <v>#N/A</v>
      </c>
      <c r="I40" s="60" t="e">
        <f ca="1">Tabelle145[[#This Row],[Projektphase für Pipeline]]+RAND()*0.9-0.1</f>
        <v>#N/A</v>
      </c>
      <c r="J40" s="33">
        <f>Portfolio_Daten!AI41</f>
        <v>0</v>
      </c>
    </row>
    <row r="41" spans="2:10" ht="21" customHeight="1" x14ac:dyDescent="0.35">
      <c r="B41" s="27" t="e">
        <f>Portfolio_Daten!#REF!</f>
        <v>#REF!</v>
      </c>
      <c r="C41" s="28">
        <f>Portfolio_Daten!E42</f>
        <v>0</v>
      </c>
      <c r="D41" s="28" t="e">
        <f>#REF!</f>
        <v>#REF!</v>
      </c>
      <c r="E41" s="32" t="e">
        <f>VLOOKUP(D41,Parameter!#REF!,2,FALSE)</f>
        <v>#REF!</v>
      </c>
      <c r="F41" s="32" t="e">
        <f ca="1">Tabelle145[[#This Row],[Projektart für Pipeline]]+RAND()*0.9-0.1</f>
        <v>#REF!</v>
      </c>
      <c r="G41" s="29">
        <f>Portfolio_Daten!AG42</f>
        <v>0</v>
      </c>
      <c r="H41" s="32" t="e">
        <f>VLOOKUP(G41,Parameter!$P$4:$Q$9,2,FALSE)</f>
        <v>#N/A</v>
      </c>
      <c r="I41" s="60" t="e">
        <f ca="1">Tabelle145[[#This Row],[Projektphase für Pipeline]]+RAND()*0.9-0.1</f>
        <v>#N/A</v>
      </c>
      <c r="J41" s="33">
        <f>Portfolio_Daten!AI42</f>
        <v>0</v>
      </c>
    </row>
    <row r="42" spans="2:10" ht="21" customHeight="1" x14ac:dyDescent="0.35">
      <c r="B42" s="27" t="e">
        <f>Portfolio_Daten!#REF!</f>
        <v>#REF!</v>
      </c>
      <c r="C42" s="28">
        <f>Portfolio_Daten!E43</f>
        <v>0</v>
      </c>
      <c r="D42" s="28" t="e">
        <f>#REF!</f>
        <v>#REF!</v>
      </c>
      <c r="E42" s="32" t="e">
        <f>VLOOKUP(D42,Parameter!#REF!,2,FALSE)</f>
        <v>#REF!</v>
      </c>
      <c r="F42" s="32" t="e">
        <f ca="1">Tabelle145[[#This Row],[Projektart für Pipeline]]+RAND()*0.9-0.1</f>
        <v>#REF!</v>
      </c>
      <c r="G42" s="29">
        <f>Portfolio_Daten!AG43</f>
        <v>0</v>
      </c>
      <c r="H42" s="32" t="e">
        <f>VLOOKUP(G42,Parameter!$P$4:$Q$9,2,FALSE)</f>
        <v>#N/A</v>
      </c>
      <c r="I42" s="60" t="e">
        <f ca="1">Tabelle145[[#This Row],[Projektphase für Pipeline]]+RAND()*0.9-0.1</f>
        <v>#N/A</v>
      </c>
      <c r="J42" s="33">
        <f>Portfolio_Daten!AI43</f>
        <v>0</v>
      </c>
    </row>
    <row r="43" spans="2:10" ht="21" customHeight="1" x14ac:dyDescent="0.35">
      <c r="B43" s="27" t="e">
        <f>Portfolio_Daten!#REF!</f>
        <v>#REF!</v>
      </c>
      <c r="C43" s="28">
        <f>Portfolio_Daten!E44</f>
        <v>0</v>
      </c>
      <c r="D43" s="28" t="e">
        <f>#REF!</f>
        <v>#REF!</v>
      </c>
      <c r="E43" s="32" t="e">
        <f>VLOOKUP(D43,Parameter!#REF!,2,FALSE)</f>
        <v>#REF!</v>
      </c>
      <c r="F43" s="32" t="e">
        <f ca="1">Tabelle145[[#This Row],[Projektart für Pipeline]]+RAND()*0.9-0.1</f>
        <v>#REF!</v>
      </c>
      <c r="G43" s="29">
        <f>Portfolio_Daten!AG44</f>
        <v>0</v>
      </c>
      <c r="H43" s="32" t="e">
        <f>VLOOKUP(G43,Parameter!$P$4:$Q$9,2,FALSE)</f>
        <v>#N/A</v>
      </c>
      <c r="I43" s="60" t="e">
        <f ca="1">Tabelle145[[#This Row],[Projektphase für Pipeline]]+RAND()*0.9-0.1</f>
        <v>#N/A</v>
      </c>
      <c r="J43" s="33">
        <f>Portfolio_Daten!AI44</f>
        <v>0</v>
      </c>
    </row>
    <row r="44" spans="2:10" ht="21" customHeight="1" x14ac:dyDescent="0.35">
      <c r="B44" s="27" t="e">
        <f>Portfolio_Daten!#REF!</f>
        <v>#REF!</v>
      </c>
      <c r="C44" s="28">
        <f>Portfolio_Daten!E45</f>
        <v>0</v>
      </c>
      <c r="D44" s="28" t="e">
        <f>#REF!</f>
        <v>#REF!</v>
      </c>
      <c r="E44" s="32" t="e">
        <f>VLOOKUP(D44,Parameter!#REF!,2,FALSE)</f>
        <v>#REF!</v>
      </c>
      <c r="F44" s="32" t="e">
        <f ca="1">Tabelle145[[#This Row],[Projektart für Pipeline]]+RAND()*0.9-0.1</f>
        <v>#REF!</v>
      </c>
      <c r="G44" s="29">
        <f>Portfolio_Daten!AG45</f>
        <v>0</v>
      </c>
      <c r="H44" s="32" t="e">
        <f>VLOOKUP(G44,Parameter!$P$4:$Q$9,2,FALSE)</f>
        <v>#N/A</v>
      </c>
      <c r="I44" s="60" t="e">
        <f ca="1">Tabelle145[[#This Row],[Projektphase für Pipeline]]+RAND()*0.9-0.1</f>
        <v>#N/A</v>
      </c>
      <c r="J44" s="33">
        <f>Portfolio_Daten!AI45</f>
        <v>0</v>
      </c>
    </row>
    <row r="45" spans="2:10" ht="21" customHeight="1" x14ac:dyDescent="0.35">
      <c r="B45" s="27" t="e">
        <f>Portfolio_Daten!#REF!</f>
        <v>#REF!</v>
      </c>
      <c r="C45" s="28">
        <f>Portfolio_Daten!E46</f>
        <v>0</v>
      </c>
      <c r="D45" s="28" t="e">
        <f>#REF!</f>
        <v>#REF!</v>
      </c>
      <c r="E45" s="32" t="e">
        <f>VLOOKUP(D45,Parameter!#REF!,2,FALSE)</f>
        <v>#REF!</v>
      </c>
      <c r="F45" s="32" t="e">
        <f ca="1">Tabelle145[[#This Row],[Projektart für Pipeline]]+RAND()*0.9-0.1</f>
        <v>#REF!</v>
      </c>
      <c r="G45" s="29">
        <f>Portfolio_Daten!AG46</f>
        <v>0</v>
      </c>
      <c r="H45" s="32" t="e">
        <f>VLOOKUP(G45,Parameter!$P$4:$Q$9,2,FALSE)</f>
        <v>#N/A</v>
      </c>
      <c r="I45" s="60" t="e">
        <f ca="1">Tabelle145[[#This Row],[Projektphase für Pipeline]]+RAND()*0.9-0.1</f>
        <v>#N/A</v>
      </c>
      <c r="J45" s="33">
        <f>Portfolio_Daten!AI46</f>
        <v>0</v>
      </c>
    </row>
    <row r="46" spans="2:10" ht="21" customHeight="1" x14ac:dyDescent="0.35">
      <c r="B46" s="27" t="e">
        <f>Portfolio_Daten!#REF!</f>
        <v>#REF!</v>
      </c>
      <c r="C46" s="28">
        <f>Portfolio_Daten!E47</f>
        <v>0</v>
      </c>
      <c r="D46" s="28" t="e">
        <f>#REF!</f>
        <v>#REF!</v>
      </c>
      <c r="E46" s="32" t="e">
        <f>VLOOKUP(D46,Parameter!#REF!,2,FALSE)</f>
        <v>#REF!</v>
      </c>
      <c r="F46" s="32" t="e">
        <f ca="1">Tabelle145[[#This Row],[Projektart für Pipeline]]+RAND()*0.9-0.1</f>
        <v>#REF!</v>
      </c>
      <c r="G46" s="29">
        <f>Portfolio_Daten!AG47</f>
        <v>0</v>
      </c>
      <c r="H46" s="32" t="e">
        <f>VLOOKUP(G46,Parameter!$P$4:$Q$9,2,FALSE)</f>
        <v>#N/A</v>
      </c>
      <c r="I46" s="60" t="e">
        <f ca="1">Tabelle145[[#This Row],[Projektphase für Pipeline]]+RAND()*0.9-0.1</f>
        <v>#N/A</v>
      </c>
      <c r="J46" s="33">
        <f>Portfolio_Daten!AI47</f>
        <v>0</v>
      </c>
    </row>
    <row r="47" spans="2:10" ht="21" customHeight="1" x14ac:dyDescent="0.35">
      <c r="B47" s="27" t="e">
        <f>Portfolio_Daten!#REF!</f>
        <v>#REF!</v>
      </c>
      <c r="C47" s="28">
        <f>Portfolio_Daten!E48</f>
        <v>0</v>
      </c>
      <c r="D47" s="28" t="e">
        <f>#REF!</f>
        <v>#REF!</v>
      </c>
      <c r="E47" s="32" t="e">
        <f>VLOOKUP(D47,Parameter!#REF!,2,FALSE)</f>
        <v>#REF!</v>
      </c>
      <c r="F47" s="32" t="e">
        <f ca="1">Tabelle145[[#This Row],[Projektart für Pipeline]]+RAND()*0.9-0.1</f>
        <v>#REF!</v>
      </c>
      <c r="G47" s="29">
        <f>Portfolio_Daten!AG48</f>
        <v>0</v>
      </c>
      <c r="H47" s="32" t="e">
        <f>VLOOKUP(G47,Parameter!$P$4:$Q$9,2,FALSE)</f>
        <v>#N/A</v>
      </c>
      <c r="I47" s="60" t="e">
        <f ca="1">Tabelle145[[#This Row],[Projektphase für Pipeline]]+RAND()*0.9-0.1</f>
        <v>#N/A</v>
      </c>
      <c r="J47" s="33">
        <f>Portfolio_Daten!AI48</f>
        <v>0</v>
      </c>
    </row>
    <row r="48" spans="2:10" ht="21" customHeight="1" x14ac:dyDescent="0.35">
      <c r="B48" s="27" t="e">
        <f>Portfolio_Daten!#REF!</f>
        <v>#REF!</v>
      </c>
      <c r="C48" s="28">
        <f>Portfolio_Daten!E49</f>
        <v>0</v>
      </c>
      <c r="D48" s="28" t="e">
        <f>#REF!</f>
        <v>#REF!</v>
      </c>
      <c r="E48" s="32" t="e">
        <f>VLOOKUP(D48,Parameter!#REF!,2,FALSE)</f>
        <v>#REF!</v>
      </c>
      <c r="F48" s="32" t="e">
        <f ca="1">Tabelle145[[#This Row],[Projektart für Pipeline]]+RAND()*0.9-0.1</f>
        <v>#REF!</v>
      </c>
      <c r="G48" s="29">
        <f>Portfolio_Daten!AG49</f>
        <v>0</v>
      </c>
      <c r="H48" s="32" t="e">
        <f>VLOOKUP(G48,Parameter!$P$4:$Q$9,2,FALSE)</f>
        <v>#N/A</v>
      </c>
      <c r="I48" s="60" t="e">
        <f ca="1">Tabelle145[[#This Row],[Projektphase für Pipeline]]+RAND()*0.9-0.1</f>
        <v>#N/A</v>
      </c>
      <c r="J48" s="33">
        <f>Portfolio_Daten!AI49</f>
        <v>0</v>
      </c>
    </row>
    <row r="49" spans="2:10" ht="21" customHeight="1" x14ac:dyDescent="0.35">
      <c r="B49" s="27" t="e">
        <f>Portfolio_Daten!#REF!</f>
        <v>#REF!</v>
      </c>
      <c r="C49" s="28">
        <f>Portfolio_Daten!E50</f>
        <v>0</v>
      </c>
      <c r="D49" s="28" t="e">
        <f>#REF!</f>
        <v>#REF!</v>
      </c>
      <c r="E49" s="32" t="e">
        <f>VLOOKUP(D49,Parameter!#REF!,2,FALSE)</f>
        <v>#REF!</v>
      </c>
      <c r="F49" s="32" t="e">
        <f ca="1">Tabelle145[[#This Row],[Projektart für Pipeline]]+RAND()*0.9-0.1</f>
        <v>#REF!</v>
      </c>
      <c r="G49" s="29">
        <f>Portfolio_Daten!AG50</f>
        <v>0</v>
      </c>
      <c r="H49" s="32" t="e">
        <f>VLOOKUP(G49,Parameter!$P$4:$Q$9,2,FALSE)</f>
        <v>#N/A</v>
      </c>
      <c r="I49" s="60" t="e">
        <f ca="1">Tabelle145[[#This Row],[Projektphase für Pipeline]]+RAND()*0.9-0.1</f>
        <v>#N/A</v>
      </c>
      <c r="J49" s="33">
        <f>Portfolio_Daten!AI50</f>
        <v>0</v>
      </c>
    </row>
    <row r="50" spans="2:10" ht="21" customHeight="1" x14ac:dyDescent="0.35">
      <c r="B50" s="27" t="e">
        <f>Portfolio_Daten!#REF!</f>
        <v>#REF!</v>
      </c>
      <c r="C50" s="28">
        <f>Portfolio_Daten!E51</f>
        <v>0</v>
      </c>
      <c r="D50" s="28" t="e">
        <f>#REF!</f>
        <v>#REF!</v>
      </c>
      <c r="E50" s="32" t="e">
        <f>VLOOKUP(D50,Parameter!#REF!,2,FALSE)</f>
        <v>#REF!</v>
      </c>
      <c r="F50" s="32" t="e">
        <f ca="1">Tabelle145[[#This Row],[Projektart für Pipeline]]+RAND()*0.9-0.1</f>
        <v>#REF!</v>
      </c>
      <c r="G50" s="29">
        <f>Portfolio_Daten!AG51</f>
        <v>0</v>
      </c>
      <c r="H50" s="32" t="e">
        <f>VLOOKUP(G50,Parameter!$P$4:$Q$9,2,FALSE)</f>
        <v>#N/A</v>
      </c>
      <c r="I50" s="60" t="e">
        <f ca="1">Tabelle145[[#This Row],[Projektphase für Pipeline]]+RAND()*0.9-0.1</f>
        <v>#N/A</v>
      </c>
      <c r="J50" s="33">
        <f>Portfolio_Daten!AI51</f>
        <v>0</v>
      </c>
    </row>
    <row r="51" spans="2:10" ht="21" customHeight="1" x14ac:dyDescent="0.35">
      <c r="B51" s="27" t="e">
        <f>Portfolio_Daten!#REF!</f>
        <v>#REF!</v>
      </c>
      <c r="C51" s="28">
        <f>Portfolio_Daten!E52</f>
        <v>0</v>
      </c>
      <c r="D51" s="28" t="e">
        <f>#REF!</f>
        <v>#REF!</v>
      </c>
      <c r="E51" s="32" t="e">
        <f>VLOOKUP(D51,Parameter!#REF!,2,FALSE)</f>
        <v>#REF!</v>
      </c>
      <c r="F51" s="32" t="e">
        <f ca="1">Tabelle145[[#This Row],[Projektart für Pipeline]]+RAND()*0.9-0.1</f>
        <v>#REF!</v>
      </c>
      <c r="G51" s="29">
        <f>Portfolio_Daten!AG52</f>
        <v>0</v>
      </c>
      <c r="H51" s="32" t="e">
        <f>VLOOKUP(G51,Parameter!$P$4:$Q$9,2,FALSE)</f>
        <v>#N/A</v>
      </c>
      <c r="I51" s="60" t="e">
        <f ca="1">Tabelle145[[#This Row],[Projektphase für Pipeline]]+RAND()*0.9-0.1</f>
        <v>#N/A</v>
      </c>
      <c r="J51" s="33">
        <f>Portfolio_Daten!AI52</f>
        <v>0</v>
      </c>
    </row>
    <row r="52" spans="2:10" ht="21" customHeight="1" x14ac:dyDescent="0.35">
      <c r="B52" s="27" t="e">
        <f>Portfolio_Daten!#REF!</f>
        <v>#REF!</v>
      </c>
      <c r="C52" s="28">
        <f>Portfolio_Daten!E54</f>
        <v>0</v>
      </c>
      <c r="D52" s="28" t="e">
        <f>#REF!</f>
        <v>#REF!</v>
      </c>
      <c r="E52" s="32" t="e">
        <f>VLOOKUP(D52,Parameter!#REF!,2,FALSE)</f>
        <v>#REF!</v>
      </c>
      <c r="F52" s="32" t="e">
        <f ca="1">Tabelle145[[#This Row],[Projektart für Pipeline]]+RAND()*0.9-0.1</f>
        <v>#REF!</v>
      </c>
      <c r="G52" s="29">
        <f>Portfolio_Daten!AG54</f>
        <v>0</v>
      </c>
      <c r="H52" s="32" t="e">
        <f>VLOOKUP(G52,Parameter!$P$4:$Q$9,2,FALSE)</f>
        <v>#N/A</v>
      </c>
      <c r="I52" s="60" t="e">
        <f ca="1">Tabelle145[[#This Row],[Projektphase für Pipeline]]+RAND()*0.9-0.1</f>
        <v>#N/A</v>
      </c>
      <c r="J52" s="33">
        <f>Portfolio_Daten!AI54</f>
        <v>0</v>
      </c>
    </row>
    <row r="53" spans="2:10" ht="21" customHeight="1" x14ac:dyDescent="0.35">
      <c r="B53" s="27" t="e">
        <f>Portfolio_Daten!#REF!</f>
        <v>#REF!</v>
      </c>
      <c r="C53" s="28">
        <f>Portfolio_Daten!E56</f>
        <v>0</v>
      </c>
      <c r="D53" s="28" t="e">
        <f>#REF!</f>
        <v>#REF!</v>
      </c>
      <c r="E53" s="32" t="e">
        <f>VLOOKUP(D53,Parameter!#REF!,2,FALSE)</f>
        <v>#REF!</v>
      </c>
      <c r="F53" s="32" t="e">
        <f ca="1">Tabelle145[[#This Row],[Projektart für Pipeline]]+RAND()*0.9-0.1</f>
        <v>#REF!</v>
      </c>
      <c r="G53" s="29">
        <f>Portfolio_Daten!AG56</f>
        <v>0</v>
      </c>
      <c r="H53" s="32" t="e">
        <f>VLOOKUP(G53,Parameter!$P$4:$Q$9,2,FALSE)</f>
        <v>#N/A</v>
      </c>
      <c r="I53" s="60" t="e">
        <f ca="1">Tabelle145[[#This Row],[Projektphase für Pipeline]]+RAND()*0.9-0.1</f>
        <v>#N/A</v>
      </c>
      <c r="J53" s="33">
        <f>Portfolio_Daten!AI56</f>
        <v>0</v>
      </c>
    </row>
    <row r="54" spans="2:10" ht="21" customHeight="1" x14ac:dyDescent="0.35">
      <c r="B54" s="27" t="e">
        <f>Portfolio_Daten!#REF!</f>
        <v>#REF!</v>
      </c>
      <c r="C54" s="28">
        <f>Portfolio_Daten!E57</f>
        <v>0</v>
      </c>
      <c r="D54" s="28" t="e">
        <f>#REF!</f>
        <v>#REF!</v>
      </c>
      <c r="E54" s="32" t="e">
        <f>VLOOKUP(D54,Parameter!#REF!,2,FALSE)</f>
        <v>#REF!</v>
      </c>
      <c r="F54" s="32" t="e">
        <f ca="1">Tabelle145[[#This Row],[Projektart für Pipeline]]+RAND()*0.9-0.1</f>
        <v>#REF!</v>
      </c>
      <c r="G54" s="29">
        <f>Portfolio_Daten!AG57</f>
        <v>0</v>
      </c>
      <c r="H54" s="32" t="e">
        <f>VLOOKUP(G54,Parameter!$P$4:$Q$9,2,FALSE)</f>
        <v>#N/A</v>
      </c>
      <c r="I54" s="60" t="e">
        <f ca="1">Tabelle145[[#This Row],[Projektphase für Pipeline]]+RAND()*0.9-0.1</f>
        <v>#N/A</v>
      </c>
      <c r="J54" s="33">
        <f>Portfolio_Daten!AI57</f>
        <v>0</v>
      </c>
    </row>
    <row r="55" spans="2:10" ht="21" customHeight="1" x14ac:dyDescent="0.35">
      <c r="B55" s="27" t="e">
        <f>Portfolio_Daten!#REF!</f>
        <v>#REF!</v>
      </c>
      <c r="C55" s="28">
        <f>Portfolio_Daten!E58</f>
        <v>0</v>
      </c>
      <c r="D55" s="28" t="e">
        <f>#REF!</f>
        <v>#REF!</v>
      </c>
      <c r="E55" s="32" t="e">
        <f>VLOOKUP(D55,Parameter!#REF!,2,FALSE)</f>
        <v>#REF!</v>
      </c>
      <c r="F55" s="32" t="e">
        <f ca="1">Tabelle145[[#This Row],[Projektart für Pipeline]]+RAND()*0.9-0.1</f>
        <v>#REF!</v>
      </c>
      <c r="G55" s="29">
        <f>Portfolio_Daten!AG58</f>
        <v>0</v>
      </c>
      <c r="H55" s="32" t="e">
        <f>VLOOKUP(G55,Parameter!$P$4:$Q$9,2,FALSE)</f>
        <v>#N/A</v>
      </c>
      <c r="I55" s="60" t="e">
        <f ca="1">Tabelle145[[#This Row],[Projektphase für Pipeline]]+RAND()*0.9-0.1</f>
        <v>#N/A</v>
      </c>
      <c r="J55" s="33">
        <f>Portfolio_Daten!AI58</f>
        <v>0</v>
      </c>
    </row>
    <row r="56" spans="2:10" ht="21" customHeight="1" x14ac:dyDescent="0.35">
      <c r="B56" s="27" t="e">
        <f>Portfolio_Daten!#REF!</f>
        <v>#REF!</v>
      </c>
      <c r="C56" s="28">
        <f>Portfolio_Daten!E59</f>
        <v>0</v>
      </c>
      <c r="D56" s="28" t="e">
        <f>#REF!</f>
        <v>#REF!</v>
      </c>
      <c r="E56" s="32" t="e">
        <f>VLOOKUP(D56,Parameter!#REF!,2,FALSE)</f>
        <v>#REF!</v>
      </c>
      <c r="F56" s="32" t="e">
        <f ca="1">Tabelle145[[#This Row],[Projektart für Pipeline]]+RAND()*0.9-0.1</f>
        <v>#REF!</v>
      </c>
      <c r="G56" s="29">
        <f>Portfolio_Daten!AG59</f>
        <v>0</v>
      </c>
      <c r="H56" s="32" t="e">
        <f>VLOOKUP(G56,Parameter!$P$4:$Q$9,2,FALSE)</f>
        <v>#N/A</v>
      </c>
      <c r="I56" s="60" t="e">
        <f ca="1">Tabelle145[[#This Row],[Projektphase für Pipeline]]+RAND()*0.9-0.1</f>
        <v>#N/A</v>
      </c>
      <c r="J56" s="33">
        <f>Portfolio_Daten!AI59</f>
        <v>0</v>
      </c>
    </row>
    <row r="57" spans="2:10" ht="21" customHeight="1" x14ac:dyDescent="0.35">
      <c r="B57" s="27" t="e">
        <f>Portfolio_Daten!#REF!</f>
        <v>#REF!</v>
      </c>
      <c r="C57" s="28">
        <f>Portfolio_Daten!E60</f>
        <v>0</v>
      </c>
      <c r="D57" s="28" t="e">
        <f>#REF!</f>
        <v>#REF!</v>
      </c>
      <c r="E57" s="32" t="e">
        <f>VLOOKUP(D57,Parameter!#REF!,2,FALSE)</f>
        <v>#REF!</v>
      </c>
      <c r="F57" s="32" t="e">
        <f ca="1">Tabelle145[[#This Row],[Projektart für Pipeline]]+RAND()*0.9-0.1</f>
        <v>#REF!</v>
      </c>
      <c r="G57" s="29">
        <f>Portfolio_Daten!AG60</f>
        <v>0</v>
      </c>
      <c r="H57" s="32" t="e">
        <f>VLOOKUP(G57,Parameter!$P$4:$Q$9,2,FALSE)</f>
        <v>#N/A</v>
      </c>
      <c r="I57" s="60" t="e">
        <f ca="1">Tabelle145[[#This Row],[Projektphase für Pipeline]]+RAND()*0.9-0.1</f>
        <v>#N/A</v>
      </c>
      <c r="J57" s="33">
        <f>Portfolio_Daten!AI60</f>
        <v>0</v>
      </c>
    </row>
    <row r="58" spans="2:10" ht="21" customHeight="1" x14ac:dyDescent="0.35">
      <c r="B58" s="27" t="e">
        <f>Portfolio_Daten!#REF!</f>
        <v>#REF!</v>
      </c>
      <c r="C58" s="28">
        <f>Portfolio_Daten!E61</f>
        <v>0</v>
      </c>
      <c r="D58" s="28" t="e">
        <f>#REF!</f>
        <v>#REF!</v>
      </c>
      <c r="E58" s="32" t="e">
        <f>VLOOKUP(D58,Parameter!#REF!,2,FALSE)</f>
        <v>#REF!</v>
      </c>
      <c r="F58" s="32" t="e">
        <f ca="1">Tabelle145[[#This Row],[Projektart für Pipeline]]+RAND()*0.9-0.1</f>
        <v>#REF!</v>
      </c>
      <c r="G58" s="29">
        <f>Portfolio_Daten!AG61</f>
        <v>0</v>
      </c>
      <c r="H58" s="32" t="e">
        <f>VLOOKUP(G58,Parameter!$P$4:$Q$9,2,FALSE)</f>
        <v>#N/A</v>
      </c>
      <c r="I58" s="60" t="e">
        <f ca="1">Tabelle145[[#This Row],[Projektphase für Pipeline]]+RAND()*0.9-0.1</f>
        <v>#N/A</v>
      </c>
      <c r="J58" s="33">
        <f>Portfolio_Daten!AI61</f>
        <v>0</v>
      </c>
    </row>
    <row r="59" spans="2:10" ht="21" customHeight="1" x14ac:dyDescent="0.35">
      <c r="B59" s="27" t="e">
        <f>Portfolio_Daten!#REF!</f>
        <v>#REF!</v>
      </c>
      <c r="C59" s="28">
        <f>Portfolio_Daten!E62</f>
        <v>0</v>
      </c>
      <c r="D59" s="28" t="e">
        <f>#REF!</f>
        <v>#REF!</v>
      </c>
      <c r="E59" s="32" t="e">
        <f>VLOOKUP(D59,Parameter!#REF!,2,FALSE)</f>
        <v>#REF!</v>
      </c>
      <c r="F59" s="32" t="e">
        <f ca="1">Tabelle145[[#This Row],[Projektart für Pipeline]]+RAND()*0.9-0.1</f>
        <v>#REF!</v>
      </c>
      <c r="G59" s="29">
        <f>Portfolio_Daten!AG62</f>
        <v>0</v>
      </c>
      <c r="H59" s="32" t="e">
        <f>VLOOKUP(G59,Parameter!$P$4:$Q$9,2,FALSE)</f>
        <v>#N/A</v>
      </c>
      <c r="I59" s="60" t="e">
        <f ca="1">Tabelle145[[#This Row],[Projektphase für Pipeline]]+RAND()*0.9-0.1</f>
        <v>#N/A</v>
      </c>
      <c r="J59" s="33">
        <f>Portfolio_Daten!AI62</f>
        <v>0</v>
      </c>
    </row>
    <row r="60" spans="2:10" ht="21" customHeight="1" x14ac:dyDescent="0.35">
      <c r="B60" s="27" t="e">
        <f>Portfolio_Daten!#REF!</f>
        <v>#REF!</v>
      </c>
      <c r="C60" s="28">
        <f>Portfolio_Daten!E63</f>
        <v>0</v>
      </c>
      <c r="D60" s="28" t="e">
        <f>#REF!</f>
        <v>#REF!</v>
      </c>
      <c r="E60" s="32" t="e">
        <f>VLOOKUP(D60,Parameter!#REF!,2,FALSE)</f>
        <v>#REF!</v>
      </c>
      <c r="F60" s="32" t="e">
        <f ca="1">Tabelle145[[#This Row],[Projektart für Pipeline]]+RAND()*0.9-0.1</f>
        <v>#REF!</v>
      </c>
      <c r="G60" s="29">
        <f>Portfolio_Daten!AG63</f>
        <v>0</v>
      </c>
      <c r="H60" s="32" t="e">
        <f>VLOOKUP(G60,Parameter!$P$4:$Q$9,2,FALSE)</f>
        <v>#N/A</v>
      </c>
      <c r="I60" s="60" t="e">
        <f ca="1">Tabelle145[[#This Row],[Projektphase für Pipeline]]+RAND()*0.9-0.1</f>
        <v>#N/A</v>
      </c>
      <c r="J60" s="33">
        <f>Portfolio_Daten!AI63</f>
        <v>0</v>
      </c>
    </row>
    <row r="61" spans="2:10" ht="21" customHeight="1" x14ac:dyDescent="0.35">
      <c r="B61" s="27" t="e">
        <f>Portfolio_Daten!#REF!</f>
        <v>#REF!</v>
      </c>
      <c r="C61" s="28">
        <f>Portfolio_Daten!E64</f>
        <v>0</v>
      </c>
      <c r="D61" s="28" t="e">
        <f>#REF!</f>
        <v>#REF!</v>
      </c>
      <c r="E61" s="32" t="e">
        <f>VLOOKUP(D61,Parameter!#REF!,2,FALSE)</f>
        <v>#REF!</v>
      </c>
      <c r="F61" s="32" t="e">
        <f ca="1">Tabelle145[[#This Row],[Projektart für Pipeline]]+RAND()*0.9-0.1</f>
        <v>#REF!</v>
      </c>
      <c r="G61" s="29">
        <f>Portfolio_Daten!AG64</f>
        <v>0</v>
      </c>
      <c r="H61" s="32" t="e">
        <f>VLOOKUP(G61,Parameter!$P$4:$Q$9,2,FALSE)</f>
        <v>#N/A</v>
      </c>
      <c r="I61" s="60" t="e">
        <f ca="1">Tabelle145[[#This Row],[Projektphase für Pipeline]]+RAND()*0.9-0.1</f>
        <v>#N/A</v>
      </c>
      <c r="J61" s="33">
        <f>Portfolio_Daten!AI64</f>
        <v>0</v>
      </c>
    </row>
    <row r="62" spans="2:10" ht="21" customHeight="1" x14ac:dyDescent="0.35">
      <c r="B62" s="27" t="e">
        <f>Portfolio_Daten!#REF!</f>
        <v>#REF!</v>
      </c>
      <c r="C62" s="28">
        <f>Portfolio_Daten!E65</f>
        <v>0</v>
      </c>
      <c r="D62" s="28" t="e">
        <f>#REF!</f>
        <v>#REF!</v>
      </c>
      <c r="E62" s="32" t="e">
        <f>VLOOKUP(D62,Parameter!#REF!,2,FALSE)</f>
        <v>#REF!</v>
      </c>
      <c r="F62" s="32" t="e">
        <f ca="1">Tabelle145[[#This Row],[Projektart für Pipeline]]+RAND()*0.9-0.1</f>
        <v>#REF!</v>
      </c>
      <c r="G62" s="29">
        <f>Portfolio_Daten!AG65</f>
        <v>0</v>
      </c>
      <c r="H62" s="32" t="e">
        <f>VLOOKUP(G62,Parameter!$P$4:$Q$9,2,FALSE)</f>
        <v>#N/A</v>
      </c>
      <c r="I62" s="60" t="e">
        <f ca="1">Tabelle145[[#This Row],[Projektphase für Pipeline]]+RAND()*0.9-0.1</f>
        <v>#N/A</v>
      </c>
      <c r="J62" s="33">
        <f>Portfolio_Daten!AI65</f>
        <v>0</v>
      </c>
    </row>
    <row r="63" spans="2:10" ht="21" customHeight="1" x14ac:dyDescent="0.35">
      <c r="B63" s="27" t="e">
        <f>Portfolio_Daten!#REF!</f>
        <v>#REF!</v>
      </c>
      <c r="C63" s="28">
        <f>Portfolio_Daten!E66</f>
        <v>0</v>
      </c>
      <c r="D63" s="28" t="e">
        <f>#REF!</f>
        <v>#REF!</v>
      </c>
      <c r="E63" s="32" t="e">
        <f>VLOOKUP(D63,Parameter!#REF!,2,FALSE)</f>
        <v>#REF!</v>
      </c>
      <c r="F63" s="32" t="e">
        <f ca="1">Tabelle145[[#This Row],[Projektart für Pipeline]]+RAND()*0.9-0.1</f>
        <v>#REF!</v>
      </c>
      <c r="G63" s="29">
        <f>Portfolio_Daten!AG66</f>
        <v>0</v>
      </c>
      <c r="H63" s="32" t="e">
        <f>VLOOKUP(G63,Parameter!$P$4:$Q$9,2,FALSE)</f>
        <v>#N/A</v>
      </c>
      <c r="I63" s="60" t="e">
        <f ca="1">Tabelle145[[#This Row],[Projektphase für Pipeline]]+RAND()*0.9-0.1</f>
        <v>#N/A</v>
      </c>
      <c r="J63" s="33">
        <f>Portfolio_Daten!AI66</f>
        <v>0</v>
      </c>
    </row>
    <row r="64" spans="2:10" ht="21" customHeight="1" x14ac:dyDescent="0.35">
      <c r="B64" s="27" t="e">
        <f>Portfolio_Daten!#REF!</f>
        <v>#REF!</v>
      </c>
      <c r="C64" s="28">
        <f>Portfolio_Daten!E67</f>
        <v>0</v>
      </c>
      <c r="D64" s="28" t="e">
        <f>#REF!</f>
        <v>#REF!</v>
      </c>
      <c r="E64" s="32" t="e">
        <f>VLOOKUP(D64,Parameter!#REF!,2,FALSE)</f>
        <v>#REF!</v>
      </c>
      <c r="F64" s="32" t="e">
        <f ca="1">Tabelle145[[#This Row],[Projektart für Pipeline]]+RAND()*0.9-0.1</f>
        <v>#REF!</v>
      </c>
      <c r="G64" s="29">
        <f>Portfolio_Daten!AG67</f>
        <v>0</v>
      </c>
      <c r="H64" s="32" t="e">
        <f>VLOOKUP(G64,Parameter!$P$4:$Q$9,2,FALSE)</f>
        <v>#N/A</v>
      </c>
      <c r="I64" s="60" t="e">
        <f ca="1">Tabelle145[[#This Row],[Projektphase für Pipeline]]+RAND()*0.9-0.1</f>
        <v>#N/A</v>
      </c>
      <c r="J64" s="33">
        <f>Portfolio_Daten!AI67</f>
        <v>0</v>
      </c>
    </row>
    <row r="65" spans="2:10" ht="21" customHeight="1" x14ac:dyDescent="0.35">
      <c r="B65" s="27" t="e">
        <f>Portfolio_Daten!#REF!</f>
        <v>#REF!</v>
      </c>
      <c r="C65" s="28">
        <f>Portfolio_Daten!E68</f>
        <v>0</v>
      </c>
      <c r="D65" s="28" t="e">
        <f>#REF!</f>
        <v>#REF!</v>
      </c>
      <c r="E65" s="32" t="e">
        <f>VLOOKUP(D65,Parameter!#REF!,2,FALSE)</f>
        <v>#REF!</v>
      </c>
      <c r="F65" s="32" t="e">
        <f ca="1">Tabelle145[[#This Row],[Projektart für Pipeline]]+RAND()*0.9-0.1</f>
        <v>#REF!</v>
      </c>
      <c r="G65" s="29">
        <f>Portfolio_Daten!AG68</f>
        <v>0</v>
      </c>
      <c r="H65" s="32" t="e">
        <f>VLOOKUP(G65,Parameter!$P$4:$Q$9,2,FALSE)</f>
        <v>#N/A</v>
      </c>
      <c r="I65" s="60" t="e">
        <f ca="1">Tabelle145[[#This Row],[Projektphase für Pipeline]]+RAND()*0.9-0.1</f>
        <v>#N/A</v>
      </c>
      <c r="J65" s="33">
        <f>Portfolio_Daten!AI68</f>
        <v>0</v>
      </c>
    </row>
    <row r="66" spans="2:10" ht="21" customHeight="1" x14ac:dyDescent="0.35">
      <c r="B66" s="27" t="e">
        <f>Portfolio_Daten!#REF!</f>
        <v>#REF!</v>
      </c>
      <c r="C66" s="28">
        <f>Portfolio_Daten!E69</f>
        <v>0</v>
      </c>
      <c r="D66" s="28" t="e">
        <f>#REF!</f>
        <v>#REF!</v>
      </c>
      <c r="E66" s="32" t="e">
        <f>VLOOKUP(D66,Parameter!#REF!,2,FALSE)</f>
        <v>#REF!</v>
      </c>
      <c r="F66" s="32" t="e">
        <f ca="1">Tabelle145[[#This Row],[Projektart für Pipeline]]+RAND()*0.9-0.1</f>
        <v>#REF!</v>
      </c>
      <c r="G66" s="29">
        <f>Portfolio_Daten!AG69</f>
        <v>0</v>
      </c>
      <c r="H66" s="32" t="e">
        <f>VLOOKUP(G66,Parameter!$P$4:$Q$9,2,FALSE)</f>
        <v>#N/A</v>
      </c>
      <c r="I66" s="60" t="e">
        <f ca="1">Tabelle145[[#This Row],[Projektphase für Pipeline]]+RAND()*0.9-0.1</f>
        <v>#N/A</v>
      </c>
      <c r="J66" s="33">
        <f>Portfolio_Daten!AI69</f>
        <v>0</v>
      </c>
    </row>
    <row r="67" spans="2:10" ht="21" customHeight="1" x14ac:dyDescent="0.35">
      <c r="B67" s="27" t="e">
        <f>Portfolio_Daten!#REF!</f>
        <v>#REF!</v>
      </c>
      <c r="C67" s="28">
        <f>Portfolio_Daten!E70</f>
        <v>0</v>
      </c>
      <c r="D67" s="28" t="e">
        <f>#REF!</f>
        <v>#REF!</v>
      </c>
      <c r="E67" s="32" t="e">
        <f>VLOOKUP(D67,Parameter!#REF!,2,FALSE)</f>
        <v>#REF!</v>
      </c>
      <c r="F67" s="32" t="e">
        <f ca="1">Tabelle145[[#This Row],[Projektart für Pipeline]]+RAND()*0.9-0.1</f>
        <v>#REF!</v>
      </c>
      <c r="G67" s="29">
        <f>Portfolio_Daten!AG70</f>
        <v>0</v>
      </c>
      <c r="H67" s="32" t="e">
        <f>VLOOKUP(G67,Parameter!$P$4:$Q$9,2,FALSE)</f>
        <v>#N/A</v>
      </c>
      <c r="I67" s="60" t="e">
        <f ca="1">Tabelle145[[#This Row],[Projektphase für Pipeline]]+RAND()*0.9-0.1</f>
        <v>#N/A</v>
      </c>
      <c r="J67" s="33">
        <f>Portfolio_Daten!AI70</f>
        <v>0</v>
      </c>
    </row>
    <row r="68" spans="2:10" ht="21" customHeight="1" x14ac:dyDescent="0.35">
      <c r="B68" s="27" t="e">
        <f>Portfolio_Daten!#REF!</f>
        <v>#REF!</v>
      </c>
      <c r="C68" s="28">
        <f>Portfolio_Daten!E71</f>
        <v>0</v>
      </c>
      <c r="D68" s="28" t="e">
        <f>#REF!</f>
        <v>#REF!</v>
      </c>
      <c r="E68" s="32" t="e">
        <f>VLOOKUP(D68,Parameter!#REF!,2,FALSE)</f>
        <v>#REF!</v>
      </c>
      <c r="F68" s="32" t="e">
        <f ca="1">Tabelle145[[#This Row],[Projektart für Pipeline]]+RAND()*0.9-0.1</f>
        <v>#REF!</v>
      </c>
      <c r="G68" s="29">
        <f>Portfolio_Daten!AG71</f>
        <v>0</v>
      </c>
      <c r="H68" s="32" t="e">
        <f>VLOOKUP(G68,Parameter!$P$4:$Q$9,2,FALSE)</f>
        <v>#N/A</v>
      </c>
      <c r="I68" s="60" t="e">
        <f ca="1">Tabelle145[[#This Row],[Projektphase für Pipeline]]+RAND()*0.9-0.1</f>
        <v>#N/A</v>
      </c>
      <c r="J68" s="33">
        <f>Portfolio_Daten!AI71</f>
        <v>0</v>
      </c>
    </row>
    <row r="69" spans="2:10" ht="21" customHeight="1" x14ac:dyDescent="0.35">
      <c r="B69" s="27" t="e">
        <f>Portfolio_Daten!#REF!</f>
        <v>#REF!</v>
      </c>
      <c r="C69" s="28">
        <f>Portfolio_Daten!E72</f>
        <v>0</v>
      </c>
      <c r="D69" s="28" t="e">
        <f>#REF!</f>
        <v>#REF!</v>
      </c>
      <c r="E69" s="32" t="e">
        <f>VLOOKUP(D69,Parameter!#REF!,2,FALSE)</f>
        <v>#REF!</v>
      </c>
      <c r="F69" s="32" t="e">
        <f ca="1">Tabelle145[[#This Row],[Projektart für Pipeline]]+RAND()*0.9-0.1</f>
        <v>#REF!</v>
      </c>
      <c r="G69" s="29">
        <f>Portfolio_Daten!AG72</f>
        <v>0</v>
      </c>
      <c r="H69" s="32" t="e">
        <f>VLOOKUP(G69,Parameter!$P$4:$Q$9,2,FALSE)</f>
        <v>#N/A</v>
      </c>
      <c r="I69" s="60" t="e">
        <f ca="1">Tabelle145[[#This Row],[Projektphase für Pipeline]]+RAND()*0.9-0.1</f>
        <v>#N/A</v>
      </c>
      <c r="J69" s="33">
        <f>Portfolio_Daten!AI72</f>
        <v>0</v>
      </c>
    </row>
    <row r="70" spans="2:10" ht="21" customHeight="1" x14ac:dyDescent="0.35">
      <c r="B70" s="27" t="e">
        <f>Portfolio_Daten!#REF!</f>
        <v>#REF!</v>
      </c>
      <c r="C70" s="28">
        <f>Portfolio_Daten!E73</f>
        <v>0</v>
      </c>
      <c r="D70" s="28" t="e">
        <f>#REF!</f>
        <v>#REF!</v>
      </c>
      <c r="E70" s="32" t="e">
        <f>VLOOKUP(D70,Parameter!#REF!,2,FALSE)</f>
        <v>#REF!</v>
      </c>
      <c r="F70" s="32" t="e">
        <f ca="1">Tabelle145[[#This Row],[Projektart für Pipeline]]+RAND()*0.9-0.1</f>
        <v>#REF!</v>
      </c>
      <c r="G70" s="29">
        <f>Portfolio_Daten!AG73</f>
        <v>0</v>
      </c>
      <c r="H70" s="32" t="e">
        <f>VLOOKUP(G70,Parameter!$P$4:$Q$9,2,FALSE)</f>
        <v>#N/A</v>
      </c>
      <c r="I70" s="60" t="e">
        <f ca="1">Tabelle145[[#This Row],[Projektphase für Pipeline]]+RAND()*0.9-0.1</f>
        <v>#N/A</v>
      </c>
      <c r="J70" s="33">
        <f>Portfolio_Daten!AI73</f>
        <v>0</v>
      </c>
    </row>
    <row r="71" spans="2:10" ht="21" customHeight="1" x14ac:dyDescent="0.35">
      <c r="B71" s="27" t="e">
        <f>Portfolio_Daten!#REF!</f>
        <v>#REF!</v>
      </c>
      <c r="C71" s="28">
        <f>Portfolio_Daten!E74</f>
        <v>0</v>
      </c>
      <c r="D71" s="28" t="e">
        <f>#REF!</f>
        <v>#REF!</v>
      </c>
      <c r="E71" s="32" t="e">
        <f>VLOOKUP(D71,Parameter!#REF!,2,FALSE)</f>
        <v>#REF!</v>
      </c>
      <c r="F71" s="32" t="e">
        <f ca="1">Tabelle145[[#This Row],[Projektart für Pipeline]]+RAND()*0.9-0.1</f>
        <v>#REF!</v>
      </c>
      <c r="G71" s="29">
        <f>Portfolio_Daten!AG74</f>
        <v>0</v>
      </c>
      <c r="H71" s="32" t="e">
        <f>VLOOKUP(G71,Parameter!$P$4:$Q$9,2,FALSE)</f>
        <v>#N/A</v>
      </c>
      <c r="I71" s="60" t="e">
        <f ca="1">Tabelle145[[#This Row],[Projektphase für Pipeline]]+RAND()*0.9-0.1</f>
        <v>#N/A</v>
      </c>
      <c r="J71" s="33">
        <f>Portfolio_Daten!AI74</f>
        <v>0</v>
      </c>
    </row>
    <row r="72" spans="2:10" ht="21" customHeight="1" x14ac:dyDescent="0.35">
      <c r="B72" s="27" t="e">
        <f>Portfolio_Daten!#REF!</f>
        <v>#REF!</v>
      </c>
      <c r="C72" s="28">
        <f>Portfolio_Daten!E75</f>
        <v>0</v>
      </c>
      <c r="D72" s="28" t="e">
        <f>#REF!</f>
        <v>#REF!</v>
      </c>
      <c r="E72" s="32" t="e">
        <f>VLOOKUP(D72,Parameter!#REF!,2,FALSE)</f>
        <v>#REF!</v>
      </c>
      <c r="F72" s="32" t="e">
        <f ca="1">Tabelle145[[#This Row],[Projektart für Pipeline]]+RAND()*0.9-0.1</f>
        <v>#REF!</v>
      </c>
      <c r="G72" s="29">
        <f>Portfolio_Daten!AG75</f>
        <v>0</v>
      </c>
      <c r="H72" s="32" t="e">
        <f>VLOOKUP(G72,Parameter!$P$4:$Q$9,2,FALSE)</f>
        <v>#N/A</v>
      </c>
      <c r="I72" s="60" t="e">
        <f ca="1">Tabelle145[[#This Row],[Projektphase für Pipeline]]+RAND()*0.9-0.1</f>
        <v>#N/A</v>
      </c>
      <c r="J72" s="33">
        <f>Portfolio_Daten!AI75</f>
        <v>0</v>
      </c>
    </row>
    <row r="73" spans="2:10" ht="21" customHeight="1" x14ac:dyDescent="0.35">
      <c r="B73" s="27" t="e">
        <f>Portfolio_Daten!#REF!</f>
        <v>#REF!</v>
      </c>
      <c r="C73" s="28">
        <f>Portfolio_Daten!E76</f>
        <v>0</v>
      </c>
      <c r="D73" s="28" t="e">
        <f>#REF!</f>
        <v>#REF!</v>
      </c>
      <c r="E73" s="32" t="e">
        <f>VLOOKUP(D73,Parameter!#REF!,2,FALSE)</f>
        <v>#REF!</v>
      </c>
      <c r="F73" s="32" t="e">
        <f ca="1">Tabelle145[[#This Row],[Projektart für Pipeline]]+RAND()*0.9-0.1</f>
        <v>#REF!</v>
      </c>
      <c r="G73" s="29">
        <f>Portfolio_Daten!AG76</f>
        <v>0</v>
      </c>
      <c r="H73" s="32" t="e">
        <f>VLOOKUP(G73,Parameter!$P$4:$Q$9,2,FALSE)</f>
        <v>#N/A</v>
      </c>
      <c r="I73" s="60" t="e">
        <f ca="1">Tabelle145[[#This Row],[Projektphase für Pipeline]]+RAND()*0.9-0.1</f>
        <v>#N/A</v>
      </c>
      <c r="J73" s="33">
        <f>Portfolio_Daten!AI76</f>
        <v>0</v>
      </c>
    </row>
    <row r="74" spans="2:10" ht="21" customHeight="1" x14ac:dyDescent="0.35">
      <c r="B74" s="27" t="e">
        <f>Portfolio_Daten!#REF!</f>
        <v>#REF!</v>
      </c>
      <c r="C74" s="28">
        <f>Portfolio_Daten!E77</f>
        <v>0</v>
      </c>
      <c r="D74" s="28" t="e">
        <f>#REF!</f>
        <v>#REF!</v>
      </c>
      <c r="E74" s="32" t="e">
        <f>VLOOKUP(D74,Parameter!#REF!,2,FALSE)</f>
        <v>#REF!</v>
      </c>
      <c r="F74" s="32" t="e">
        <f ca="1">Tabelle145[[#This Row],[Projektart für Pipeline]]+RAND()*0.9-0.1</f>
        <v>#REF!</v>
      </c>
      <c r="G74" s="29">
        <f>Portfolio_Daten!AG77</f>
        <v>0</v>
      </c>
      <c r="H74" s="32" t="e">
        <f>VLOOKUP(G74,Parameter!$P$4:$Q$9,2,FALSE)</f>
        <v>#N/A</v>
      </c>
      <c r="I74" s="60" t="e">
        <f ca="1">Tabelle145[[#This Row],[Projektphase für Pipeline]]+RAND()*0.9-0.1</f>
        <v>#N/A</v>
      </c>
      <c r="J74" s="33">
        <f>Portfolio_Daten!AI77</f>
        <v>0</v>
      </c>
    </row>
    <row r="75" spans="2:10" ht="21" customHeight="1" x14ac:dyDescent="0.35">
      <c r="B75" s="27" t="e">
        <f>Portfolio_Daten!#REF!</f>
        <v>#REF!</v>
      </c>
      <c r="C75" s="28">
        <f>Portfolio_Daten!E78</f>
        <v>0</v>
      </c>
      <c r="D75" s="28" t="e">
        <f>#REF!</f>
        <v>#REF!</v>
      </c>
      <c r="E75" s="32" t="e">
        <f>VLOOKUP(D75,Parameter!#REF!,2,FALSE)</f>
        <v>#REF!</v>
      </c>
      <c r="F75" s="32" t="e">
        <f ca="1">Tabelle145[[#This Row],[Projektart für Pipeline]]+RAND()*0.9-0.1</f>
        <v>#REF!</v>
      </c>
      <c r="G75" s="29">
        <f>Portfolio_Daten!AG78</f>
        <v>0</v>
      </c>
      <c r="H75" s="32" t="e">
        <f>VLOOKUP(G75,Parameter!$P$4:$Q$9,2,FALSE)</f>
        <v>#N/A</v>
      </c>
      <c r="I75" s="60" t="e">
        <f ca="1">Tabelle145[[#This Row],[Projektphase für Pipeline]]+RAND()*0.9-0.1</f>
        <v>#N/A</v>
      </c>
      <c r="J75" s="33">
        <f>Portfolio_Daten!AI78</f>
        <v>0</v>
      </c>
    </row>
    <row r="76" spans="2:10" ht="21" customHeight="1" x14ac:dyDescent="0.35">
      <c r="B76" s="27" t="e">
        <f>Portfolio_Daten!#REF!</f>
        <v>#REF!</v>
      </c>
      <c r="C76" s="28">
        <f>Portfolio_Daten!E79</f>
        <v>0</v>
      </c>
      <c r="D76" s="28" t="e">
        <f>#REF!</f>
        <v>#REF!</v>
      </c>
      <c r="E76" s="32" t="e">
        <f>VLOOKUP(D76,Parameter!#REF!,2,FALSE)</f>
        <v>#REF!</v>
      </c>
      <c r="F76" s="32" t="e">
        <f ca="1">Tabelle145[[#This Row],[Projektart für Pipeline]]+RAND()*0.9-0.1</f>
        <v>#REF!</v>
      </c>
      <c r="G76" s="29">
        <f>Portfolio_Daten!AG79</f>
        <v>0</v>
      </c>
      <c r="H76" s="32" t="e">
        <f>VLOOKUP(G76,Parameter!$P$4:$Q$9,2,FALSE)</f>
        <v>#N/A</v>
      </c>
      <c r="I76" s="60" t="e">
        <f ca="1">Tabelle145[[#This Row],[Projektphase für Pipeline]]+RAND()*0.9-0.1</f>
        <v>#N/A</v>
      </c>
      <c r="J76" s="33">
        <f>Portfolio_Daten!AI79</f>
        <v>0</v>
      </c>
    </row>
    <row r="77" spans="2:10" ht="21" customHeight="1" x14ac:dyDescent="0.35">
      <c r="B77" s="27" t="e">
        <f>Portfolio_Daten!#REF!</f>
        <v>#REF!</v>
      </c>
      <c r="C77" s="28">
        <f>Portfolio_Daten!E80</f>
        <v>0</v>
      </c>
      <c r="D77" s="28" t="e">
        <f>#REF!</f>
        <v>#REF!</v>
      </c>
      <c r="E77" s="32" t="e">
        <f>VLOOKUP(D77,Parameter!#REF!,2,FALSE)</f>
        <v>#REF!</v>
      </c>
      <c r="F77" s="32" t="e">
        <f ca="1">Tabelle145[[#This Row],[Projektart für Pipeline]]+RAND()*0.9-0.1</f>
        <v>#REF!</v>
      </c>
      <c r="G77" s="29">
        <f>Portfolio_Daten!AG80</f>
        <v>0</v>
      </c>
      <c r="H77" s="32" t="e">
        <f>VLOOKUP(G77,Parameter!$P$4:$Q$9,2,FALSE)</f>
        <v>#N/A</v>
      </c>
      <c r="I77" s="60" t="e">
        <f ca="1">Tabelle145[[#This Row],[Projektphase für Pipeline]]+RAND()*0.9-0.1</f>
        <v>#N/A</v>
      </c>
      <c r="J77" s="33">
        <f>Portfolio_Daten!AI80</f>
        <v>0</v>
      </c>
    </row>
    <row r="78" spans="2:10" ht="21" customHeight="1" x14ac:dyDescent="0.35">
      <c r="B78" s="27" t="e">
        <f>Portfolio_Daten!#REF!</f>
        <v>#REF!</v>
      </c>
      <c r="C78" s="28">
        <f>Portfolio_Daten!E81</f>
        <v>0</v>
      </c>
      <c r="D78" s="28" t="e">
        <f>#REF!</f>
        <v>#REF!</v>
      </c>
      <c r="E78" s="32" t="e">
        <f>VLOOKUP(D78,Parameter!#REF!,2,FALSE)</f>
        <v>#REF!</v>
      </c>
      <c r="F78" s="32" t="e">
        <f ca="1">Tabelle145[[#This Row],[Projektart für Pipeline]]+RAND()*0.9-0.1</f>
        <v>#REF!</v>
      </c>
      <c r="G78" s="29">
        <f>Portfolio_Daten!AG81</f>
        <v>0</v>
      </c>
      <c r="H78" s="32" t="e">
        <f>VLOOKUP(G78,Parameter!$P$4:$Q$9,2,FALSE)</f>
        <v>#N/A</v>
      </c>
      <c r="I78" s="60" t="e">
        <f ca="1">Tabelle145[[#This Row],[Projektphase für Pipeline]]+RAND()*0.9-0.1</f>
        <v>#N/A</v>
      </c>
      <c r="J78" s="33">
        <f>Portfolio_Daten!AI81</f>
        <v>0</v>
      </c>
    </row>
    <row r="79" spans="2:10" ht="21" customHeight="1" x14ac:dyDescent="0.35">
      <c r="B79" s="27" t="e">
        <f>Portfolio_Daten!#REF!</f>
        <v>#REF!</v>
      </c>
      <c r="C79" s="28">
        <f>Portfolio_Daten!E82</f>
        <v>0</v>
      </c>
      <c r="D79" s="28" t="e">
        <f>#REF!</f>
        <v>#REF!</v>
      </c>
      <c r="E79" s="32" t="e">
        <f>VLOOKUP(D79,Parameter!#REF!,2,FALSE)</f>
        <v>#REF!</v>
      </c>
      <c r="F79" s="32" t="e">
        <f ca="1">Tabelle145[[#This Row],[Projektart für Pipeline]]+RAND()*0.9-0.1</f>
        <v>#REF!</v>
      </c>
      <c r="G79" s="29">
        <f>Portfolio_Daten!AG82</f>
        <v>0</v>
      </c>
      <c r="H79" s="32" t="e">
        <f>VLOOKUP(G79,Parameter!$P$4:$Q$9,2,FALSE)</f>
        <v>#N/A</v>
      </c>
      <c r="I79" s="60" t="e">
        <f ca="1">Tabelle145[[#This Row],[Projektphase für Pipeline]]+RAND()*0.9-0.1</f>
        <v>#N/A</v>
      </c>
      <c r="J79" s="33">
        <f>Portfolio_Daten!AI82</f>
        <v>0</v>
      </c>
    </row>
    <row r="80" spans="2:10" ht="21" customHeight="1" x14ac:dyDescent="0.35">
      <c r="B80" s="27" t="e">
        <f>Portfolio_Daten!#REF!</f>
        <v>#REF!</v>
      </c>
      <c r="C80" s="28">
        <f>Portfolio_Daten!E83</f>
        <v>0</v>
      </c>
      <c r="D80" s="28" t="e">
        <f>#REF!</f>
        <v>#REF!</v>
      </c>
      <c r="E80" s="32" t="e">
        <f>VLOOKUP(D80,Parameter!#REF!,2,FALSE)</f>
        <v>#REF!</v>
      </c>
      <c r="F80" s="32" t="e">
        <f ca="1">Tabelle145[[#This Row],[Projektart für Pipeline]]+RAND()*0.9-0.1</f>
        <v>#REF!</v>
      </c>
      <c r="G80" s="29">
        <f>Portfolio_Daten!AG83</f>
        <v>0</v>
      </c>
      <c r="H80" s="32" t="e">
        <f>VLOOKUP(G80,Parameter!$P$4:$Q$9,2,FALSE)</f>
        <v>#N/A</v>
      </c>
      <c r="I80" s="60" t="e">
        <f ca="1">Tabelle145[[#This Row],[Projektphase für Pipeline]]+RAND()*0.9-0.1</f>
        <v>#N/A</v>
      </c>
      <c r="J80" s="33">
        <f>Portfolio_Daten!AI83</f>
        <v>0</v>
      </c>
    </row>
    <row r="81" spans="2:10" ht="21" customHeight="1" x14ac:dyDescent="0.35">
      <c r="B81" s="27" t="e">
        <f>Portfolio_Daten!#REF!</f>
        <v>#REF!</v>
      </c>
      <c r="C81" s="28">
        <f>Portfolio_Daten!E84</f>
        <v>0</v>
      </c>
      <c r="D81" s="28" t="e">
        <f>#REF!</f>
        <v>#REF!</v>
      </c>
      <c r="E81" s="32" t="e">
        <f>VLOOKUP(D81,Parameter!#REF!,2,FALSE)</f>
        <v>#REF!</v>
      </c>
      <c r="F81" s="32" t="e">
        <f ca="1">Tabelle145[[#This Row],[Projektart für Pipeline]]+RAND()*0.9-0.1</f>
        <v>#REF!</v>
      </c>
      <c r="G81" s="29">
        <f>Portfolio_Daten!AG84</f>
        <v>0</v>
      </c>
      <c r="H81" s="32" t="e">
        <f>VLOOKUP(G81,Parameter!$P$4:$Q$9,2,FALSE)</f>
        <v>#N/A</v>
      </c>
      <c r="I81" s="60" t="e">
        <f ca="1">Tabelle145[[#This Row],[Projektphase für Pipeline]]+RAND()*0.9-0.1</f>
        <v>#N/A</v>
      </c>
      <c r="J81" s="33">
        <f>Portfolio_Daten!AI84</f>
        <v>0</v>
      </c>
    </row>
    <row r="82" spans="2:10" ht="21" customHeight="1" x14ac:dyDescent="0.35">
      <c r="B82" s="27" t="e">
        <f>Portfolio_Daten!#REF!</f>
        <v>#REF!</v>
      </c>
      <c r="C82" s="28">
        <f>Portfolio_Daten!E85</f>
        <v>0</v>
      </c>
      <c r="D82" s="28" t="e">
        <f>#REF!</f>
        <v>#REF!</v>
      </c>
      <c r="E82" s="32" t="e">
        <f>VLOOKUP(D82,Parameter!#REF!,2,FALSE)</f>
        <v>#REF!</v>
      </c>
      <c r="F82" s="32" t="e">
        <f ca="1">Tabelle145[[#This Row],[Projektart für Pipeline]]+RAND()*0.9-0.1</f>
        <v>#REF!</v>
      </c>
      <c r="G82" s="29">
        <f>Portfolio_Daten!AG85</f>
        <v>0</v>
      </c>
      <c r="H82" s="32" t="e">
        <f>VLOOKUP(G82,Parameter!$P$4:$Q$9,2,FALSE)</f>
        <v>#N/A</v>
      </c>
      <c r="I82" s="60" t="e">
        <f ca="1">Tabelle145[[#This Row],[Projektphase für Pipeline]]+RAND()*0.9-0.1</f>
        <v>#N/A</v>
      </c>
      <c r="J82" s="33">
        <f>Portfolio_Daten!AI85</f>
        <v>0</v>
      </c>
    </row>
    <row r="83" spans="2:10" ht="21" customHeight="1" x14ac:dyDescent="0.35">
      <c r="B83" s="27" t="e">
        <f>Portfolio_Daten!#REF!</f>
        <v>#REF!</v>
      </c>
      <c r="C83" s="28">
        <f>Portfolio_Daten!E86</f>
        <v>0</v>
      </c>
      <c r="D83" s="28" t="e">
        <f>#REF!</f>
        <v>#REF!</v>
      </c>
      <c r="E83" s="32" t="e">
        <f>VLOOKUP(D83,Parameter!#REF!,2,FALSE)</f>
        <v>#REF!</v>
      </c>
      <c r="F83" s="32" t="e">
        <f ca="1">Tabelle145[[#This Row],[Projektart für Pipeline]]+RAND()*0.9-0.1</f>
        <v>#REF!</v>
      </c>
      <c r="G83" s="29">
        <f>Portfolio_Daten!AG86</f>
        <v>0</v>
      </c>
      <c r="H83" s="32" t="e">
        <f>VLOOKUP(G83,Parameter!$P$4:$Q$9,2,FALSE)</f>
        <v>#N/A</v>
      </c>
      <c r="I83" s="60" t="e">
        <f ca="1">Tabelle145[[#This Row],[Projektphase für Pipeline]]+RAND()*0.9-0.1</f>
        <v>#N/A</v>
      </c>
      <c r="J83" s="33">
        <f>Portfolio_Daten!AI86</f>
        <v>0</v>
      </c>
    </row>
    <row r="84" spans="2:10" ht="21" customHeight="1" x14ac:dyDescent="0.35">
      <c r="B84" s="27" t="e">
        <f>Portfolio_Daten!#REF!</f>
        <v>#REF!</v>
      </c>
      <c r="C84" s="28">
        <f>Portfolio_Daten!E87</f>
        <v>0</v>
      </c>
      <c r="D84" s="28" t="e">
        <f>#REF!</f>
        <v>#REF!</v>
      </c>
      <c r="E84" s="32" t="e">
        <f>VLOOKUP(D84,Parameter!#REF!,2,FALSE)</f>
        <v>#REF!</v>
      </c>
      <c r="F84" s="32" t="e">
        <f ca="1">Tabelle145[[#This Row],[Projektart für Pipeline]]+RAND()*0.9-0.1</f>
        <v>#REF!</v>
      </c>
      <c r="G84" s="29">
        <f>Portfolio_Daten!AG87</f>
        <v>0</v>
      </c>
      <c r="H84" s="32" t="e">
        <f>VLOOKUP(G84,Parameter!$P$4:$Q$9,2,FALSE)</f>
        <v>#N/A</v>
      </c>
      <c r="I84" s="60" t="e">
        <f ca="1">Tabelle145[[#This Row],[Projektphase für Pipeline]]+RAND()*0.9-0.1</f>
        <v>#N/A</v>
      </c>
      <c r="J84" s="33">
        <f>Portfolio_Daten!AI87</f>
        <v>0</v>
      </c>
    </row>
    <row r="85" spans="2:10" ht="21" customHeight="1" x14ac:dyDescent="0.35">
      <c r="B85" s="27" t="e">
        <f>Portfolio_Daten!#REF!</f>
        <v>#REF!</v>
      </c>
      <c r="C85" s="28">
        <f>Portfolio_Daten!E88</f>
        <v>0</v>
      </c>
      <c r="D85" s="28" t="e">
        <f>#REF!</f>
        <v>#REF!</v>
      </c>
      <c r="E85" s="32" t="e">
        <f>VLOOKUP(D85,Parameter!#REF!,2,FALSE)</f>
        <v>#REF!</v>
      </c>
      <c r="F85" s="32" t="e">
        <f ca="1">Tabelle145[[#This Row],[Projektart für Pipeline]]+RAND()*0.9-0.1</f>
        <v>#REF!</v>
      </c>
      <c r="G85" s="29">
        <f>Portfolio_Daten!AG88</f>
        <v>0</v>
      </c>
      <c r="H85" s="32" t="e">
        <f>VLOOKUP(G85,Parameter!$P$4:$Q$9,2,FALSE)</f>
        <v>#N/A</v>
      </c>
      <c r="I85" s="60" t="e">
        <f ca="1">Tabelle145[[#This Row],[Projektphase für Pipeline]]+RAND()*0.9-0.1</f>
        <v>#N/A</v>
      </c>
      <c r="J85" s="33">
        <f>Portfolio_Daten!AI88</f>
        <v>0</v>
      </c>
    </row>
    <row r="86" spans="2:10" ht="21" customHeight="1" x14ac:dyDescent="0.35">
      <c r="B86" s="27" t="e">
        <f>Portfolio_Daten!#REF!</f>
        <v>#REF!</v>
      </c>
      <c r="C86" s="28">
        <f>Portfolio_Daten!E89</f>
        <v>0</v>
      </c>
      <c r="D86" s="28" t="e">
        <f>#REF!</f>
        <v>#REF!</v>
      </c>
      <c r="E86" s="32" t="e">
        <f>VLOOKUP(D86,Parameter!#REF!,2,FALSE)</f>
        <v>#REF!</v>
      </c>
      <c r="F86" s="32" t="e">
        <f ca="1">Tabelle145[[#This Row],[Projektart für Pipeline]]+RAND()*0.9-0.1</f>
        <v>#REF!</v>
      </c>
      <c r="G86" s="29">
        <f>Portfolio_Daten!AG89</f>
        <v>0</v>
      </c>
      <c r="H86" s="32" t="e">
        <f>VLOOKUP(G86,Parameter!$P$4:$Q$9,2,FALSE)</f>
        <v>#N/A</v>
      </c>
      <c r="I86" s="60" t="e">
        <f ca="1">Tabelle145[[#This Row],[Projektphase für Pipeline]]+RAND()*0.9-0.1</f>
        <v>#N/A</v>
      </c>
      <c r="J86" s="33">
        <f>Portfolio_Daten!AI89</f>
        <v>0</v>
      </c>
    </row>
    <row r="87" spans="2:10" ht="21" customHeight="1" x14ac:dyDescent="0.35">
      <c r="B87" s="27" t="e">
        <f>Portfolio_Daten!#REF!</f>
        <v>#REF!</v>
      </c>
      <c r="C87" s="28">
        <f>Portfolio_Daten!E90</f>
        <v>0</v>
      </c>
      <c r="D87" s="28" t="e">
        <f>#REF!</f>
        <v>#REF!</v>
      </c>
      <c r="E87" s="32" t="e">
        <f>VLOOKUP(D87,Parameter!#REF!,2,FALSE)</f>
        <v>#REF!</v>
      </c>
      <c r="F87" s="32" t="e">
        <f ca="1">Tabelle145[[#This Row],[Projektart für Pipeline]]+RAND()*0.9-0.1</f>
        <v>#REF!</v>
      </c>
      <c r="G87" s="29">
        <f>Portfolio_Daten!AG90</f>
        <v>0</v>
      </c>
      <c r="H87" s="32" t="e">
        <f>VLOOKUP(G87,Parameter!$P$4:$Q$9,2,FALSE)</f>
        <v>#N/A</v>
      </c>
      <c r="I87" s="60" t="e">
        <f ca="1">Tabelle145[[#This Row],[Projektphase für Pipeline]]+RAND()*0.9-0.1</f>
        <v>#N/A</v>
      </c>
      <c r="J87" s="33">
        <f>Portfolio_Daten!AI90</f>
        <v>0</v>
      </c>
    </row>
    <row r="88" spans="2:10" ht="21" customHeight="1" x14ac:dyDescent="0.35">
      <c r="B88" s="27" t="e">
        <f>Portfolio_Daten!#REF!</f>
        <v>#REF!</v>
      </c>
      <c r="C88" s="28">
        <f>Portfolio_Daten!E91</f>
        <v>0</v>
      </c>
      <c r="D88" s="28" t="e">
        <f>#REF!</f>
        <v>#REF!</v>
      </c>
      <c r="E88" s="32" t="e">
        <f>VLOOKUP(D88,Parameter!#REF!,2,FALSE)</f>
        <v>#REF!</v>
      </c>
      <c r="F88" s="32" t="e">
        <f ca="1">Tabelle145[[#This Row],[Projektart für Pipeline]]+RAND()*0.9-0.1</f>
        <v>#REF!</v>
      </c>
      <c r="G88" s="29">
        <f>Portfolio_Daten!AG91</f>
        <v>0</v>
      </c>
      <c r="H88" s="32" t="e">
        <f>VLOOKUP(G88,Parameter!$P$4:$Q$9,2,FALSE)</f>
        <v>#N/A</v>
      </c>
      <c r="I88" s="60" t="e">
        <f ca="1">Tabelle145[[#This Row],[Projektphase für Pipeline]]+RAND()*0.9-0.1</f>
        <v>#N/A</v>
      </c>
      <c r="J88" s="33">
        <f>Portfolio_Daten!AI91</f>
        <v>0</v>
      </c>
    </row>
    <row r="89" spans="2:10" ht="21" customHeight="1" x14ac:dyDescent="0.35">
      <c r="B89" s="27" t="e">
        <f>Portfolio_Daten!#REF!</f>
        <v>#REF!</v>
      </c>
      <c r="C89" s="28">
        <f>Portfolio_Daten!E92</f>
        <v>0</v>
      </c>
      <c r="D89" s="28" t="e">
        <f>#REF!</f>
        <v>#REF!</v>
      </c>
      <c r="E89" s="32" t="e">
        <f>VLOOKUP(D89,Parameter!#REF!,2,FALSE)</f>
        <v>#REF!</v>
      </c>
      <c r="F89" s="32" t="e">
        <f ca="1">Tabelle145[[#This Row],[Projektart für Pipeline]]+RAND()*0.9-0.1</f>
        <v>#REF!</v>
      </c>
      <c r="G89" s="29">
        <f>Portfolio_Daten!AG92</f>
        <v>0</v>
      </c>
      <c r="H89" s="32" t="e">
        <f>VLOOKUP(G89,Parameter!$P$4:$Q$9,2,FALSE)</f>
        <v>#N/A</v>
      </c>
      <c r="I89" s="60" t="e">
        <f ca="1">Tabelle145[[#This Row],[Projektphase für Pipeline]]+RAND()*0.9-0.1</f>
        <v>#N/A</v>
      </c>
      <c r="J89" s="33">
        <f>Portfolio_Daten!AI92</f>
        <v>0</v>
      </c>
    </row>
    <row r="90" spans="2:10" ht="21" customHeight="1" x14ac:dyDescent="0.35">
      <c r="B90" s="27" t="e">
        <f>Portfolio_Daten!#REF!</f>
        <v>#REF!</v>
      </c>
      <c r="C90" s="28">
        <f>Portfolio_Daten!E93</f>
        <v>0</v>
      </c>
      <c r="D90" s="28" t="e">
        <f>#REF!</f>
        <v>#REF!</v>
      </c>
      <c r="E90" s="32" t="e">
        <f>VLOOKUP(D90,Parameter!#REF!,2,FALSE)</f>
        <v>#REF!</v>
      </c>
      <c r="F90" s="32" t="e">
        <f ca="1">Tabelle145[[#This Row],[Projektart für Pipeline]]+RAND()*0.9-0.1</f>
        <v>#REF!</v>
      </c>
      <c r="G90" s="29">
        <f>Portfolio_Daten!AG93</f>
        <v>0</v>
      </c>
      <c r="H90" s="32" t="e">
        <f>VLOOKUP(G90,Parameter!$P$4:$Q$9,2,FALSE)</f>
        <v>#N/A</v>
      </c>
      <c r="I90" s="60" t="e">
        <f ca="1">Tabelle145[[#This Row],[Projektphase für Pipeline]]+RAND()*0.9-0.1</f>
        <v>#N/A</v>
      </c>
      <c r="J90" s="33">
        <f>Portfolio_Daten!AI93</f>
        <v>0</v>
      </c>
    </row>
    <row r="91" spans="2:10" ht="21" customHeight="1" x14ac:dyDescent="0.35">
      <c r="B91" s="27" t="e">
        <f>Portfolio_Daten!#REF!</f>
        <v>#REF!</v>
      </c>
      <c r="C91" s="28">
        <f>Portfolio_Daten!E94</f>
        <v>0</v>
      </c>
      <c r="D91" s="28" t="e">
        <f>#REF!</f>
        <v>#REF!</v>
      </c>
      <c r="E91" s="32" t="e">
        <f>VLOOKUP(D91,Parameter!#REF!,2,FALSE)</f>
        <v>#REF!</v>
      </c>
      <c r="F91" s="32" t="e">
        <f ca="1">Tabelle145[[#This Row],[Projektart für Pipeline]]+RAND()*0.9-0.1</f>
        <v>#REF!</v>
      </c>
      <c r="G91" s="29">
        <f>Portfolio_Daten!AG94</f>
        <v>0</v>
      </c>
      <c r="H91" s="32" t="e">
        <f>VLOOKUP(G91,Parameter!$P$4:$Q$9,2,FALSE)</f>
        <v>#N/A</v>
      </c>
      <c r="I91" s="60" t="e">
        <f ca="1">Tabelle145[[#This Row],[Projektphase für Pipeline]]+RAND()*0.9-0.1</f>
        <v>#N/A</v>
      </c>
      <c r="J91" s="33">
        <f>Portfolio_Daten!AI94</f>
        <v>0</v>
      </c>
    </row>
    <row r="92" spans="2:10" ht="21" customHeight="1" x14ac:dyDescent="0.35">
      <c r="B92" s="27" t="e">
        <f>Portfolio_Daten!#REF!</f>
        <v>#REF!</v>
      </c>
      <c r="C92" s="28">
        <f>Portfolio_Daten!E95</f>
        <v>0</v>
      </c>
      <c r="D92" s="28" t="e">
        <f>#REF!</f>
        <v>#REF!</v>
      </c>
      <c r="E92" s="32" t="e">
        <f>VLOOKUP(D92,Parameter!#REF!,2,FALSE)</f>
        <v>#REF!</v>
      </c>
      <c r="F92" s="32" t="e">
        <f ca="1">Tabelle145[[#This Row],[Projektart für Pipeline]]+RAND()*0.9-0.1</f>
        <v>#REF!</v>
      </c>
      <c r="G92" s="29">
        <f>Portfolio_Daten!AG95</f>
        <v>0</v>
      </c>
      <c r="H92" s="32" t="e">
        <f>VLOOKUP(G92,Parameter!$P$4:$Q$9,2,FALSE)</f>
        <v>#N/A</v>
      </c>
      <c r="I92" s="60" t="e">
        <f ca="1">Tabelle145[[#This Row],[Projektphase für Pipeline]]+RAND()*0.9-0.1</f>
        <v>#N/A</v>
      </c>
      <c r="J92" s="33">
        <f>Portfolio_Daten!AI95</f>
        <v>0</v>
      </c>
    </row>
    <row r="93" spans="2:10" ht="21" customHeight="1" x14ac:dyDescent="0.35">
      <c r="B93" s="27" t="e">
        <f>Portfolio_Daten!#REF!</f>
        <v>#REF!</v>
      </c>
      <c r="C93" s="28">
        <f>Portfolio_Daten!E96</f>
        <v>0</v>
      </c>
      <c r="D93" s="28" t="e">
        <f>#REF!</f>
        <v>#REF!</v>
      </c>
      <c r="E93" s="32" t="e">
        <f>VLOOKUP(D93,Parameter!#REF!,2,FALSE)</f>
        <v>#REF!</v>
      </c>
      <c r="F93" s="32" t="e">
        <f ca="1">Tabelle145[[#This Row],[Projektart für Pipeline]]+RAND()*0.9-0.1</f>
        <v>#REF!</v>
      </c>
      <c r="G93" s="29">
        <f>Portfolio_Daten!AG96</f>
        <v>0</v>
      </c>
      <c r="H93" s="32" t="e">
        <f>VLOOKUP(G93,Parameter!$P$4:$Q$9,2,FALSE)</f>
        <v>#N/A</v>
      </c>
      <c r="I93" s="60" t="e">
        <f ca="1">Tabelle145[[#This Row],[Projektphase für Pipeline]]+RAND()*0.9-0.1</f>
        <v>#N/A</v>
      </c>
      <c r="J93" s="33">
        <f>Portfolio_Daten!AI96</f>
        <v>0</v>
      </c>
    </row>
    <row r="94" spans="2:10" ht="21" customHeight="1" x14ac:dyDescent="0.35">
      <c r="B94" s="27" t="e">
        <f>Portfolio_Daten!#REF!</f>
        <v>#REF!</v>
      </c>
      <c r="C94" s="28">
        <f>Portfolio_Daten!E97</f>
        <v>0</v>
      </c>
      <c r="D94" s="28" t="e">
        <f>#REF!</f>
        <v>#REF!</v>
      </c>
      <c r="E94" s="32" t="e">
        <f>VLOOKUP(D94,Parameter!#REF!,2,FALSE)</f>
        <v>#REF!</v>
      </c>
      <c r="F94" s="32" t="e">
        <f ca="1">Tabelle145[[#This Row],[Projektart für Pipeline]]+RAND()*0.9-0.1</f>
        <v>#REF!</v>
      </c>
      <c r="G94" s="29">
        <f>Portfolio_Daten!AG97</f>
        <v>0</v>
      </c>
      <c r="H94" s="32" t="e">
        <f>VLOOKUP(G94,Parameter!$P$4:$Q$9,2,FALSE)</f>
        <v>#N/A</v>
      </c>
      <c r="I94" s="60" t="e">
        <f ca="1">Tabelle145[[#This Row],[Projektphase für Pipeline]]+RAND()*0.9-0.1</f>
        <v>#N/A</v>
      </c>
      <c r="J94" s="33">
        <f>Portfolio_Daten!AI97</f>
        <v>0</v>
      </c>
    </row>
    <row r="95" spans="2:10" ht="21" customHeight="1" x14ac:dyDescent="0.35">
      <c r="B95" s="27" t="e">
        <f>Portfolio_Daten!#REF!</f>
        <v>#REF!</v>
      </c>
      <c r="C95" s="28">
        <f>Portfolio_Daten!E98</f>
        <v>0</v>
      </c>
      <c r="D95" s="28" t="e">
        <f>#REF!</f>
        <v>#REF!</v>
      </c>
      <c r="E95" s="32" t="e">
        <f>VLOOKUP(D95,Parameter!#REF!,2,FALSE)</f>
        <v>#REF!</v>
      </c>
      <c r="F95" s="32" t="e">
        <f ca="1">Tabelle145[[#This Row],[Projektart für Pipeline]]+RAND()*0.9-0.1</f>
        <v>#REF!</v>
      </c>
      <c r="G95" s="29">
        <f>Portfolio_Daten!AG98</f>
        <v>0</v>
      </c>
      <c r="H95" s="32" t="e">
        <f>VLOOKUP(G95,Parameter!$P$4:$Q$9,2,FALSE)</f>
        <v>#N/A</v>
      </c>
      <c r="I95" s="60" t="e">
        <f ca="1">Tabelle145[[#This Row],[Projektphase für Pipeline]]+RAND()*0.9-0.1</f>
        <v>#N/A</v>
      </c>
      <c r="J95" s="33">
        <f>Portfolio_Daten!AI98</f>
        <v>0</v>
      </c>
    </row>
    <row r="96" spans="2:10" ht="21" customHeight="1" x14ac:dyDescent="0.35">
      <c r="B96" s="27" t="e">
        <f>Portfolio_Daten!#REF!</f>
        <v>#REF!</v>
      </c>
      <c r="C96" s="28">
        <f>Portfolio_Daten!E99</f>
        <v>0</v>
      </c>
      <c r="D96" s="28" t="e">
        <f>#REF!</f>
        <v>#REF!</v>
      </c>
      <c r="E96" s="32" t="e">
        <f>VLOOKUP(D96,Parameter!#REF!,2,FALSE)</f>
        <v>#REF!</v>
      </c>
      <c r="F96" s="32" t="e">
        <f ca="1">Tabelle145[[#This Row],[Projektart für Pipeline]]+RAND()*0.9-0.1</f>
        <v>#REF!</v>
      </c>
      <c r="G96" s="29">
        <f>Portfolio_Daten!AG99</f>
        <v>0</v>
      </c>
      <c r="H96" s="32" t="e">
        <f>VLOOKUP(G96,Parameter!$P$4:$Q$9,2,FALSE)</f>
        <v>#N/A</v>
      </c>
      <c r="I96" s="60" t="e">
        <f ca="1">Tabelle145[[#This Row],[Projektphase für Pipeline]]+RAND()*0.9-0.1</f>
        <v>#N/A</v>
      </c>
      <c r="J96" s="33">
        <f>Portfolio_Daten!AI99</f>
        <v>0</v>
      </c>
    </row>
    <row r="97" spans="2:10" ht="21" customHeight="1" x14ac:dyDescent="0.35">
      <c r="B97" s="27" t="e">
        <f>Portfolio_Daten!#REF!</f>
        <v>#REF!</v>
      </c>
      <c r="C97" s="28">
        <f>Portfolio_Daten!E100</f>
        <v>0</v>
      </c>
      <c r="D97" s="28" t="e">
        <f>#REF!</f>
        <v>#REF!</v>
      </c>
      <c r="E97" s="32" t="e">
        <f>VLOOKUP(D97,Parameter!#REF!,2,FALSE)</f>
        <v>#REF!</v>
      </c>
      <c r="F97" s="32" t="e">
        <f ca="1">Tabelle145[[#This Row],[Projektart für Pipeline]]+RAND()*0.9-0.1</f>
        <v>#REF!</v>
      </c>
      <c r="G97" s="29">
        <f>Portfolio_Daten!AG100</f>
        <v>0</v>
      </c>
      <c r="H97" s="32" t="e">
        <f>VLOOKUP(G97,Parameter!$P$4:$Q$9,2,FALSE)</f>
        <v>#N/A</v>
      </c>
      <c r="I97" s="60" t="e">
        <f ca="1">Tabelle145[[#This Row],[Projektphase für Pipeline]]+RAND()*0.9-0.1</f>
        <v>#N/A</v>
      </c>
      <c r="J97" s="33">
        <f>Portfolio_Daten!AI100</f>
        <v>0</v>
      </c>
    </row>
    <row r="98" spans="2:10" ht="21" customHeight="1" x14ac:dyDescent="0.35">
      <c r="B98" s="27" t="e">
        <f>Portfolio_Daten!#REF!</f>
        <v>#REF!</v>
      </c>
      <c r="C98" s="28">
        <f>Portfolio_Daten!E101</f>
        <v>0</v>
      </c>
      <c r="D98" s="28" t="e">
        <f>#REF!</f>
        <v>#REF!</v>
      </c>
      <c r="E98" s="32" t="e">
        <f>VLOOKUP(D98,Parameter!#REF!,2,FALSE)</f>
        <v>#REF!</v>
      </c>
      <c r="F98" s="32" t="e">
        <f ca="1">Tabelle145[[#This Row],[Projektart für Pipeline]]+RAND()*0.9-0.1</f>
        <v>#REF!</v>
      </c>
      <c r="G98" s="29">
        <f>Portfolio_Daten!AG101</f>
        <v>0</v>
      </c>
      <c r="H98" s="32" t="e">
        <f>VLOOKUP(G98,Parameter!$P$4:$Q$9,2,FALSE)</f>
        <v>#N/A</v>
      </c>
      <c r="I98" s="60" t="e">
        <f ca="1">Tabelle145[[#This Row],[Projektphase für Pipeline]]+RAND()*0.9-0.1</f>
        <v>#N/A</v>
      </c>
      <c r="J98" s="33">
        <f>Portfolio_Daten!AI101</f>
        <v>0</v>
      </c>
    </row>
    <row r="99" spans="2:10" ht="21" customHeight="1" x14ac:dyDescent="0.35">
      <c r="B99" s="27" t="e">
        <f>Portfolio_Daten!#REF!</f>
        <v>#REF!</v>
      </c>
      <c r="C99" s="28">
        <f>Portfolio_Daten!E102</f>
        <v>0</v>
      </c>
      <c r="D99" s="28" t="e">
        <f>#REF!</f>
        <v>#REF!</v>
      </c>
      <c r="E99" s="32" t="e">
        <f>VLOOKUP(D99,Parameter!#REF!,2,FALSE)</f>
        <v>#REF!</v>
      </c>
      <c r="F99" s="32" t="e">
        <f ca="1">Tabelle145[[#This Row],[Projektart für Pipeline]]+RAND()*0.9-0.1</f>
        <v>#REF!</v>
      </c>
      <c r="G99" s="29">
        <f>Portfolio_Daten!AG102</f>
        <v>0</v>
      </c>
      <c r="H99" s="32" t="e">
        <f>VLOOKUP(G99,Parameter!$P$4:$Q$9,2,FALSE)</f>
        <v>#N/A</v>
      </c>
      <c r="I99" s="60" t="e">
        <f ca="1">Tabelle145[[#This Row],[Projektphase für Pipeline]]+RAND()*0.9-0.1</f>
        <v>#N/A</v>
      </c>
      <c r="J99" s="33">
        <f>Portfolio_Daten!AI102</f>
        <v>0</v>
      </c>
    </row>
    <row r="100" spans="2:10" ht="21" customHeight="1" x14ac:dyDescent="0.35">
      <c r="B100" s="27" t="e">
        <f>Portfolio_Daten!#REF!</f>
        <v>#REF!</v>
      </c>
      <c r="C100" s="28">
        <f>Portfolio_Daten!E103</f>
        <v>0</v>
      </c>
      <c r="D100" s="28" t="e">
        <f>#REF!</f>
        <v>#REF!</v>
      </c>
      <c r="E100" s="32" t="e">
        <f>VLOOKUP(D100,Parameter!#REF!,2,FALSE)</f>
        <v>#REF!</v>
      </c>
      <c r="F100" s="32" t="e">
        <f ca="1">Tabelle145[[#This Row],[Projektart für Pipeline]]+RAND()*0.9-0.1</f>
        <v>#REF!</v>
      </c>
      <c r="G100" s="29">
        <f>Portfolio_Daten!AG103</f>
        <v>0</v>
      </c>
      <c r="H100" s="32" t="e">
        <f>VLOOKUP(G100,Parameter!$P$4:$Q$9,2,FALSE)</f>
        <v>#N/A</v>
      </c>
      <c r="I100" s="60" t="e">
        <f ca="1">Tabelle145[[#This Row],[Projektphase für Pipeline]]+RAND()*0.9-0.1</f>
        <v>#N/A</v>
      </c>
      <c r="J100" s="33">
        <f>Portfolio_Daten!AI103</f>
        <v>0</v>
      </c>
    </row>
    <row r="101" spans="2:10" ht="21" customHeight="1" x14ac:dyDescent="0.35">
      <c r="B101" s="27" t="e">
        <f>Portfolio_Daten!#REF!</f>
        <v>#REF!</v>
      </c>
      <c r="C101" s="28">
        <f>Portfolio_Daten!E104</f>
        <v>0</v>
      </c>
      <c r="D101" s="28" t="e">
        <f>#REF!</f>
        <v>#REF!</v>
      </c>
      <c r="E101" s="32" t="e">
        <f>VLOOKUP(D101,Parameter!#REF!,2,FALSE)</f>
        <v>#REF!</v>
      </c>
      <c r="F101" s="32" t="e">
        <f ca="1">Tabelle145[[#This Row],[Projektart für Pipeline]]+RAND()*0.9-0.1</f>
        <v>#REF!</v>
      </c>
      <c r="G101" s="29">
        <f>Portfolio_Daten!AG104</f>
        <v>0</v>
      </c>
      <c r="H101" s="32" t="e">
        <f>VLOOKUP(G101,Parameter!$P$4:$Q$9,2,FALSE)</f>
        <v>#N/A</v>
      </c>
      <c r="I101" s="60" t="e">
        <f ca="1">Tabelle145[[#This Row],[Projektphase für Pipeline]]+RAND()*0.9-0.1</f>
        <v>#N/A</v>
      </c>
      <c r="J101" s="33">
        <f>Portfolio_Daten!AI104</f>
        <v>0</v>
      </c>
    </row>
    <row r="102" spans="2:10" ht="21" customHeight="1" x14ac:dyDescent="0.35">
      <c r="B102" s="27" t="e">
        <f>Portfolio_Daten!#REF!</f>
        <v>#REF!</v>
      </c>
      <c r="C102" s="28">
        <f>Portfolio_Daten!E105</f>
        <v>0</v>
      </c>
      <c r="D102" s="28" t="e">
        <f>#REF!</f>
        <v>#REF!</v>
      </c>
      <c r="E102" s="32" t="e">
        <f>VLOOKUP(D102,Parameter!#REF!,2,FALSE)</f>
        <v>#REF!</v>
      </c>
      <c r="F102" s="32" t="e">
        <f ca="1">Tabelle145[[#This Row],[Projektart für Pipeline]]+RAND()*0.9-0.1</f>
        <v>#REF!</v>
      </c>
      <c r="G102" s="29">
        <f>Portfolio_Daten!AG105</f>
        <v>0</v>
      </c>
      <c r="H102" s="32" t="e">
        <f>VLOOKUP(G102,Parameter!$P$4:$Q$9,2,FALSE)</f>
        <v>#N/A</v>
      </c>
      <c r="I102" s="60" t="e">
        <f ca="1">Tabelle145[[#This Row],[Projektphase für Pipeline]]+RAND()*0.9-0.1</f>
        <v>#N/A</v>
      </c>
      <c r="J102" s="33">
        <f>Portfolio_Daten!AI105</f>
        <v>0</v>
      </c>
    </row>
    <row r="103" spans="2:10" ht="21" customHeight="1" x14ac:dyDescent="0.35">
      <c r="B103" s="27" t="e">
        <f>Portfolio_Daten!#REF!</f>
        <v>#REF!</v>
      </c>
      <c r="C103" s="28">
        <f>Portfolio_Daten!E107</f>
        <v>0</v>
      </c>
      <c r="D103" s="28" t="e">
        <f>#REF!</f>
        <v>#REF!</v>
      </c>
      <c r="E103" s="32" t="e">
        <f>VLOOKUP(D103,Parameter!#REF!,2,FALSE)</f>
        <v>#REF!</v>
      </c>
      <c r="F103" s="32" t="e">
        <f ca="1">Tabelle145[[#This Row],[Projektart für Pipeline]]+RAND()*0.9-0.1</f>
        <v>#REF!</v>
      </c>
      <c r="G103" s="29">
        <f>Portfolio_Daten!AG107</f>
        <v>0</v>
      </c>
      <c r="H103" s="32" t="e">
        <f>VLOOKUP(G103,Parameter!$P$4:$Q$9,2,FALSE)</f>
        <v>#N/A</v>
      </c>
      <c r="I103" s="60" t="e">
        <f ca="1">Tabelle145[[#This Row],[Projektphase für Pipeline]]+RAND()*0.9-0.1</f>
        <v>#N/A</v>
      </c>
      <c r="J103" s="33">
        <f>Portfolio_Daten!AI107</f>
        <v>0</v>
      </c>
    </row>
    <row r="104" spans="2:10" ht="21" customHeight="1" x14ac:dyDescent="0.35">
      <c r="B104" s="27" t="e">
        <f>Portfolio_Daten!#REF!</f>
        <v>#REF!</v>
      </c>
      <c r="C104" s="28">
        <f>Portfolio_Daten!E108</f>
        <v>0</v>
      </c>
      <c r="D104" s="28" t="e">
        <f>#REF!</f>
        <v>#REF!</v>
      </c>
      <c r="E104" s="32" t="e">
        <f>VLOOKUP(D104,Parameter!#REF!,2,FALSE)</f>
        <v>#REF!</v>
      </c>
      <c r="F104" s="32" t="e">
        <f ca="1">Tabelle145[[#This Row],[Projektart für Pipeline]]+RAND()*0.9-0.1</f>
        <v>#REF!</v>
      </c>
      <c r="G104" s="29">
        <f>Portfolio_Daten!AG108</f>
        <v>0</v>
      </c>
      <c r="H104" s="32" t="e">
        <f>VLOOKUP(G104,Parameter!$P$4:$Q$9,2,FALSE)</f>
        <v>#N/A</v>
      </c>
      <c r="I104" s="60" t="e">
        <f ca="1">Tabelle145[[#This Row],[Projektphase für Pipeline]]+RAND()*0.9-0.1</f>
        <v>#N/A</v>
      </c>
      <c r="J104" s="33">
        <f>Portfolio_Daten!AI108</f>
        <v>0</v>
      </c>
    </row>
    <row r="105" spans="2:10" ht="21" customHeight="1" x14ac:dyDescent="0.35">
      <c r="B105" s="27" t="e">
        <f>Portfolio_Daten!#REF!</f>
        <v>#REF!</v>
      </c>
      <c r="C105" s="28">
        <f>Portfolio_Daten!E109</f>
        <v>0</v>
      </c>
      <c r="D105" s="28" t="e">
        <f>#REF!</f>
        <v>#REF!</v>
      </c>
      <c r="E105" s="32" t="e">
        <f>VLOOKUP(D105,Parameter!#REF!,2,FALSE)</f>
        <v>#REF!</v>
      </c>
      <c r="F105" s="32" t="e">
        <f ca="1">Tabelle145[[#This Row],[Projektart für Pipeline]]+RAND()*0.9-0.1</f>
        <v>#REF!</v>
      </c>
      <c r="G105" s="29">
        <f>Portfolio_Daten!AG109</f>
        <v>0</v>
      </c>
      <c r="H105" s="32" t="e">
        <f>VLOOKUP(G105,Parameter!$P$4:$Q$9,2,FALSE)</f>
        <v>#N/A</v>
      </c>
      <c r="I105" s="60" t="e">
        <f ca="1">Tabelle145[[#This Row],[Projektphase für Pipeline]]+RAND()*0.9-0.1</f>
        <v>#N/A</v>
      </c>
      <c r="J105" s="33">
        <f>Portfolio_Daten!AI109</f>
        <v>0</v>
      </c>
    </row>
    <row r="106" spans="2:10" ht="21" customHeight="1" x14ac:dyDescent="0.35">
      <c r="B106" s="27" t="e">
        <f>Portfolio_Daten!#REF!</f>
        <v>#REF!</v>
      </c>
      <c r="C106" s="28">
        <f>Portfolio_Daten!E110</f>
        <v>0</v>
      </c>
      <c r="D106" s="28" t="e">
        <f>#REF!</f>
        <v>#REF!</v>
      </c>
      <c r="E106" s="32" t="e">
        <f>VLOOKUP(D106,Parameter!#REF!,2,FALSE)</f>
        <v>#REF!</v>
      </c>
      <c r="F106" s="32" t="e">
        <f ca="1">Tabelle145[[#This Row],[Projektart für Pipeline]]+RAND()*0.9-0.1</f>
        <v>#REF!</v>
      </c>
      <c r="G106" s="29">
        <f>Portfolio_Daten!AG110</f>
        <v>0</v>
      </c>
      <c r="H106" s="32" t="e">
        <f>VLOOKUP(G106,Parameter!$P$4:$Q$9,2,FALSE)</f>
        <v>#N/A</v>
      </c>
      <c r="I106" s="60" t="e">
        <f ca="1">Tabelle145[[#This Row],[Projektphase für Pipeline]]+RAND()*0.9-0.1</f>
        <v>#N/A</v>
      </c>
      <c r="J106" s="33">
        <f>Portfolio_Daten!AI110</f>
        <v>0</v>
      </c>
    </row>
    <row r="107" spans="2:10" ht="21" customHeight="1" x14ac:dyDescent="0.35">
      <c r="B107" s="27" t="e">
        <f>Portfolio_Daten!#REF!</f>
        <v>#REF!</v>
      </c>
      <c r="C107" s="28">
        <f>Portfolio_Daten!E111</f>
        <v>0</v>
      </c>
      <c r="D107" s="28" t="e">
        <f>#REF!</f>
        <v>#REF!</v>
      </c>
      <c r="E107" s="32" t="e">
        <f>VLOOKUP(D107,Parameter!#REF!,2,FALSE)</f>
        <v>#REF!</v>
      </c>
      <c r="F107" s="32" t="e">
        <f ca="1">Tabelle145[[#This Row],[Projektart für Pipeline]]+RAND()*0.9-0.1</f>
        <v>#REF!</v>
      </c>
      <c r="G107" s="29">
        <f>Portfolio_Daten!AG111</f>
        <v>0</v>
      </c>
      <c r="H107" s="32" t="e">
        <f>VLOOKUP(G107,Parameter!$P$4:$Q$9,2,FALSE)</f>
        <v>#N/A</v>
      </c>
      <c r="I107" s="60" t="e">
        <f ca="1">Tabelle145[[#This Row],[Projektphase für Pipeline]]+RAND()*0.9-0.1</f>
        <v>#N/A</v>
      </c>
      <c r="J107" s="33">
        <f>Portfolio_Daten!AI111</f>
        <v>0</v>
      </c>
    </row>
    <row r="108" spans="2:10" ht="21" customHeight="1" x14ac:dyDescent="0.35">
      <c r="B108" s="27" t="e">
        <f>Portfolio_Daten!#REF!</f>
        <v>#REF!</v>
      </c>
      <c r="C108" s="28">
        <f>Portfolio_Daten!E112</f>
        <v>0</v>
      </c>
      <c r="D108" s="28" t="e">
        <f>#REF!</f>
        <v>#REF!</v>
      </c>
      <c r="E108" s="32" t="e">
        <f>VLOOKUP(D108,Parameter!#REF!,2,FALSE)</f>
        <v>#REF!</v>
      </c>
      <c r="F108" s="32" t="e">
        <f ca="1">Tabelle145[[#This Row],[Projektart für Pipeline]]+RAND()*0.9-0.1</f>
        <v>#REF!</v>
      </c>
      <c r="G108" s="29">
        <f>Portfolio_Daten!AG112</f>
        <v>0</v>
      </c>
      <c r="H108" s="32" t="e">
        <f>VLOOKUP(G108,Parameter!$P$4:$Q$9,2,FALSE)</f>
        <v>#N/A</v>
      </c>
      <c r="I108" s="60" t="e">
        <f ca="1">Tabelle145[[#This Row],[Projektphase für Pipeline]]+RAND()*0.9-0.1</f>
        <v>#N/A</v>
      </c>
      <c r="J108" s="33">
        <f>Portfolio_Daten!AI112</f>
        <v>0</v>
      </c>
    </row>
    <row r="109" spans="2:10" ht="21" customHeight="1" x14ac:dyDescent="0.35">
      <c r="B109" s="27" t="e">
        <f>Portfolio_Daten!#REF!</f>
        <v>#REF!</v>
      </c>
      <c r="C109" s="28">
        <f>Portfolio_Daten!E113</f>
        <v>0</v>
      </c>
      <c r="D109" s="28" t="e">
        <f>#REF!</f>
        <v>#REF!</v>
      </c>
      <c r="E109" s="32" t="e">
        <f>VLOOKUP(D109,Parameter!#REF!,2,FALSE)</f>
        <v>#REF!</v>
      </c>
      <c r="F109" s="32" t="e">
        <f ca="1">Tabelle145[[#This Row],[Projektart für Pipeline]]+RAND()*0.9-0.1</f>
        <v>#REF!</v>
      </c>
      <c r="G109" s="29">
        <f>Portfolio_Daten!AG113</f>
        <v>0</v>
      </c>
      <c r="H109" s="32" t="e">
        <f>VLOOKUP(G109,Parameter!$P$4:$Q$9,2,FALSE)</f>
        <v>#N/A</v>
      </c>
      <c r="I109" s="60" t="e">
        <f ca="1">Tabelle145[[#This Row],[Projektphase für Pipeline]]+RAND()*0.9-0.1</f>
        <v>#N/A</v>
      </c>
      <c r="J109" s="33">
        <f>Portfolio_Daten!AI113</f>
        <v>0</v>
      </c>
    </row>
    <row r="110" spans="2:10" ht="21" customHeight="1" x14ac:dyDescent="0.35">
      <c r="B110" s="27" t="e">
        <f>Portfolio_Daten!#REF!</f>
        <v>#REF!</v>
      </c>
      <c r="C110" s="28">
        <f>Portfolio_Daten!E114</f>
        <v>0</v>
      </c>
      <c r="D110" s="28" t="e">
        <f>#REF!</f>
        <v>#REF!</v>
      </c>
      <c r="E110" s="32" t="e">
        <f>VLOOKUP(D110,Parameter!#REF!,2,FALSE)</f>
        <v>#REF!</v>
      </c>
      <c r="F110" s="32" t="e">
        <f ca="1">Tabelle145[[#This Row],[Projektart für Pipeline]]+RAND()*0.9-0.1</f>
        <v>#REF!</v>
      </c>
      <c r="G110" s="29">
        <f>Portfolio_Daten!AG114</f>
        <v>0</v>
      </c>
      <c r="H110" s="32" t="e">
        <f>VLOOKUP(G110,Parameter!$P$4:$Q$9,2,FALSE)</f>
        <v>#N/A</v>
      </c>
      <c r="I110" s="60" t="e">
        <f ca="1">Tabelle145[[#This Row],[Projektphase für Pipeline]]+RAND()*0.9-0.1</f>
        <v>#N/A</v>
      </c>
      <c r="J110" s="33">
        <f>Portfolio_Daten!AI114</f>
        <v>0</v>
      </c>
    </row>
    <row r="111" spans="2:10" ht="21" customHeight="1" x14ac:dyDescent="0.35">
      <c r="B111" s="27" t="e">
        <f>Portfolio_Daten!#REF!</f>
        <v>#REF!</v>
      </c>
      <c r="C111" s="28">
        <f>Portfolio_Daten!E115</f>
        <v>0</v>
      </c>
      <c r="D111" s="28" t="e">
        <f>#REF!</f>
        <v>#REF!</v>
      </c>
      <c r="E111" s="32" t="e">
        <f>VLOOKUP(D111,Parameter!#REF!,2,FALSE)</f>
        <v>#REF!</v>
      </c>
      <c r="F111" s="32" t="e">
        <f ca="1">Tabelle145[[#This Row],[Projektart für Pipeline]]+RAND()*0.9-0.1</f>
        <v>#REF!</v>
      </c>
      <c r="G111" s="29">
        <f>Portfolio_Daten!AG115</f>
        <v>0</v>
      </c>
      <c r="H111" s="32" t="e">
        <f>VLOOKUP(G111,Parameter!$P$4:$Q$9,2,FALSE)</f>
        <v>#N/A</v>
      </c>
      <c r="I111" s="60" t="e">
        <f ca="1">Tabelle145[[#This Row],[Projektphase für Pipeline]]+RAND()*0.9-0.1</f>
        <v>#N/A</v>
      </c>
      <c r="J111" s="33">
        <f>Portfolio_Daten!AI115</f>
        <v>0</v>
      </c>
    </row>
    <row r="112" spans="2:10" ht="21" customHeight="1" x14ac:dyDescent="0.35">
      <c r="B112" s="27" t="e">
        <f>Portfolio_Daten!#REF!</f>
        <v>#REF!</v>
      </c>
      <c r="C112" s="28">
        <f>Portfolio_Daten!E116</f>
        <v>0</v>
      </c>
      <c r="D112" s="28" t="e">
        <f>#REF!</f>
        <v>#REF!</v>
      </c>
      <c r="E112" s="32" t="e">
        <f>VLOOKUP(D112,Parameter!#REF!,2,FALSE)</f>
        <v>#REF!</v>
      </c>
      <c r="F112" s="32" t="e">
        <f ca="1">Tabelle145[[#This Row],[Projektart für Pipeline]]+RAND()*0.9-0.1</f>
        <v>#REF!</v>
      </c>
      <c r="G112" s="29">
        <f>Portfolio_Daten!AG116</f>
        <v>0</v>
      </c>
      <c r="H112" s="32" t="e">
        <f>VLOOKUP(G112,Parameter!$P$4:$Q$9,2,FALSE)</f>
        <v>#N/A</v>
      </c>
      <c r="I112" s="60" t="e">
        <f ca="1">Tabelle145[[#This Row],[Projektphase für Pipeline]]+RAND()*0.9-0.1</f>
        <v>#N/A</v>
      </c>
      <c r="J112" s="33">
        <f>Portfolio_Daten!AI116</f>
        <v>0</v>
      </c>
    </row>
    <row r="113" spans="1:27" ht="21" customHeight="1" x14ac:dyDescent="0.35">
      <c r="B113" s="27" t="e">
        <f>Portfolio_Daten!#REF!</f>
        <v>#REF!</v>
      </c>
      <c r="C113" s="28" t="e">
        <f>Portfolio_Daten!#REF!</f>
        <v>#REF!</v>
      </c>
      <c r="D113" s="28" t="e">
        <f>#REF!</f>
        <v>#REF!</v>
      </c>
      <c r="E113" s="32" t="e">
        <f>VLOOKUP(D113,Parameter!#REF!,2,FALSE)</f>
        <v>#REF!</v>
      </c>
      <c r="F113" s="32" t="e">
        <f ca="1">Tabelle145[[#This Row],[Projektart für Pipeline]]+RAND()*0.9-0.1</f>
        <v>#REF!</v>
      </c>
      <c r="G113" s="29" t="e">
        <f>Portfolio_Daten!#REF!</f>
        <v>#REF!</v>
      </c>
      <c r="H113" s="32" t="e">
        <f>VLOOKUP(G113,Parameter!$P$4:$Q$9,2,FALSE)</f>
        <v>#REF!</v>
      </c>
      <c r="I113" s="60" t="e">
        <f ca="1">Tabelle145[[#This Row],[Projektphase für Pipeline]]+RAND()*0.9-0.1</f>
        <v>#REF!</v>
      </c>
      <c r="J113" s="33" t="e">
        <f>Portfolio_Daten!#REF!</f>
        <v>#REF!</v>
      </c>
    </row>
    <row r="114" spans="1:27" ht="21" customHeight="1" x14ac:dyDescent="0.35">
      <c r="B114" s="27" t="e">
        <f>Portfolio_Daten!#REF!</f>
        <v>#REF!</v>
      </c>
      <c r="C114" s="28" t="e">
        <f>Portfolio_Daten!#REF!</f>
        <v>#REF!</v>
      </c>
      <c r="D114" s="28" t="e">
        <f>#REF!</f>
        <v>#REF!</v>
      </c>
      <c r="E114" s="32" t="e">
        <f>VLOOKUP(D114,Parameter!#REF!,2,FALSE)</f>
        <v>#REF!</v>
      </c>
      <c r="F114" s="32" t="e">
        <f ca="1">Tabelle145[[#This Row],[Projektart für Pipeline]]+RAND()*0.9-0.1</f>
        <v>#REF!</v>
      </c>
      <c r="G114" s="29" t="e">
        <f>Portfolio_Daten!#REF!</f>
        <v>#REF!</v>
      </c>
      <c r="H114" s="32" t="e">
        <f>VLOOKUP(G114,Parameter!$P$4:$Q$9,2,FALSE)</f>
        <v>#REF!</v>
      </c>
      <c r="I114" s="60" t="e">
        <f ca="1">Tabelle145[[#This Row],[Projektphase für Pipeline]]+RAND()*0.9-0.1</f>
        <v>#REF!</v>
      </c>
      <c r="J114" s="33" t="e">
        <f>Portfolio_Daten!#REF!</f>
        <v>#REF!</v>
      </c>
    </row>
    <row r="115" spans="1:27" ht="21" customHeight="1" x14ac:dyDescent="0.35">
      <c r="B115" s="27" t="e">
        <f>Portfolio_Daten!#REF!</f>
        <v>#REF!</v>
      </c>
      <c r="C115" s="28" t="e">
        <f>Portfolio_Daten!#REF!</f>
        <v>#REF!</v>
      </c>
      <c r="D115" s="28" t="e">
        <f>#REF!</f>
        <v>#REF!</v>
      </c>
      <c r="E115" s="32" t="e">
        <f>VLOOKUP(D115,Parameter!#REF!,2,FALSE)</f>
        <v>#REF!</v>
      </c>
      <c r="F115" s="32" t="e">
        <f ca="1">Tabelle145[[#This Row],[Projektart für Pipeline]]+RAND()*0.9-0.1</f>
        <v>#REF!</v>
      </c>
      <c r="G115" s="29" t="e">
        <f>Portfolio_Daten!#REF!</f>
        <v>#REF!</v>
      </c>
      <c r="H115" s="32" t="e">
        <f>VLOOKUP(G115,Parameter!$P$4:$Q$9,2,FALSE)</f>
        <v>#REF!</v>
      </c>
      <c r="I115" s="60" t="e">
        <f ca="1">Tabelle145[[#This Row],[Projektphase für Pipeline]]+RAND()*0.9-0.1</f>
        <v>#REF!</v>
      </c>
      <c r="J115" s="33" t="e">
        <f>Portfolio_Daten!#REF!</f>
        <v>#REF!</v>
      </c>
    </row>
    <row r="116" spans="1:27" ht="12.65" customHeight="1" x14ac:dyDescent="0.35">
      <c r="A116" s="18"/>
      <c r="B116" s="23"/>
      <c r="C116" s="138" t="s">
        <v>6</v>
      </c>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row>
    <row r="117" spans="1:27" s="1" customFormat="1" x14ac:dyDescent="0.35">
      <c r="B117" s="5" t="s">
        <v>8</v>
      </c>
      <c r="C117" s="4" t="s">
        <v>7</v>
      </c>
      <c r="D117" s="8"/>
      <c r="E117" s="4"/>
      <c r="F117" s="4"/>
      <c r="G117" s="4"/>
      <c r="H117" s="4"/>
      <c r="I117" s="4"/>
      <c r="J117" s="59"/>
      <c r="K117" s="4"/>
      <c r="L117" s="4"/>
      <c r="M117" s="4"/>
      <c r="N117" s="4"/>
      <c r="O117" s="4"/>
      <c r="P117" s="4"/>
      <c r="Q117" s="4"/>
      <c r="R117" s="4"/>
      <c r="S117" s="4"/>
      <c r="T117" s="4"/>
      <c r="U117" s="4"/>
      <c r="V117" s="4"/>
      <c r="W117" s="4"/>
      <c r="X117" s="4"/>
      <c r="Y117" s="4"/>
      <c r="Z117" s="4"/>
      <c r="AA117" s="4"/>
    </row>
    <row r="118" spans="1:27" x14ac:dyDescent="0.35">
      <c r="B118" s="2"/>
      <c r="C118" s="2"/>
      <c r="D118" s="7"/>
      <c r="E118" s="2"/>
      <c r="F118" s="2"/>
      <c r="G118" s="2"/>
      <c r="H118" s="2"/>
      <c r="I118" s="2"/>
      <c r="J118" s="37"/>
      <c r="K118" s="2"/>
      <c r="L118" s="2"/>
      <c r="M118" s="2"/>
      <c r="N118" s="2"/>
      <c r="O118" s="2"/>
      <c r="P118" s="2"/>
      <c r="Q118" s="2"/>
      <c r="R118" s="2"/>
      <c r="S118" s="2"/>
      <c r="T118" s="2"/>
      <c r="U118" s="2"/>
      <c r="V118" s="2"/>
      <c r="W118" s="2"/>
      <c r="X118" s="2"/>
      <c r="Y118" s="2"/>
      <c r="Z118" s="2"/>
      <c r="AA118" s="2"/>
    </row>
  </sheetData>
  <mergeCells count="1">
    <mergeCell ref="C116:AA116"/>
  </mergeCells>
  <conditionalFormatting sqref="G5:G115">
    <cfRule type="cellIs" dxfId="1" priority="1" operator="equal">
      <formula>"Abgeschlossen"</formula>
    </cfRule>
    <cfRule type="containsText" dxfId="0" priority="2" operator="containsText" text="Blockiert">
      <formula>NOT(ISERROR(SEARCH("Blockiert",G5)))</formula>
    </cfRule>
  </conditionalFormatting>
  <pageMargins left="0.7" right="0.7" top="0.78740157499999996" bottom="0.78740157499999996"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1DCB00EE-031D-4BBC-B982-8F9E07C84234}">
          <x14:formula1>
            <xm:f>Parameter!$P$4:$P$9</xm:f>
          </x14:formula1>
          <xm:sqref>G5:G115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066da75b-a05a-4867-8689-f33f8d0a18cc" ContentTypeId="0x010100DFCC7BF08E836541A615029B10C2E6C10D" PreviousValue="false"/>
</file>

<file path=customXml/item4.xml><?xml version="1.0" encoding="utf-8"?>
<ct:contentTypeSchema xmlns:ct="http://schemas.microsoft.com/office/2006/metadata/contentType" xmlns:ma="http://schemas.microsoft.com/office/2006/metadata/properties/metaAttributes" ct:_="" ma:_="" ma:contentTypeName="Vetmed Dokument (typisiert)" ma:contentTypeID="0x010100DFCC7BF08E836541A615029B10C2E6C10D00ACA584BF84F6D14E8DBB48E08FD73ACB" ma:contentTypeVersion="25" ma:contentTypeDescription="" ma:contentTypeScope="" ma:versionID="3e11c0abcad26ab1647f34fb0344d6f8">
  <xsd:schema xmlns:xsd="http://www.w3.org/2001/XMLSchema" xmlns:xs="http://www.w3.org/2001/XMLSchema" xmlns:p="http://schemas.microsoft.com/office/2006/metadata/properties" xmlns:ns2="d5d50e20-a0d2-450d-88c7-2e44e1566d79" xmlns:ns3="8a635c72-4f83-4280-8f7e-835d402fc610" targetNamespace="http://schemas.microsoft.com/office/2006/metadata/properties" ma:root="true" ma:fieldsID="f2df4421548f0fcf383eefdcd55950eb" ns2:_="" ns3:_="">
    <xsd:import namespace="d5d50e20-a0d2-450d-88c7-2e44e1566d79"/>
    <xsd:import namespace="8a635c72-4f83-4280-8f7e-835d402fc610"/>
    <xsd:element name="properties">
      <xsd:complexType>
        <xsd:sequence>
          <xsd:element name="documentManagement">
            <xsd:complexType>
              <xsd:all>
                <xsd:element ref="ns2:_dlc_DocId" minOccurs="0"/>
                <xsd:element ref="ns2:_dlc_DocIdUrl" minOccurs="0"/>
                <xsd:element ref="ns2:_dlc_DocIdPersistId" minOccurs="0"/>
                <xsd:element ref="ns3:TaxKeywordTaxHTField" minOccurs="0"/>
                <xsd:element ref="ns3:TaxCatchAll" minOccurs="0"/>
                <xsd:element ref="ns3:TaxCatchAllLabel" minOccurs="0"/>
                <xsd:element ref="ns2:mc3252a53f3746cd84b73e809bc279a6"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d50e20-a0d2-450d-88c7-2e44e1566d79" elementFormDefault="qualified">
    <xsd:import namespace="http://schemas.microsoft.com/office/2006/documentManagement/types"/>
    <xsd:import namespace="http://schemas.microsoft.com/office/infopath/2007/PartnerControls"/>
    <xsd:element name="_dlc_DocId" ma:index="7" nillable="true" ma:displayName="Wert der Dokument-ID" ma:description="Der Wert der diesem Element zugewiesenen Dokument-ID." ma:internalName="_dlc_DocId" ma:readOnly="true">
      <xsd:simpleType>
        <xsd:restriction base="dms:Text"/>
      </xsd:simpleType>
    </xsd:element>
    <xsd:element name="_dlc_DocIdUrl" ma:index="8"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9" nillable="true" ma:displayName="Persist ID" ma:description="Keep ID on add." ma:hidden="true" ma:internalName="_dlc_DocIdPersistId" ma:readOnly="true">
      <xsd:simpleType>
        <xsd:restriction base="dms:Boolean"/>
      </xsd:simpleType>
    </xsd:element>
    <xsd:element name="mc3252a53f3746cd84b73e809bc279a6" ma:index="15" nillable="true" ma:taxonomy="true" ma:internalName="mc3252a53f3746cd84b73e809bc279a6" ma:taxonomyFieldName="Dokumententyp" ma:displayName="Dokumententyp" ma:default="43;#Allgemein|6866e575-f504-44a4-a164-b0d4384ac0cd" ma:fieldId="{6c3252a5-3f37-46cd-84b7-3e809bc279a6}" ma:sspId="066da75b-a05a-4867-8689-f33f8d0a18cc" ma:termSetId="95d2271e-3c8c-466d-9378-932433091d0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a635c72-4f83-4280-8f7e-835d402fc610" elementFormDefault="qualified">
    <xsd:import namespace="http://schemas.microsoft.com/office/2006/documentManagement/types"/>
    <xsd:import namespace="http://schemas.microsoft.com/office/infopath/2007/PartnerControls"/>
    <xsd:element name="TaxKeywordTaxHTField" ma:index="10" nillable="true" ma:taxonomy="true" ma:internalName="TaxKeywordTaxHTField" ma:taxonomyFieldName="TaxKeyword" ma:displayName="Unternehmensstichwörter" ma:fieldId="{23f27201-bee3-471e-b2e7-b64fd8b7ca38}" ma:taxonomyMulti="true" ma:sspId="066da75b-a05a-4867-8689-f33f8d0a18cc" ma:termSetId="00000000-0000-0000-0000-000000000000" ma:anchorId="00000000-0000-0000-0000-000000000000" ma:open="true" ma:isKeyword="true">
      <xsd:complexType>
        <xsd:sequence>
          <xsd:element ref="pc:Terms" minOccurs="0" maxOccurs="1"/>
        </xsd:sequence>
      </xsd:complexType>
    </xsd:element>
    <xsd:element name="TaxCatchAll" ma:index="11" nillable="true" ma:displayName="Taxonomy Catch All Column" ma:hidden="true" ma:list="{64485626-2f10-4111-9627-24cdb988d676}" ma:internalName="TaxCatchAll" ma:showField="CatchAllData" ma:web="2c924c32-073b-4c5f-ac91-0e222172d771">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64485626-2f10-4111-9627-24cdb988d676}" ma:internalName="TaxCatchAllLabel" ma:readOnly="true" ma:showField="CatchAllDataLabel" ma:web="2c924c32-073b-4c5f-ac91-0e222172d7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TaxKeywordTaxHTField xmlns="8a635c72-4f83-4280-8f7e-835d402fc610">
      <Terms xmlns="http://schemas.microsoft.com/office/infopath/2007/PartnerControls"/>
    </TaxKeywordTaxHTField>
    <mc3252a53f3746cd84b73e809bc279a6 xmlns="d5d50e20-a0d2-450d-88c7-2e44e1566d79">
      <Terms xmlns="http://schemas.microsoft.com/office/infopath/2007/PartnerControls">
        <TermInfo xmlns="http://schemas.microsoft.com/office/infopath/2007/PartnerControls">
          <TermName xmlns="http://schemas.microsoft.com/office/infopath/2007/PartnerControls">Allgemein</TermName>
          <TermId xmlns="http://schemas.microsoft.com/office/infopath/2007/PartnerControls">6866e575-f504-44a4-a164-b0d4384ac0cd</TermId>
        </TermInfo>
      </Terms>
    </mc3252a53f3746cd84b73e809bc279a6>
    <TaxCatchAll xmlns="8a635c72-4f83-4280-8f7e-835d402fc610">
      <Value>43</Value>
    </TaxCatchAll>
  </documentManagement>
</p:properties>
</file>

<file path=customXml/itemProps1.xml><?xml version="1.0" encoding="utf-8"?>
<ds:datastoreItem xmlns:ds="http://schemas.openxmlformats.org/officeDocument/2006/customXml" ds:itemID="{416DD216-31BD-4AD6-BB23-552BCE46B0FA}">
  <ds:schemaRefs>
    <ds:schemaRef ds:uri="http://schemas.microsoft.com/sharepoint/events"/>
  </ds:schemaRefs>
</ds:datastoreItem>
</file>

<file path=customXml/itemProps2.xml><?xml version="1.0" encoding="utf-8"?>
<ds:datastoreItem xmlns:ds="http://schemas.openxmlformats.org/officeDocument/2006/customXml" ds:itemID="{30E14131-B6DE-48A7-9B0F-95F06B0F0833}">
  <ds:schemaRefs>
    <ds:schemaRef ds:uri="http://schemas.microsoft.com/sharepoint/v3/contenttype/forms"/>
  </ds:schemaRefs>
</ds:datastoreItem>
</file>

<file path=customXml/itemProps3.xml><?xml version="1.0" encoding="utf-8"?>
<ds:datastoreItem xmlns:ds="http://schemas.openxmlformats.org/officeDocument/2006/customXml" ds:itemID="{F26CE332-0E53-4B21-AEAF-8105A01E027A}">
  <ds:schemaRefs>
    <ds:schemaRef ds:uri="Microsoft.SharePoint.Taxonomy.ContentTypeSync"/>
  </ds:schemaRefs>
</ds:datastoreItem>
</file>

<file path=customXml/itemProps4.xml><?xml version="1.0" encoding="utf-8"?>
<ds:datastoreItem xmlns:ds="http://schemas.openxmlformats.org/officeDocument/2006/customXml" ds:itemID="{9A5C45D0-464B-4FAE-94B5-3F68FFD0A1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d50e20-a0d2-450d-88c7-2e44e1566d79"/>
    <ds:schemaRef ds:uri="8a635c72-4f83-4280-8f7e-835d402fc6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FB29E1D0-B148-4534-948C-7C841667ACCE}">
  <ds:schemaRefs>
    <ds:schemaRef ds:uri="8a635c72-4f83-4280-8f7e-835d402fc610"/>
    <ds:schemaRef ds:uri="http://schemas.microsoft.com/office/2006/documentManagement/types"/>
    <ds:schemaRef ds:uri="d5d50e20-a0d2-450d-88c7-2e44e1566d79"/>
    <ds:schemaRef ds:uri="http://purl.org/dc/elements/1.1/"/>
    <ds:schemaRef ds:uri="http://purl.org/dc/dcmitype/"/>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2</vt:i4>
      </vt:variant>
    </vt:vector>
  </HeadingPairs>
  <TitlesOfParts>
    <vt:vector size="13" baseType="lpstr">
      <vt:lpstr>Erläuterungen</vt:lpstr>
      <vt:lpstr>Parameter</vt:lpstr>
      <vt:lpstr>Arbeitsbereich</vt:lpstr>
      <vt:lpstr>Portfolio_Daten</vt:lpstr>
      <vt:lpstr>Zielwerte</vt:lpstr>
      <vt:lpstr>Zeitleiste</vt:lpstr>
      <vt:lpstr>Dashboard_LVÜbersicht</vt:lpstr>
      <vt:lpstr>DB_Budgeteinbehalt</vt:lpstr>
      <vt:lpstr>DB_LeistungsbereicheLV</vt:lpstr>
      <vt:lpstr>Dashboard_PAG</vt:lpstr>
      <vt:lpstr>Pipeline_Arbeitsbereich_alt</vt:lpstr>
      <vt:lpstr>Dashboard_PAG!Druckbereich</vt:lpstr>
      <vt:lpstr>DB_LeistungsbereicheLV!Druckbereich</vt:lpstr>
    </vt:vector>
  </TitlesOfParts>
  <Company>Veterinaermedizinische Universitaet Wien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Laboureix Sabrina</dc:creator>
  <cp:keywords/>
  <cp:lastModifiedBy>Laboureix Sabrina</cp:lastModifiedBy>
  <cp:lastPrinted>2025-07-15T06:13:00Z</cp:lastPrinted>
  <dcterms:created xsi:type="dcterms:W3CDTF">2025-05-07T13:35:18Z</dcterms:created>
  <dcterms:modified xsi:type="dcterms:W3CDTF">2026-03-10T10:48:37Z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0x010100DFCC7BF08E836541A615029B10C2E6C10D00ACA584BF84F6D14E8DBB48E08FD73ACB</vt:lpwstr>
  </property>
  <property fmtid="{D5CDD505-2E9C-101B-9397-08002B2CF9AE}" pid="3" name="TaxKeyword">
    <vt:lpwstr/>
  </property>
  <property fmtid="{D5CDD505-2E9C-101B-9397-08002B2CF9AE}" pid="4" name="Dokumententyp">
    <vt:lpwstr>43;#Allgemein|6866e575-f504-44a4-a164-b0d4384ac0cd</vt:lpwstr>
  </property>
</Properties>
</file>